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4"/>
    <sheet state="visible" name="Luz" sheetId="2" r:id="rId5"/>
    <sheet state="visible" name="Teléfono" sheetId="3" r:id="rId6"/>
    <sheet state="visible" name="Ingresos" sheetId="4" r:id="rId7"/>
    <sheet state="visible" name="Reclamaciones" sheetId="5" r:id="rId8"/>
    <sheet state="visible" name="Penalizaciones" sheetId="6" r:id="rId9"/>
    <sheet state="visible" name="FFVV 2016" sheetId="7" r:id="rId10"/>
    <sheet state="visible" name="PDV 2016" sheetId="8" r:id="rId11"/>
    <sheet state="visible" name="PyG" sheetId="9" r:id="rId12"/>
    <sheet state="visible" name="Fondo de Maniobra" sheetId="10" r:id="rId13"/>
    <sheet state="visible" name="Estimación de Tesorería" sheetId="11" r:id="rId14"/>
    <sheet state="visible" name="Intereses" sheetId="12" r:id="rId15"/>
    <sheet state="visible" name="E. Gastos" sheetId="13" r:id="rId16"/>
    <sheet state="visible" name="IVA" sheetId="14" r:id="rId17"/>
    <sheet state="visible" name="Penalizaciones v1" sheetId="15" r:id="rId18"/>
  </sheets>
  <definedNames>
    <definedName hidden="1" localSheetId="14" name="_xlnm._FilterDatabase">'Penalizaciones v1'!$B$9:$I$117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tc={47795c2a-5387-4d1d-b2db-a291873c2d47}</author>
  </authors>
  <commentList>
    <comment authorId="0" ref="V2">
      <text>
        <t xml:space="preserve">INCLUIDO FINIQUITO DE ALVARO</t>
      </text>
    </comment>
    <comment authorId="0" ref="AH2">
      <text>
        <t xml:space="preserve">escribe aquí
finiquito Manuel Rodriguez 758
NOMINAS. 11710
EXTRA: 8113,33</t>
      </text>
    </comment>
    <comment authorId="0" ref="AI2">
      <text>
        <t xml:space="preserve">NOMINAS 15181,28
EXTRA   11132,20</t>
      </text>
    </comment>
    <comment authorId="0" ref="AX2">
      <text>
        <t xml:space="preserve">finiquito+ nomina mes javier bruto: 2373€</t>
      </text>
    </comment>
    <comment authorId="0" ref="BB2">
      <text>
        <t xml:space="preserve">finiquito vicente bruto: 1954,48</t>
      </text>
    </comment>
    <comment authorId="0" ref="M11">
      <text>
        <t xml:space="preserve">dic y enero salva 158,50
Luis comida y desplaz. peñaranda 42</t>
      </text>
    </comment>
    <comment authorId="0" ref="Q11">
      <text>
        <t xml:space="preserve">dietas febrero salva 96,50
Luis peñaranda 43,80</t>
      </text>
    </comment>
    <comment authorId="0" ref="U11">
      <text>
        <t xml:space="preserve">107 DIETAS SALVA MARZO
14,30 COMIDA CARLOS Y CRISTINA CURSO MOVISTAR </t>
      </text>
    </comment>
    <comment authorId="0" ref="Y11">
      <text>
        <t xml:space="preserve">87,75 juan Antonio viaja Madrid
84,40 gasoil Salva</t>
      </text>
    </comment>
    <comment authorId="0" ref="Z11">
      <text>
        <t xml:space="preserve">viaje Madrid Juan Antonio</t>
      </text>
    </comment>
    <comment authorId="0" ref="AA11">
      <text>
        <t xml:space="preserve">Gasoil Salva</t>
      </text>
    </comment>
    <comment authorId="0" ref="AG11">
      <text>
        <t xml:space="preserve">42,40 Desplazamiento y comida Luis a peñaranda
69,10 Desplazamientos Marta Peñaranda
105,15 Juan Antonio</t>
      </text>
    </comment>
    <comment authorId="0" ref="AK11">
      <text>
        <t xml:space="preserve">GASOIL SALVA JUNIO Y JULIO</t>
      </text>
    </comment>
    <comment authorId="0" ref="AS11">
      <text>
        <t xml:space="preserve">210 Marcos agosto + 1º quincena septiembre
40 Gabriel
5 Vicente</t>
      </text>
    </comment>
    <comment authorId="0" ref="AW11">
      <text>
        <t xml:space="preserve">194,08 salva agosto y septiembre
170 Marcos octubre
84,85 Juan Antonio Madrid
15,95 COMIDA CURSO MOVISTAR</t>
      </text>
    </comment>
    <comment authorId="0" ref="AX11">
      <text>
        <t xml:space="preserve">190 GASOIL MARCOS
88,94 DIETAS JUAN ANTONIO</t>
      </text>
    </comment>
    <comment authorId="0" ref="BB11">
      <text>
        <t xml:space="preserve">20 Gasoil Vicente
40 Dietas Juan Antonio
32 Gasoil Diego</t>
      </text>
    </comment>
    <comment authorId="0" ref="BC11">
      <text>
        <t xml:space="preserve">dietas noviembre y diciembre</t>
      </text>
    </comment>
    <comment authorId="0" ref="W13">
      <text>
        <t xml:space="preserve">Ha tenido que poner otra tarifa para ceuta y son 20 euros por envio (inviable)</t>
      </text>
    </comment>
    <comment authorId="0" ref="U20">
      <text>
        <t xml:space="preserve">70 AGUSTIN REPARACION VITIGUDINO
25,17 COMPRA CAJA FUERTE
32 COMPRA ESCALERA ESTACION</t>
      </text>
    </comment>
    <comment authorId="0" ref="AA20">
      <text>
        <t xml:space="preserve">tabletas firma 500
Inmobiliaria 330,58</t>
      </text>
    </comment>
    <comment authorId="0" ref="AG20">
      <text>
        <t xml:space="preserve">Arreglo portatil Salva 50
PEÑARANDA
cerrajero 189,48
albañil   265
pintura   367,32
azulejos   72,25
transpor  250
Electri.  186,10</t>
      </text>
    </comment>
    <comment authorId="0" ref="AK20">
      <text>
        <t xml:space="preserve">ORDENADOR TIENDAS</t>
      </text>
    </comment>
    <comment authorId="0" ref="AQ20">
      <text>
        <t xml:space="preserve">rotulo peñaranda 498,60
electricidad estacion 30</t>
      </text>
    </comment>
    <comment authorId="0" ref="BA20">
      <text>
        <t xml:space="preserve">ORDENDADOR MF: 216,33€
RESTO: COMPRAS VARIAS AMAZON ,QNAP,SQUILL REPARTIDO ENTRE TODOS.</t>
      </text>
    </comment>
    <comment authorId="0" ref="BE20">
      <text>
        <t xml:space="preserve">260,29 luz estacion
569,52 robos</t>
      </text>
    </comment>
    <comment authorId="0" ref="M21">
      <text>
        <t xml:space="preserve">490 euros horas cristina estacion
40 euros horas cristina movilfree</t>
      </text>
    </comment>
    <comment authorId="0" ref="U21">
      <text>
        <t xml:space="preserve">130 HORAS CRISTINA TIENDA
</t>
      </text>
    </comment>
    <comment authorId="0" ref="X21">
      <text>
        <t xml:space="preserve">horas movilfree cristina</t>
      </text>
    </comment>
    <comment authorId="0" ref="AW21">
      <text>
        <t xml:space="preserve">460 HORAS MARTA PEÑARANDA
420 HORAS CRISTINA ESTACION</t>
      </text>
    </comment>
    <comment authorId="0" ref="BC21">
      <text>
        <t xml:space="preserve">185 horas Cristina
45 horas Sheyla</t>
      </text>
    </comment>
    <comment authorId="0" ref="U22">
      <text>
        <t xml:space="preserve">BASURA PRINCIPE VERGARA 43,56
BASURA ESTACION 113,10
BASURA VITIGUDINO 22,30</t>
      </text>
    </comment>
    <comment authorId="0" ref="X22">
      <text>
        <t xml:space="preserve">basura</t>
      </text>
    </comment>
    <comment authorId="0" ref="AC22">
      <text>
        <t xml:space="preserve">impuesto circulación
IBI principe de Vergara
Basura peñaranda</t>
      </text>
    </comment>
    <comment authorId="0" ref="AK22">
      <text>
        <t xml:space="preserve">BASURA
INSPECCION 2012
IMPUESTO S/E SOCIEDADES</t>
      </text>
    </comment>
    <comment authorId="0" ref="AO22">
      <text>
        <t xml:space="preserve">IAE años anteriores</t>
      </text>
    </comment>
    <comment authorId="0" ref="BE22">
      <text>
        <t xml:space="preserve">2407,17 IAE Atrasados
47,65 basura</t>
      </text>
    </comment>
    <comment authorId="0" ref="BE23">
      <text>
        <t xml:space="preserve">cestas
comida
tarjetas visita 160 </t>
      </text>
    </comment>
    <comment authorId="0" ref="Y24">
      <text>
        <t xml:space="preserve">PRORRATEADO ARREGLO MERCEDES ENTRE TIENDAS, COMERCIALES Y MOVILFREE
1549,91 EUROS
RESTO ARREGLO DE OTROS VEHICULOS COMERCIALES</t>
      </text>
    </comment>
    <comment authorId="0" ref="AO30">
      <text>
        <t xml:space="preserve">SEGURO ASTURIAS</t>
      </text>
    </comment>
    <comment authorId="0" ref="BA30">
      <text>
        <t xml:space="preserve">seguro convenio comercio</t>
      </text>
    </comment>
    <comment authorId="0" ref="Y31">
      <text>
        <t xml:space="preserve">MULTA COCHE ANGEL LUIS</t>
      </text>
    </comment>
    <comment authorId="0" ref="AI31">
      <text>
        <t xml:space="preserve">sancion consumo</t>
      </text>
    </comment>
    <comment authorId="0" ref="AO31">
      <text>
        <t xml:space="preserve">ESCRITURA CANCELACIONES NOTARIO 309,81
SERVIDOR 1201,96</t>
      </text>
    </comment>
    <comment authorId="0" ref="AW31">
      <text>
        <t xml:space="preserve">MULTA TRAFICO ANGEL LUIS 150
IBI PRINCIPE VERGARA 378,72</t>
      </text>
    </comment>
    <comment authorId="0" ref="BA31">
      <text>
        <t xml:space="preserve">IBI ASTURIAS: 765</t>
      </text>
    </comment>
    <comment authorId="0" ref="E34">
      <text>
        <t xml:space="preserve">VALIJA Y ANULACION PEDIDOS FIJA</t>
      </text>
    </comment>
    <comment authorId="0" ref="M35">
      <text>
        <t xml:space="preserve">96 Horacio
1232 comis. septiembre
1000 28/01 Sta. Marta
1000 07/01 Peñaranda
1200 20/01 Peñaranda
 600 27/01 Peñaranda
 890 27/01 Vitigudino</t>
      </text>
    </comment>
    <comment authorId="0" ref="Q35">
      <text>
        <t xml:space="preserve">352 COMISIONES OCTUBRE
90  COMIS. SEPT CARMEN
90  COMIS. CHINO (LUI)
3000 25/02 CRISTINA
20   26/02 ESTACION
700  01/02 PEÑARANDA
1000 16/02 PEÑARANDA
700  25/02 PEÑARANDA
410  25/02 VITIGUDINO
</t>
      </text>
    </comment>
    <comment authorId="0" ref="U35">
      <text>
        <t xml:space="preserve">50€ 04/03 Estación
800€ 04/03 Santa Marta
400€  08/03 PEÑARANDA
5.200€ 18/03 Estación
1600€ 30/03 PEÑARANDA
220€ COMISION CHINO</t>
      </text>
    </comment>
    <comment authorId="0" ref="Y35">
      <text>
        <t xml:space="preserve">120 PAGO HORACIO
190 PAGO CHINO
3000 20/04 CRISTINA OK
650  05/04 PEÑARANDA OK
850  27/04 VITIGUDINO OK</t>
      </text>
    </comment>
    <comment authorId="0" ref="AC35">
      <text>
        <t xml:space="preserve">1100 04/05 Santa Marta OK
500  10/05 Santa Marta OK
1000 20/05 Santa Marta OK
1800 09/05 Peñaranda OK
800  16/05 Peñaranda OK
650  30/05 Peñaranda OK
1060 12/05 Vitigudino OK
160  Pago Horacio
963  Comision nov y DIc</t>
      </text>
    </comment>
    <comment authorId="0" ref="AG35">
      <text>
        <t xml:space="preserve">1000 08/06 CRISTINA OK
300  30/06 CRISTINA OK
100  16/06 S Marta OK
1300 22/06 Correhu OK
732,50 03/06 co. Enero
404  28/06 co. Febr.
127  01/06 pago Horac
</t>
      </text>
    </comment>
    <comment authorId="0" ref="AK35">
      <text>
        <t xml:space="preserve">04/07 CRISTINA   1500 OK
28/07 CRISTINA   1000 OK
28/07 COMISIONES  146 TIENDAS
12/07 ESTACION    100 OK
13/07 MOVILFREE  1500 OK</t>
      </text>
    </comment>
    <comment authorId="0" ref="AO35">
      <text>
        <t xml:space="preserve">900  04/08 ESTACION OK
840  08/08 ESTACION OK
1400 03/08 MOVILFREE OK
</t>
      </text>
    </comment>
    <comment authorId="0" ref="AS35">
      <text>
        <t xml:space="preserve">4000 05/09 ESTACION OK
20€ 16/09 Estación OK
</t>
      </text>
    </comment>
    <comment authorId="0" ref="AW35">
      <text>
        <t xml:space="preserve">pago Horacio 707
comisi. tiendas mayo y junio 263
1500  01/10 ESTACION OK
1500  03/10 ESTACION OK
 400   06/10 ESTACION OK
 990   20/10 ESTACION OK
 725   25/10 ESTACION OK
(TFNO. VIDAL) OK
25      04/10 CORREHUELA OK
2000 19/10 MOVILFREE OK
</t>
      </text>
    </comment>
    <comment authorId="0" ref="BA35">
      <text>
        <t xml:space="preserve">1000€   9/11 CRISTINA       OK
  290€   PAGO HORACIO    OK
  170€   COMIS.JULIO TIENDAS OK
1000€   09/11 PEÑARANDA   OK
  600€   08/11 STA. MARTA  OK
1000€ 07/11 ESTACION  OK</t>
      </text>
    </comment>
    <comment authorId="0" ref="BE35">
      <text>
        <t xml:space="preserve">1.000€ 02/12 MovilFree       OK
30€ 13/12 Estación              OK
10€ 17/12 Estación              OK
550   02/12 CRISTINA         OK
500   05/12 CRISTINA         OK
2000 16/12 CRISTINA         OK
2850 30/12 CRISTINA         OK
333    20/12 COMISIONES AGOSTO TIENDAS
150    27/12 ESTACION       OK
460    12/12 CORREHUELAOK
600    02/12 STA. MARTA    OK
300    13/12 STA. MARTA    OK
1000   05/12 PEÑARANDA  OK
</t>
      </text>
    </comment>
    <comment authorId="0" ref="E40">
      <text>
        <t xml:space="preserve">VENTAS DIRECTAS EN TIENDA
+ COMISIONES TELEFONICA + RECARGAS NO TICADAS</t>
      </text>
    </comment>
    <comment authorId="1" xr:uid="{47795c2a-5387-4d1d-b2db-a291873c2d4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COM. CONTRACTUAL EN TODA LA COLUMNA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1/11 AL 03/12 952 KW</t>
      </text>
    </comment>
    <comment authorId="0" ref="O7">
      <text>
        <t xml:space="preserve">28/11 AL 29/11   25 KW
25/11 AL 08/12 163KW</t>
      </text>
    </comment>
    <comment authorId="0" ref="N8">
      <text>
        <t xml:space="preserve">hasta 25/11</t>
      </text>
    </comment>
    <comment authorId="0" ref="O10">
      <text>
        <t xml:space="preserve">22/11 AL 08/12 81 KW</t>
      </text>
    </comment>
    <comment authorId="0" ref="N11">
      <text>
        <t xml:space="preserve">hasta 22/11</t>
      </text>
    </comment>
    <comment authorId="0" ref="N14">
      <text>
        <t xml:space="preserve">hasta el 22/11</t>
      </text>
    </comment>
    <comment authorId="0" ref="O16">
      <text>
        <t xml:space="preserve">01/11 AL 28/11 -253 KW</t>
      </text>
    </comment>
    <comment authorId="0" ref="O17">
      <text>
        <t xml:space="preserve">SIN IVA</t>
      </text>
    </comment>
    <comment authorId="0" ref="O19">
      <text>
        <t xml:space="preserve">22/11 AL 12/12 155 KW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tc={0191558b-1708-4bcb-8a34-143009152fc8}</author>
    <author>tc={0366df74-d1c5-4253-8883-e03aa468c920}</author>
    <author>tc={18e13972-74b8-4b1e-9175-2c65a5eb94a4}</author>
    <author>tc={1ad8c393-5d3b-4db3-856a-edb0f8bcc893}</author>
    <author>tc={3a79fb14-a7f9-41b9-9d49-25270cfacf8e}</author>
    <author>tc={3bd7876c-a84c-45e4-b31d-e89485aa9dfa}</author>
    <author>tc={60c4b25d-a0b0-474e-8203-3d4ab3ad216b}</author>
    <author>tc={61592e74-da33-49b0-a1d9-93f72952ab39}</author>
    <author>tc={68fb0c45-ce5e-4d67-b4d7-d0a1f0947627}</author>
    <author>tc={976e86d6-c8c3-4978-b7f0-810c5df2829b}</author>
    <author>tc={9b16dc5c-5cd1-4a31-9173-d4d80c185e2d}</author>
    <author>tc={b40d57ac-6878-47cd-b3ca-0a6392587407}</author>
    <author>tc={bfed0ecc-bd0d-4b2d-9c68-a51d3859ded0}</author>
    <author>tc={cd6c70af-e30d-43a8-adae-13712ebfdf52}</author>
    <author>tc={ce247343-af5f-4f66-8cb0-647e5feb0530}</author>
    <author>tc={e68d5ee5-d284-4a6d-9ff5-46a5369685b4}</author>
    <author>tc={fc93455a-ba3b-4b8e-8a65-76352e530c3b}</author>
  </authors>
  <commentList>
    <comment authorId="0" ref="D2">
      <text>
        <t xml:space="preserve">* PALANCAS: ALTA ADSL + ALTA FIBRA 300
*** NACIONAL ***
* CUIDADO EN PDV PORQUE SE MEZCLAN ADSL Y FIBRA EN EL MISMO CÓDIGO A LA HORA DE COMPROBAR POR SEPARADO (FILTRAR ISML)
* ISML: NF PROMOCIONES I + NF PROMOCIONES II
*** CONTRACTUAL ***
* DESCARGAR BOLETINES LIQUIDADOS INSTALADOS HARPAGON MES N Y N+1 (2016'N'02, 2016'N+1'02) Y UNIRLOS
* FILTRAR FECHA ALTA BOL POR EL MES DE TRAMITACIÓN
* SELECCIONAR LA COMISION FINAL DE 10€
* FALTARÁ ALGUNO PORQUE NO SE INCLUYEN LOS REGULARIZADOS</t>
      </text>
    </comment>
    <comment authorId="0" ref="E2">
      <text>
        <t xml:space="preserve">* PALANCAS: ALTA/PORTA /MIGRA VIVE 26 Ó MEJOR + TARIFA 30 + TARIFA 40
*** NACIONAL ***
* EXCLUIR DEL FILTRO FECHA BAJAS
* OJO PORTAS PARA SU COMPROBACIÓN: [PDV] CUENTA PARA OBJETIVO FECHA DE INSTALACIÓN, [FFVV] FECHA DE TRAMITACIÓN (MIRAR EN N+2 A PARTE DE EN N+1), AUNQUE EN LIQUIDACIONES SIEMPRE ES INSTALACIÓN, EN T.OBJ. FFVV APARECERÁN LAS TRAMITAD. 
* ISML: PROMOCIONES MOVISTAR II
*** CONTRACTUAL ***
* QUITAR BAJAS
* FILTRAR LOS CONCEPTOS "IMPORTE" Y LUEGO LAS TARIFAS DE AV
* PARA LA COMPROBACION, HAY QUE TENER EN CUENTA LAS COND. DE PORTABILIDAD DE [FFVV]
* MES: N+1
* ISML: MOVISTAR CONTRATO</t>
      </text>
    </comment>
    <comment authorId="0" ref="F2">
      <text>
        <t xml:space="preserve">* SOLO PARA FFVV
* PALANCAS: TARIFA 20 + TARIFA PRO
* HASTA JULIO: TARIFA 35 + TARIFA 55
*** NACIONAL ***
* EXCLUIR DEL FILTRO FECHA BAJAS
* OJO PORTAS PARA SU COMPROBACIÓN: [PDV] CUENTA PARA OBJETIVO FECHA DE INSTALACIÓN, [FFVV] FECHA DE TRAMITACIÓN (MIRAR EN N+2 A PARTE DE EN N+1), AUNQUE EN LIQUIDACIONES SIEMPRE ES INSTALACIÓN, EN T.OBJ. FFVV APARECERÁN LAS TRAMITAD.
* ISML: PROMOCIONES MOVISTAR II
*** CONTRACTUAL ***
* QUITAR BAJAS
* FILTRAR LOS CONCEPTOS "IMPORTE" Y LUEGO LAS TARIFAS DE MV
* PARA LA COMPROBACION, HAY QUE TENER EN CUENTA LAS COND. DE PORTABILIDAD DE [FFVV]
* MES: N+1
* ISML: MOVISTAR CONTRATO</t>
      </text>
    </comment>
    <comment authorId="0" ref="G2">
      <text>
        <t xml:space="preserve">* PALANCAS: ALTA/PORTA TUENTI + ALTA/PORTA /MIGRA VIVE 13 + TARIFA 5 + TARIFA 10
*** NACIONAL ***
* A PARTIR DE UN MES YA NO HAY NACIONAL
* EXCLUIR DEL FILTRO FECHA BAJAS
* OJO PORTAS PARA SU COMPROBACIÓN: [PDV] CUENTA PARA OBJETIVO FECHA DE INSTALACIÓN, [FFVV] FECHA DE TRAMITACIÓN (MIRAR EN N+2 A PARTE DE EN N+1), AUNQUE EN LIQUIDACIONES SIEMPRE ES INSTALACIÓN, EN T.OBJ. FFVV APARECERÁN LAS TRAMITAD. 
* ISML: PROMOCIONES MOVISTAR II
*** CONTRACTUAL ***
* QUITAR BAJAS
* FILTRAR LOS CONCEPTOS "IMPORTE" Y LUEGO LAS TARIFAS DE BV
* IMPORTANTE FILTRAR TARIFAS VACIAS PORQUE SON DE TUENTI
* PARA LA COMPROBACION, HAY QUE TENER EN CUENTA LAS COND. DE PORTABILIDAD DE [FFVV]
* MES: N+1
* ISML: MOVISTAR CONTRATO</t>
      </text>
    </comment>
    <comment authorId="0" ref="H2">
      <text>
        <t xml:space="preserve">* SOLO PARA PDV
* PALANCAS: MIGRA FIBRA 300
* ISML: NF PROMOCIONES II</t>
      </text>
    </comment>
    <comment authorId="0" ref="I2">
      <text>
        <t xml:space="preserve">* SOLO PARA FFVV
* PALANCAS: MIGRA FIBRA 300 + MIGRA MFE XDSL/FIBRA 
* ISML: NF PROMOCIONES I</t>
      </text>
    </comment>
    <comment authorId="0" ref="J2">
      <text>
        <t xml:space="preserve">* SOLO PARA PDV
* PALANCAS: PREMIUM TOTAL + PREMIUM EXTRA + FUTBOL TOTAL/DEPORTES BAR + FUSION+ 4 PREMIUM TOTAL + FUSION+ 2 / 4 PREMIUM EXTRA 
* DIFERENTES CÓD. PARA NORMAL/SATÉLITE
* ISML: NF PROMOCIONES II</t>
      </text>
    </comment>
    <comment authorId="0" ref="K2">
      <text>
        <t xml:space="preserve">* SOLO PARA PDV
* PALANCAS: ALTA/CAMBIO PREMIUM NORMAL/SAT + FUSION+ 2 PREMIUM
* DIFERENTES CÓD. PARA NORMAL/SATÉLITE
* ISML: NF PROMOCIONES II</t>
      </text>
    </comment>
    <comment authorId="0" ref="L2">
      <text>
        <t xml:space="preserve">* SOLO PARA PDV
* PALANCAS: PROMOS + PAQUETES TV (FÚTBOL, CINE...) + OPCIONES TV (TOROS, PESCA...)
* OPCIONES TV: N+1, PAQUETE TV: N+2
* DIFERENTES CÓD. PARA NORMAL/SATÉLITE
* ISML: NF PROMOCIONES II</t>
      </text>
    </comment>
    <comment authorId="0" ref="M2">
      <text>
        <t xml:space="preserve">* SOLO PARA FFVV
* PALANCAS: ALTA MFE XDSL
* ISML: NF PROMOCIONES II</t>
      </text>
    </comment>
    <comment authorId="0" ref="N2">
      <text>
        <t xml:space="preserve">* SOLO PARA FFVV
* PALANCAS: ALTA MFE FIBRA
* ISML: NF PROMOCIONES II</t>
      </text>
    </comment>
    <comment authorId="0" ref="O2">
      <text>
        <t xml:space="preserve">* SOLO PARA FFVV
* PALANCAS: SERVICIO TI AV + SERVICIO TI MV + SERVICIO TI BV
* DIFERENTES CÓD. PARA CADA VALOR
* IGNORAR CÓD. MÓVIL YA QUE NO SE ASOCIAN A MÓVILES
* ISML: NF PROMOCIONES I</t>
      </text>
    </comment>
    <comment authorId="0" ref="P2">
      <text>
        <t xml:space="preserve">* SOLO PARA FFVV
* PALANCAS: REPOSICIONAMIENTO A 30 Y 40
* ISML: PROMOCIONES MOVISTAR II</t>
      </text>
    </comment>
    <comment authorId="0" ref="Q2">
      <text>
        <t xml:space="preserve">* SOLO PARA PDV
* PALANCAS: CANJE TERMINAL AV
* ISML: MOVISTAR FIDELIZACION</t>
      </text>
    </comment>
    <comment authorId="0" ref="R2">
      <text>
        <t xml:space="preserve">* SOLO PARA PDV
* PALANCAS: CANJE TERMINAL MV
* ISML: MOVISTAR FIDELIZACION</t>
      </text>
    </comment>
    <comment authorId="0" ref="S2">
      <text>
        <t xml:space="preserve">* SOLO PARA PDV
* PALANCAS: CANJE TERMINAL BV
* ISML: MOVISTAR FIDELIZACION</t>
      </text>
    </comment>
    <comment authorId="0" ref="T2">
      <text>
        <t xml:space="preserve">* SOLO PARA PDV
* PALANCAS: ALTA/PORTA/MIGRA CON TERMINAL AV + 
ENTREGA TERMINAL TIENDA AV
* ISML: PROMOCIONES MOVISTAR II</t>
      </text>
    </comment>
    <comment authorId="0" ref="U2">
      <text>
        <t xml:space="preserve">* SOLO PARA PDV
* PALANCAS: ALTA/PORTA/MIGRA CON TERMINAL MV + 
ENTREGA TERMINAL TIENDA MV
* ISML: PROMOCIONES MOVISTAR II</t>
      </text>
    </comment>
    <comment authorId="0" ref="V2">
      <text>
        <t xml:space="preserve">* SOLO PARA PDV
* PALANCAS: ALTA/PORTA/MIGRA CON TERMINAL BV + 
ENTREGA TERMINAL TIENDA BV
* ISML: PROMOCIONES MOVISTAR II</t>
      </text>
    </comment>
    <comment authorId="0" ref="W2">
      <text>
        <t xml:space="preserve">* SOLO PARA FFVV
* PALANCAS: TMA AV
* ISML: NF PROMOCIONES I</t>
      </text>
    </comment>
    <comment authorId="0" ref="X2">
      <text>
        <t xml:space="preserve">* SOLO PARA FFVV
* PALANCAS: TMA MV
* ISML: NF PROMOCIONES I</t>
      </text>
    </comment>
    <comment authorId="0" ref="Y2">
      <text>
        <t xml:space="preserve">* SOLO PARA FFVV
* PALANCAS: TMA BV
* ISML: NF PROMOCIONES I</t>
      </text>
    </comment>
    <comment authorId="0" ref="Z2">
      <text>
        <t xml:space="preserve">* SOLO PARA PDV
* PALANCAS: SEGURO MOVIL
* ISML: SERVICIOS ESPECIALES</t>
      </text>
    </comment>
    <comment authorId="0" ref="AA2">
      <text>
        <t xml:space="preserve">* SOLO PARA PDV
* PALANCAS: A PLAZOS (FINANCIACION)
* TENER EN CUENTA ENTREGA EN TIENDA
* ISML: PROMOCIONES MOVISTAR II</t>
      </text>
    </comment>
    <comment authorId="0" ref="AB2">
      <text>
        <t xml:space="preserve">* SOLO PARA PDV
* PALANCAS: TARJETA
* EXCLUIR NC10LU QUE CORRESPONDE A MULTISIM
* ISML: PROMOCIONES MOVISTAR II</t>
      </text>
    </comment>
    <comment authorId="0" ref="AC2">
      <text>
        <t xml:space="preserve">* SOLO PARA PDV
* PALANCAS: MULTISIM
* ISML: PROMOCIONES MOVISTAR II</t>
      </text>
    </comment>
    <comment authorId="0" ref="AD2">
      <text>
        <t xml:space="preserve">* SOLO PARA PDV
* PALANCAS: ALTA ADSL + ALTA FIBRA 300
* ISML: NF PROMOCIONES I</t>
      </text>
    </comment>
    <comment authorId="0" ref="AE2">
      <text>
        <t xml:space="preserve">* SOLO PARA PDV
* PALANCAS: ALTA FIBRA 300 + MIGRA FIBRA 300
* ISML: NF PROMOCIONES I</t>
      </text>
    </comment>
    <comment authorId="0" ref="AF2">
      <text>
        <t xml:space="preserve">* SOLO PARA PDV
* PALANCAS: ALTA/PORTA AV (VIVE 26 Ó MEJOR) + MIGRA AV + MIGRA BV
* FICHERO ISML.P
* ISML: PROMOCIONES MOVISTAR I</t>
      </text>
    </comment>
    <comment authorId="0" ref="AG2">
      <text>
        <t xml:space="preserve">* SOLO PARA FFVV
* PALANCAS: ALTA/PORTA TODOS LOS CONTRATOS (CON Y SIN BLINDAJE)
* DISTINTOS IMPORTES PLUS Y BASICO
* CALCULAR LOS IMPORTES {DE CADA CODIGO} EN ISML.D MULTIPLICANDO LOS PUNTOS DETALLADOS EN EL CONCEPTO POR EL IMPORTE CORRESPONDIENTE. EL TOTAL DE PLUS Y DE BASICO ESTÁ EN IMSL.T CONCEPTO {LIQUIDABLE}
* EL PORCENTAJE ALCANZADO APARECE EN ISML.T EN {CUMPLIMIENTO}
* CUIDADO CON EL CUPO MAX. ANOTANDO INGRESOS POR CÓDIGO
* OJO PORTAS: FFVV CUENTA PARA OBJETIVO FECHA DE TRAMITACIÓN. EN LIQUIDACIONES ES INSTALACIÓN, EN T.OBJ. FFVV APARECERÁN LAS TRAMITADAS
* ISML: PROMOCIONES MOVISTAR I</t>
      </text>
    </comment>
    <comment authorId="0" ref="AH2">
      <text>
        <t xml:space="preserve">* SOLO PARA FFVV
* PALANCAS: REPOS. A TARIFA 30 + REPOS. A TARIFA 40
* DISTINTOS IMPORTES PLUS Y BASICO
* CALCULAR IMPORTE POR CÓD. MULTIPLICANDO LAS UDS. DEL ISML.D POR EL IMPORTE DE LA COMISIÓN, VERIFICAR CON EL TOTAL EN ISML.T
* CUIDADO CON EL CUPO MAX. A LA HORA DE CALCULAR EL IMPORTE
* EL PORCENTAJE ALCANZADO APARECE EN ISML.T EN "CUMPLIMIENTO"
* ISML: PROMOCIONES MOVISTAR I</t>
      </text>
    </comment>
    <comment authorId="0" ref="AI2">
      <text>
        <t xml:space="preserve">* SOLO PARA FFVV
* PALANCAS: ALTA ADSL + ALTA FIBRA 300 + MFE + MFE FIBRA
* ISML: NF PROMOCIONES I</t>
      </text>
    </comment>
    <comment authorId="0" ref="AJ2">
      <text>
        <t xml:space="preserve">* SOLO PARA FFVV
* PALANCAS: MIGRA FIBRA 300 + ALTA MFE + ALTA MFE FIBRA
* ISML: NF PROMOCIONES I</t>
      </text>
    </comment>
    <comment authorId="0" ref="AK2">
      <text>
        <t xml:space="preserve">* SOLO PARA FFVV
* PALANCAS: ALTA ADSL + ALTA FIBRA 300 + ALTA MFE + ALTA MFE FIBRA + PUESTO FIJO + MIGRA FIBRA 300 + MIGRA A MFE
* ISML: NF PROMOCIONES II</t>
      </text>
    </comment>
    <comment authorId="0" ref="AL2">
      <text>
        <t xml:space="preserve">* SOLO PARA FFVV
* PALANCAS: ALTA MFE + ALTA MFE FIBRA + MIGRA MFE FIBRA
* ISML: NF PROMOCIONES I</t>
      </text>
    </comment>
    <comment authorId="0" ref="AM2">
      <text>
        <t xml:space="preserve">* SOLO PARA FFVV
* PALANCAS: TMA AV + TMA MV + TMA BV
* ISML: NF PROMOCIONES II</t>
      </text>
    </comment>
    <comment authorId="0" ref="AN2">
      <text>
        <t xml:space="preserve">* SOLO PARA FFVV
* PALANCAS: ALTA SERVICIOS TI
* ISML: NF PROMOCIONES II</t>
      </text>
    </comment>
    <comment authorId="0" ref="AO2">
      <text>
        <t xml:space="preserve">***** IMEIS APORT. ISML VS APORT. SIAC/GA *****
* NO VA EN INFORMES, SOLAMENTE ANOTACIÓN
* [SACAR DOC. VENTAS + APORT.]  INFORMES &gt; SEG. COMERCIAL &gt; VENTAS EN TIENDA &gt; MOSTRAR IMPORTES + CON APORTACION OPERADOR
* IMPORTANTE QUITAR OPERACIONES CON APORTACION 0,00 Y +-0,01
* [SACAR DOC. VENTAS + IMEI] TRAMITAC. OPERADOR &gt; NEG. MOVIL &gt; INFORME DE ACTIVIDAD
* CRUZAR: DOC. VENTAS CON EL IMEI Y LAS APORTACIONES. 1- MOVER HOJA APORTACIONES A LIBRO VENTAS
2- CREAR NUEVA COL. PARA APORTACIONES
3- APLICAR FÓRMULA BUSCARV (
COL. DOC.VENTA;
RANGO A BUSCAR 1A COL DOC. VENTA DE APORTAC. CON (INCLUIR $ EN TODO);
Nº COL A DEVOLVER CONTANDO COL. DOC. VENTA;
FALSO
)
EJ: =BUSCARV($F2;Aportaciones!$T$2:$BF$9000;24;FALSO)
* FILTRAR SOLO APORTACIONES &gt; 0,01
* FILTRAR SOLO IMEIS
* FILTRAR QUITANDO TARJETAS SIM
* QUITAR DEVOLUCIONES EMPAREJANDOLAS
* DESPUES SACAR IMEIS CON APORTACIÓN DE [DRIVE GA], SEPARANDO LAS VENTAS POR FECHA Y LUEGO FILTRANDO POR APORTACION
* EN LOS [ISML] FILTRAR APORTACION Y ABONO
* FINALMENTE COMPARAR ISML VS LO OBTENIDO
* ISML MES: N+1
* ISML: PROM. MOVISTAR II + MOVISTAR FIDELIZACION
***** IMEIS ISML VS SIAC/GA *****
* NO VA EN INFORMES, SOLAMENTE ANOTACIÓN
* SIAC &gt; TRAM. OPERADOR &gt; INFORME ACTIVIDAD
* FILTRAR SOLO TERMINALES
* ISML: N+1
* EN COMISION NACIONAL FILTRAR EN COL. IMEI "IMEI EXCLUSIVO Y NUEVO"
**********
* SIAC &gt; SEG. NEGOCIO &gt; INGRESOS &gt; SEGUIMIENTO DEL NEGOCIO &gt; FILTRAR POR MES &gt; ARRASTRAR GRUPO VENDEDORES A 1A COLUMNA Y 1A FILA (TIENDAS)
* SIAC COLUMNA APORTACION_OPERADOR Y QUITAR EL IVA
* FACTURACION GAMA ALTA &gt; COLUMNA APORTACION Y QUITAR EL IVA</t>
      </text>
    </comment>
    <comment authorId="0" ref="AP2">
      <text>
        <t xml:space="preserve">* FACT GAMA ALTA &gt; COLUMNA TOTAL A PAGAR Y QUITAR IVA
* SIAC &gt; INFORMES &gt; SEGUIMIENTO COMERCIAL &gt; VENTAS EN TIENDA
* CANAL 10 PDV, CANAL 30 FFVV
* FILTRAR POR FECHA (CREADO EL) Y SELECCIONAR &lt;MOSTRAR IMPORTES&gt;
* EXPORTAR AMBOS CANALES A EXCEL
* FILTRAR MODELOS DE TERMINAL
* SUMAR COLUMNA "TOTAL A PAGAR POR CLIENTE" Y QUITAR IVA</t>
      </text>
    </comment>
    <comment authorId="0" ref="AQ2">
      <text>
        <t xml:space="preserve">* SOLO PARA PDV
* COLUMNA IMPORTE ABONADO DE LA HOJA FINANCIAS DE CRISTINA Y QUITAR EL IVA</t>
      </text>
    </comment>
    <comment authorId="0" ref="AR2">
      <text>
        <t xml:space="preserve">::::::::::: COMPROBACIÓN :::::::::::
* FILTRAR EN VENTAS SIAC "RECOMPRA TERMINAL" Y "CUPONES", EN FACT. GAMA ALTA "DESCUENTO"
* DESCARGAR LA AUTOFACTURA (EXCEL) QUE ENVIA ASSURANT POR EMAIL
* "VALOR TERMINALES RECOMPRADO" = "VALOR PROVISIONAL PAGO"
* "PROMOCIONES" = "VALOR PROVISIONAL PROMOCIÓN A PAGAR"
* "INCENTIVO PROMOCIÓN" = "INCENTIVO PROMO (IVA INCLUIDO)"
* RESULTADO POR TIENDA = "VALOR TERMINALES RECOMPRADO" + "PROMOCIONES" + 
QUITAR 21% [ "INCENTIVO PROMOCIÓN" ]
:::::::::::::: LIQUIDACIÓN ::::::::::::::
* Pedir Excel a Cristina
* Filtrar por fechas el mes N
* Sumar columnas "Diferencias pago assurant" y "Diferencias pago promociones"
* Pedir facturas del mes a Cristina
* Sumar conceptos "INCENTIVO", "COMISIÓN" y "DISCREPANCIA"</t>
      </text>
    </comment>
    <comment authorId="0" ref="AS2">
      <text>
        <t xml:space="preserve">* SIAC &gt; INFORMES &gt; SEGUIMIENTO COMERCIAL &gt; VENTAS EN TIENDA
* CANAL 10 PDV, CANAL 30 FFVV
* FILTRAR POR FECHA Y SELECCIONAR MOSTRAR IMPORTES
* EXPORTAR AMBOS CANALES A EXCEL
* FILTRAR TARJETAS
* SUMAR COLUMNA "TOTAL A PAGAR POR CLIENTE" Y QUITAR IVA</t>
      </text>
    </comment>
    <comment authorId="0" ref="AT2">
      <text>
        <t xml:space="preserve">* SIAC &gt; INFORMES &gt; SEGUIMIENTO COMERCIAL &gt; VENTAS EN TIENDA
* CANAL 10 PDV, CANAL 30 FFVV
* FILTRAR POR FECHA Y SELECCIONAR MOSTRAR IMPORTES
* EXPORTAR AMBOS CANALES A EXCEL
* FILTRAR ACCESORIOS EXCEPTO RECARGAS
* SUMAR COLUMNA "TOTAL A PAGAR POR CLIENTE" Y QUITAR IVA</t>
      </text>
    </comment>
    <comment authorId="0" ref="AU2">
      <text>
        <t xml:space="preserve">* SIAC &gt; INFORMES &gt; SEGUIMIENTO COMERCIAL &gt; VENTAS EN TIENDA
* CANAL 10 PDV
* FILTRAR POR FECHA Y SELECCIONAR MOSTRAR IMPORTES
* EXPORTAR A EXCEL
* FILTRAR RECARGA
* SUMAR COLUMNA "TOTAL A PAGAR POR CLIENTE" Y QUITAR IVA</t>
      </text>
    </comment>
    <comment authorId="0" ref="AV2">
      <text>
        <t xml:space="preserve">* SOLO PARA PDV
* PALANCAS: RETRIBUCION BASE
***** DESDE ABRIL *****
* SE LIQUIDA TRIMESTRALMENTE
* ISML N+2 DEL ULTIMO MES DEL TRIMESTRE
* ISML: RETRIBUCION BASE (MOVIL)
***** ANTERIOR ABRIL *****
* ISML N+3, NO N+2 QUE CORRESPONDE AL ADELANTO
* INCLUIR IMPORTE CON PENALIZACIONES PORQUE YA LO RESTAN EN FACTURA
* FICHERO ISML.P
* ISML: RETRIBUCION BASE</t>
      </text>
    </comment>
    <comment authorId="0" ref="AW2">
      <text>
        <t xml:space="preserve">* SOLO PARA FFVV
* PALANCAS: TOTAL PRV FFVV
* VER PRIMERO IMPORTES EN SPREADSHEET
* INCLUIR IMPORTE CON PENALIZACIONES (DE PRV, NO DE CALIDAD) PORQUE YA LO RESTAN EN FACTURA. REALMENTE SON DEDUCCIONES PERO LO LLAMAN PENALIZACIONES
* EN EL MES POSTERIOR AL TRIMESTRE HAY QUE INCLUIR EL CIERRE DE LA PRELIQUIDACIÓN, FILTRAR EN EL ISML.P DE PRE-LIQ "DESCRIPCION" CIERRE, Y "CONCEPTO" IMPORTE (NO INFORMATIVO) Y DIVIDIR EL CONJUNTO ENTRE EL Nº DE COMERCIALES
* ISML N+1, FICHERO ISML.T
* ISML: ACUERDO PLAN RETRIBUCION VARIABLE</t>
      </text>
    </comment>
    <comment authorId="0" ref="AX2">
      <text>
        <t xml:space="preserve">* SOLO PARA FFVV
* PALANCAS: PRE-LIQUIDACION PRV FFVV
* VER PRIMERO IMPORTES EN SPREADSHEET
* FILTRAR EN ISML "DESCRIPCION" PRELIQUIDACION Y "CONCEPTO" IMPORTE (NO INFORMATIVO)
* LOS IMPORTES HAY QUE DIVIDIRLOS ENTRE EL NUMERO DE COMERCIALES Y COMPARARLOS
* SI HAY ALGÚN DESCUADRE MIRAR FICHERO ISML.P, TENER EN CUENTA QUE NO APARECEN TODOS LOS MÓDULOS
* ISML N+1, FICHERO ISML.T
* ISML: PLAN RETRIBUCION VARIABLE TRIMESTRAL</t>
      </text>
    </comment>
    <comment authorId="0" ref="AY2">
      <text>
        <t xml:space="preserve">* A PARTE DE INGRESOS TAMBIÉN HAY BENEFICIOS PORQUE SE RESTA EL COSTE DE LOS PRODUCTOS EN ESTA RENTABILIDAD</t>
      </text>
    </comment>
    <comment authorId="0" ref="D13">
      <text>
        <t xml:space="preserve">* PDV NACIONAL: F004
* PDV CONTRACTUAL: BOL. HARPAGON
* FFVV NACIONAL: T002 + T008
* FFVV CONTRACTUAL: BOL. HARPAGON</t>
      </text>
    </comment>
    <comment authorId="0" ref="E13">
      <text>
        <t xml:space="preserve">* PDV NACIONAL: Z013
* PDV CONTRACTUAL: ALTA + PORTA + MIGRA
* FFVV NACIONAL: N026 + N027
* FFVV CONTRACTUAL: ALTA + PORTA</t>
      </text>
    </comment>
    <comment authorId="0" ref="F13">
      <text>
        <t xml:space="preserve">* FFVV NACIONAL: N024 + N025 + N008 + N023
* FFVV CONTRACTUAL: ALTA + PORTA + MIGRA</t>
      </text>
    </comment>
    <comment authorId="0" ref="G13">
      <text>
        <t xml:space="preserve">* PDV NACIONAL: Z014
* PDV CONTRACTUAL: ALTA + PORTA + MIGRA
* FFVV CONTRACTUAL: ALTA + PORTA</t>
      </text>
    </comment>
    <comment authorId="0" ref="H13">
      <text>
        <t xml:space="preserve">* PDV NACIONAL: F010</t>
      </text>
    </comment>
    <comment authorId="0" ref="I13">
      <text>
        <t xml:space="preserve">* FFVV NACIONAL: T032</t>
      </text>
    </comment>
    <comment authorId="0" ref="J13">
      <text>
        <t xml:space="preserve">* PDV NACIONAL: Y048 + Y076 + Y047 + Y077 + Y097</t>
      </text>
    </comment>
    <comment authorId="0" ref="K13">
      <text>
        <t xml:space="preserve">* PDV NACIONAL: Y046 + Y084</t>
      </text>
    </comment>
    <comment authorId="0" ref="L13">
      <text>
        <t xml:space="preserve">* PDV NACIONAL: Y041 + Y080 + Y042 + Y083</t>
      </text>
    </comment>
    <comment authorId="0" ref="M13">
      <text>
        <t xml:space="preserve">* FFVV NACIONAL: T013</t>
      </text>
    </comment>
    <comment authorId="0" ref="N13">
      <text>
        <t xml:space="preserve">* FFVV NACIONAL: T020</t>
      </text>
    </comment>
    <comment authorId="0" ref="O13">
      <text>
        <t xml:space="preserve">* PDV NACIONAL: T029 + T030 + T031</t>
      </text>
    </comment>
    <comment authorId="0" ref="P13">
      <text>
        <t xml:space="preserve">* FFVV NACIONAL: N028</t>
      </text>
    </comment>
    <comment authorId="0" ref="Q13">
      <text>
        <t xml:space="preserve">* PDV NACIONAL: Z007</t>
      </text>
    </comment>
    <comment authorId="0" ref="R13">
      <text>
        <t xml:space="preserve">* PDV NACIONAL: Z008</t>
      </text>
    </comment>
    <comment authorId="0" ref="S13">
      <text>
        <t xml:space="preserve">* PDV NACIONAL: Z009</t>
      </text>
    </comment>
    <comment authorId="0" ref="T13">
      <text>
        <t xml:space="preserve">* PDV NACIONAL: Z010 + Z018</t>
      </text>
    </comment>
    <comment authorId="0" ref="U13">
      <text>
        <t xml:space="preserve">* PDV NACIONAL: Z008 + Z019</t>
      </text>
    </comment>
    <comment authorId="0" ref="V13">
      <text>
        <t xml:space="preserve">* PDV NACIONAL: Z012 + Z020</t>
      </text>
    </comment>
    <comment authorId="0" ref="W13">
      <text>
        <t xml:space="preserve">* FFVV NACIONAL: T025</t>
      </text>
    </comment>
    <comment authorId="0" ref="X13">
      <text>
        <t xml:space="preserve">* FFVV NACIONAL: T026</t>
      </text>
    </comment>
    <comment authorId="0" ref="Y13">
      <text>
        <t xml:space="preserve">* FFVV NACIONAL: T027</t>
      </text>
    </comment>
    <comment authorId="0" ref="Z13">
      <text>
        <t xml:space="preserve">* PDV NACIONAL: M037</t>
      </text>
    </comment>
    <comment authorId="0" ref="AA13">
      <text>
        <t xml:space="preserve">* PDV NACIONAL: M001</t>
      </text>
    </comment>
    <comment authorId="0" ref="AC13">
      <text>
        <t xml:space="preserve">* PDV NACIONAL: M035</t>
      </text>
    </comment>
    <comment authorId="0" ref="AD13">
      <text>
        <t xml:space="preserve">* PDV TERRITORIAL: P050</t>
      </text>
    </comment>
    <comment authorId="0" ref="AE13">
      <text>
        <t xml:space="preserve">* PDV TERRITORIAL: P051</t>
      </text>
    </comment>
    <comment authorId="0" ref="AF13">
      <text>
        <t xml:space="preserve">* PDV TERRITORIAL: P052</t>
      </text>
    </comment>
    <comment authorId="0" ref="AG13">
      <text>
        <t xml:space="preserve">* FFVV TERRITORIAL: A250 + A255</t>
      </text>
    </comment>
    <comment authorId="0" ref="AH13">
      <text>
        <t xml:space="preserve">* FFVV TERRITORIAL: A251 + A256</t>
      </text>
    </comment>
    <comment authorId="0" ref="AI13">
      <text>
        <t xml:space="preserve">* FFVV TERRITORIAL: A252 + A257</t>
      </text>
    </comment>
    <comment authorId="0" ref="AJ13">
      <text>
        <t xml:space="preserve">* FFVV TERRITORIAL: A253 + A258</t>
      </text>
    </comment>
    <comment authorId="0" ref="AK13">
      <text>
        <t xml:space="preserve">YA NO SE LIQUIDA ASÍ</t>
      </text>
    </comment>
    <comment authorId="0" ref="AL13">
      <text>
        <t xml:space="preserve">* FFVV TERRITORIAL: A254 + A259</t>
      </text>
    </comment>
    <comment authorId="0" ref="AM13">
      <text>
        <t xml:space="preserve">YA NO SE LIQUIDA ASÍ</t>
      </text>
    </comment>
    <comment authorId="0" ref="AN13">
      <text>
        <t xml:space="preserve">* FFVV TERRITORIAL: A138 + A146</t>
      </text>
    </comment>
    <comment authorId="0" ref="AO13">
      <text>
        <t xml:space="preserve">* APORTACIÓN TERMINAL: SIAC + GOOGLE DRIVE</t>
      </text>
    </comment>
    <comment authorId="0" ref="AP13">
      <text>
        <t xml:space="preserve">* CAJA TERMINAL: IMPORTE SIAC</t>
      </text>
    </comment>
    <comment authorId="0" ref="AS13">
      <text>
        <t xml:space="preserve">* CAJA TARJETA SIM: IMPORTE SIAC</t>
      </text>
    </comment>
    <comment authorId="0" ref="AT13">
      <text>
        <t xml:space="preserve">* CAJA ACCESORIO: IMPORTE SIAC</t>
      </text>
    </comment>
    <comment authorId="0" ref="AY13">
      <text>
        <t xml:space="preserve">* INGRESOS: 
3.030,00€ DEBORAH
00060,00€ CRISTINA TEL.</t>
      </text>
    </comment>
    <comment authorId="0" ref="D24">
      <text>
        <t xml:space="preserve">* PDV NACIONAL: NC10DI
* PDV CONTRACTUAL: BOL. HARPAGON
* FFVV NACIONAL: NC101M + NC101V
* FFVV CONTRACTUAL: BOL. HARPAGON</t>
      </text>
    </comment>
    <comment authorId="0" ref="E24">
      <text>
        <t xml:space="preserve">* PDV NACIONAL: NC10JS + NC10JU + NC10JV + NC10JW + NC10JT + NC10JX
* PDV CONTRACTUAL: ALTA + PORTA + MIGRA
* FFVV NACIONAL: NC10S6 + NC10S7
* FFVV CONTRACTUAL: ALTA + PORTA</t>
      </text>
    </comment>
    <comment authorId="0" ref="F24">
      <text>
        <t xml:space="preserve">* FFVV NACIONAL: NC10S8 + NC10S3 + NC10S9 + NC10S4
* FFVV CONTRACTUAL: ALTA + PORTA</t>
      </text>
    </comment>
    <comment authorId="0" ref="G24">
      <text>
        <t xml:space="preserve">* PDV NACIONAL: NC10JV + NC10JW + NC10JX + NC10RF + NC10RG
* PDV CONTRACTUAL: ALTA + PORTA + MIGRA
* FFVV CONTRACTUAL: ALTA + PORTA</t>
      </text>
    </comment>
    <comment authorId="0" ref="H24">
      <text>
        <t xml:space="preserve">* PDV NACIONAL: NC10DD</t>
      </text>
    </comment>
    <comment authorId="0" ref="I24">
      <text>
        <t xml:space="preserve">* FFVV NACIONAL: NC10QP + NC10QQ</t>
      </text>
    </comment>
    <comment authorId="0" ref="J24">
      <text>
        <t xml:space="preserve">* PDV NACIONAL: NC10DG + NC10MJ + NC10QT + NC10QX + NC10QY + NC10QZ + NC10R4</t>
      </text>
    </comment>
    <comment authorId="0" ref="K24">
      <text>
        <t xml:space="preserve">* PDV NACIONAL: NC10MD + NC10QS</t>
      </text>
    </comment>
    <comment authorId="0" ref="L24">
      <text>
        <t xml:space="preserve">* PDV NACIONAL: NC10MG + NC10MP + NC10QR + NC10QU + NC10QV + NC10QW + NC10R0 + NC10R1 + NC10R2 + NC10R3 + NC10R5</t>
      </text>
    </comment>
    <comment authorId="0" ref="M24">
      <text>
        <t xml:space="preserve">* FFVV NACIONAL: NC10QO</t>
      </text>
    </comment>
    <comment authorId="0" ref="N24">
      <text>
        <t xml:space="preserve">* FFVV NACIONAL: NC10QN</t>
      </text>
    </comment>
    <comment authorId="0" ref="O24">
      <text>
        <t xml:space="preserve">* PDV NACIONAL: NC10R8 + NC10EG + NC10R9 + NC10EC</t>
      </text>
    </comment>
    <comment authorId="0" ref="P24">
      <text>
        <t xml:space="preserve">* FFVV NACIONAL: NC10S5</t>
      </text>
    </comment>
    <comment authorId="0" ref="Q24">
      <text>
        <t xml:space="preserve">* PDV NACIONAL: NC10NL</t>
      </text>
    </comment>
    <comment authorId="0" ref="R24">
      <text>
        <t xml:space="preserve">* PDV NACIONAL: NC10NM</t>
      </text>
    </comment>
    <comment authorId="0" ref="S24">
      <text>
        <t xml:space="preserve">* PDV NACIONAL: NC10NN</t>
      </text>
    </comment>
    <comment authorId="0" ref="T24">
      <text>
        <t xml:space="preserve">* PDV NACIONAL: NC10PT + NC10PU + NC10PV + NC10RV</t>
      </text>
    </comment>
    <comment authorId="0" ref="U24">
      <text>
        <t xml:space="preserve">* PDV NACIONAL: NC10NF + NC10NG + NC10NH + NC10RW</t>
      </text>
    </comment>
    <comment authorId="0" ref="V24">
      <text>
        <t xml:space="preserve">* PDV NACIONAL: NC10NI + NC10NJ + NC10NK + NC10RX</t>
      </text>
    </comment>
    <comment authorId="0" ref="W24">
      <text>
        <t xml:space="preserve">* FFVV NACIONAL:  NC101U</t>
      </text>
    </comment>
    <comment authorId="0" ref="X24">
      <text>
        <t xml:space="preserve">* FFVV NACIONAL: NC101R</t>
      </text>
    </comment>
    <comment authorId="0" ref="Y24">
      <text>
        <t xml:space="preserve">* FFVV NACIONAL: NC101J</t>
      </text>
    </comment>
    <comment authorId="0" ref="Z24">
      <text>
        <t xml:space="preserve">* PDV NACIONAL: NC10NS</t>
      </text>
    </comment>
    <comment authorId="0" ref="AA24">
      <text>
        <t xml:space="preserve">* PDV NACIONAL: NC10GW + NC10GY</t>
      </text>
    </comment>
    <comment authorId="0" ref="AB24">
      <text>
        <t xml:space="preserve">* PDV NACIONAL: NC10LT + NC10LV + NC10LU + NC10JC + NC10SQ + NC10IQ + NC10IR + NC10IL + NC10IM</t>
      </text>
    </comment>
    <comment authorId="0" ref="AC24">
      <text>
        <t xml:space="preserve">* PDV NACIONAL: NC10NR</t>
      </text>
    </comment>
    <comment authorId="0" ref="AD24">
      <text>
        <t xml:space="preserve">* PDV TERRITORIAL: TC103D</t>
      </text>
    </comment>
    <comment authorId="0" ref="AE24">
      <text>
        <t xml:space="preserve">* PDV TERRITORIAL: TC1039</t>
      </text>
    </comment>
    <comment authorId="0" ref="AF24">
      <text>
        <t xml:space="preserve">* PDV TERRITORIAL: TC10B5</t>
      </text>
    </comment>
    <comment authorId="0" ref="AG24">
      <text>
        <t xml:space="preserve">* FFVV TERRITORIAL: TC10UV + TC10UU</t>
      </text>
    </comment>
    <comment authorId="0" ref="AH24">
      <text>
        <t xml:space="preserve">* FFVV TERRITORIAL: TC10UW + TC10UX</t>
      </text>
    </comment>
    <comment authorId="0" ref="AI24">
      <text>
        <t xml:space="preserve">YA NO SE LIQUIDA ASÍ</t>
      </text>
    </comment>
    <comment authorId="0" ref="AJ24">
      <text>
        <t xml:space="preserve">YA NO SE LIQUIDA ASÍ</t>
      </text>
    </comment>
    <comment authorId="0" ref="AK24">
      <text>
        <t xml:space="preserve">* FFVV TERRITORIAL: TC10UR + TC10UQ</t>
      </text>
    </comment>
    <comment authorId="0" ref="AL24">
      <text>
        <t xml:space="preserve">* FFVV TERRITORIAL: TC10UM + TC10UN + TC10UO + TC10UP</t>
      </text>
    </comment>
    <comment authorId="0" ref="AM24">
      <text>
        <t xml:space="preserve">YA NO SE LIQUIDA ASÍ</t>
      </text>
    </comment>
    <comment authorId="0" ref="AN24">
      <text>
        <t xml:space="preserve">* FFVV TERRITORIAL: TC10US + TC10UT</t>
      </text>
    </comment>
    <comment authorId="0" ref="AO24">
      <text>
        <t xml:space="preserve">* APORTACIÓN TERMINAL: SIAC + GOOGLE DRIVE</t>
      </text>
    </comment>
    <comment authorId="0" ref="AP24">
      <text>
        <t xml:space="preserve">* CAJA TERMINAL: IMPORTE SIAC</t>
      </text>
    </comment>
    <comment authorId="0" ref="AS24">
      <text>
        <t xml:space="preserve">* CAJA TARJETA SIM: IMPORTE SIAC</t>
      </text>
    </comment>
    <comment authorId="0" ref="AT24">
      <text>
        <t xml:space="preserve">* CAJA ACCESORIO: IMPORTE SIAC</t>
      </text>
    </comment>
    <comment authorId="0" ref="AY24">
      <text>
        <t xml:space="preserve">* INGRESOS: 
2.987,80€ DEBORAH</t>
      </text>
    </comment>
    <comment authorId="0" ref="D35">
      <text>
        <t xml:space="preserve">* PDV NACIONAL: NC10DI + NC10DC
* PDV CONTRACTUAL: BOL. HARPAGON
* FFVV NACIONAL: NC101M + NC101V
* FFVV CONTRACTUAL: BOL. HARPAGON</t>
      </text>
    </comment>
    <comment authorId="0" ref="E35">
      <text>
        <t xml:space="preserve">* PDV NACIONAL: NC10JS + NC10JT + NC10JU
* PDV CONTRACTUAL: ALTA + PORTA + MIGRA
* FFVV NACIONAL: NC10S6 + NC10S7
* FFVV CONTRACTUAL: ALTA + PORTA</t>
      </text>
    </comment>
    <comment authorId="0" ref="F35">
      <text>
        <t xml:space="preserve">* FFVV NACIONAL: NC10S8 + NC10S3 + NC10S9 + NC10S4
* FFVV CONTRACTUAL: ALTA + PORTA</t>
      </text>
    </comment>
    <comment authorId="0" ref="G35">
      <text>
        <t xml:space="preserve">* PDV CONTRACTUAL: ALTA + PORTA + MIGRA
* FFVV CONTRACTUAL: ALTA + PORTA</t>
      </text>
    </comment>
    <comment authorId="0" ref="H35">
      <text>
        <t xml:space="preserve">* PDV NACIONAL: NC10DD</t>
      </text>
    </comment>
    <comment authorId="0" ref="I35">
      <text>
        <t xml:space="preserve">* FFVV NACIONAL: NC10QP + NC10QQ</t>
      </text>
    </comment>
    <comment authorId="0" ref="J35">
      <text>
        <t xml:space="preserve">* PDV NACIONAL: NC10DG + NC10MJ + NC10QZ</t>
      </text>
    </comment>
    <comment authorId="0" ref="K35">
      <text>
        <t xml:space="preserve">* PDV NACIONAL: NC10MD</t>
      </text>
    </comment>
    <comment authorId="0" ref="L35">
      <text>
        <t xml:space="preserve">* PDV NACIONAL: NC10MG + NC10QR + NC10R0 + NC10R1
+ NC10R2 + NC10R3 + NC10Y8 + NC10Y9 + NC10YA + NC10XF</t>
      </text>
    </comment>
    <comment authorId="0" ref="M35">
      <text>
        <t xml:space="preserve">* FFVV NACIONAL: NC10QO</t>
      </text>
    </comment>
    <comment authorId="0" ref="N35">
      <text>
        <t xml:space="preserve">* FFVV NACIONAL: NC10QN</t>
      </text>
    </comment>
    <comment authorId="0" ref="O35">
      <text>
        <t xml:space="preserve">* PDV NACIONAL: NC10R8 + NC10EG + NC10R9 + NC10EC</t>
      </text>
    </comment>
    <comment authorId="0" ref="P35">
      <text>
        <t xml:space="preserve">* FFVV NACIONAL: NC10S5</t>
      </text>
    </comment>
    <comment authorId="0" ref="Q35">
      <text>
        <t xml:space="preserve">* PDV NACIONAL: NC10NL</t>
      </text>
    </comment>
    <comment authorId="0" ref="R35">
      <text>
        <t xml:space="preserve">* PDV NACIONAL: NC10NM</t>
      </text>
    </comment>
    <comment authorId="0" ref="S35">
      <text>
        <t xml:space="preserve">* PDV NACIONAL: NC10NN</t>
      </text>
    </comment>
    <comment authorId="0" ref="T35">
      <text>
        <t xml:space="preserve">* PDV NACIONAL: NC10PT + NC10PU + NC10PV + NC10RV</t>
      </text>
    </comment>
    <comment authorId="0" ref="U35">
      <text>
        <t xml:space="preserve">* PDV NACIONAL: NC10NF + NC10NG + NC10NH + NC10RW</t>
      </text>
    </comment>
    <comment authorId="0" ref="V35">
      <text>
        <t xml:space="preserve">* PDV NACIONAL: NC10NI + NC10NJ + NC10NK + NC10RX</t>
      </text>
    </comment>
    <comment authorId="0" ref="W35">
      <text>
        <t xml:space="preserve">* FFVV NACIONAL:  NC101U</t>
      </text>
    </comment>
    <comment authorId="0" ref="X35">
      <text>
        <t xml:space="preserve">* FFVV NACIONAL: NC101R</t>
      </text>
    </comment>
    <comment authorId="0" ref="Y35">
      <text>
        <t xml:space="preserve">* FFVV NACIONAL: NC101J</t>
      </text>
    </comment>
    <comment authorId="0" ref="Z35">
      <text>
        <t xml:space="preserve">* PDV NACIONAL: NC10NS</t>
      </text>
    </comment>
    <comment authorId="0" ref="AA35">
      <text>
        <t xml:space="preserve">* PDV NACIONAL: NC10GW + NC10GY</t>
      </text>
    </comment>
    <comment authorId="0" ref="AB35">
      <text>
        <t xml:space="preserve">* PDV NACIONAL: NC10LT + NC10LV + NC10LU + NC10JC + NC10SQ + NC10XN + NC10XO + NC10XP + NC10XQ + NC10XR + NC10XS</t>
      </text>
    </comment>
    <comment authorId="0" ref="AC35">
      <text>
        <t xml:space="preserve">* PDV NACIONAL: NC10NR</t>
      </text>
    </comment>
    <comment authorId="0" ref="AD35">
      <text>
        <t xml:space="preserve">* PDV TERRITORIAL: TC103D</t>
      </text>
    </comment>
    <comment authorId="0" ref="AE35">
      <text>
        <t xml:space="preserve">* PDV TERRITORIAL: TC1039</t>
      </text>
    </comment>
    <comment authorId="0" ref="AF35">
      <text>
        <t xml:space="preserve">* PDV TERRITORIAL: TC10B5</t>
      </text>
    </comment>
    <comment authorId="0" ref="AG35">
      <text>
        <t xml:space="preserve">* FFVV TERRITORIAL: TC10UV + TC10UU</t>
      </text>
    </comment>
    <comment authorId="0" ref="AH35">
      <text>
        <t xml:space="preserve">* FFVV TERRITORIAL: TC10UW + TC10UX</t>
      </text>
    </comment>
    <comment authorId="0" ref="AI35">
      <text>
        <t xml:space="preserve">YA NO SE LIQUIDA ASÍ</t>
      </text>
    </comment>
    <comment authorId="0" ref="AJ35">
      <text>
        <t xml:space="preserve">YA NO SE LIQUIDA ASÍ</t>
      </text>
    </comment>
    <comment authorId="0" ref="AK35">
      <text>
        <t xml:space="preserve">* FFVV TERRITORIAL: TC10UR + TC10UQ</t>
      </text>
    </comment>
    <comment authorId="0" ref="AL35">
      <text>
        <t xml:space="preserve">* FFVV TERRITORIAL: TC10UM + TC10UN + TC10UO + TC10UP</t>
      </text>
    </comment>
    <comment authorId="0" ref="AM35">
      <text>
        <t xml:space="preserve">YA NO SE LIQUIDA ASÍ</t>
      </text>
    </comment>
    <comment authorId="0" ref="AN35">
      <text>
        <t xml:space="preserve">* FFVV TERRITORIAL: TC10US + TC10UT</t>
      </text>
    </comment>
    <comment authorId="0" ref="AO35">
      <text>
        <t xml:space="preserve">* APORTACIÓN TERMINAL: SIAC + GOOGLE DRIVE</t>
      </text>
    </comment>
    <comment authorId="0" ref="AP35">
      <text>
        <t xml:space="preserve">* CAJA TERMINAL: IMPORTE SIAC + IMPORTE DRIVE</t>
      </text>
    </comment>
    <comment authorId="0" ref="AS35">
      <text>
        <t xml:space="preserve">* CAJA TARJETA SIM: IMPORTE SIAC</t>
      </text>
    </comment>
    <comment authorId="0" ref="AT35">
      <text>
        <t xml:space="preserve">* CAJA ACCESORIO: IMPORTE SIAC</t>
      </text>
    </comment>
    <comment authorId="0" ref="AY35">
      <text>
        <t xml:space="preserve">* INGRESOS: 
3.040,00€ DEBORAH</t>
      </text>
    </comment>
    <comment authorId="0" ref="D46">
      <text>
        <t xml:space="preserve">* PDV NACIONAL: NC10DI + NC10DC
* PDV CONTRACTUAL: BOL. HARPAGON
* FFVV NACIONAL: NC101M + NC101V
* FFVV CONTRACTUAL: BOL. HARPAGON</t>
      </text>
    </comment>
    <comment authorId="0" ref="E46">
      <text>
        <t xml:space="preserve">* PDV NACIONAL: NC10JS + NC10JT + NC10JU
* PDV CONTRACTUAL: ALTA + PORTA + MIGRA
* FFVV NACIONAL: NC10S6 + NC10S7
* FFVV CONTRACTUAL: ALTA + PORTA</t>
      </text>
    </comment>
    <comment authorId="0" ref="F46">
      <text>
        <t xml:space="preserve">* FFVV NACIONAL: NC10S8 + NC10S3 + NC10S9 + NC10S4
* FFVV CONTRACTUAL: ALTA + PORTA</t>
      </text>
    </comment>
    <comment authorId="0" ref="G46">
      <text>
        <t xml:space="preserve">* PDV CONTRACTUAL: ALTA + PORTA + MIGRA
* FFVV CONTRACTUAL: ALTA + PORTA</t>
      </text>
    </comment>
    <comment authorId="0" ref="H46">
      <text>
        <t xml:space="preserve">* PDV NACIONAL: NC10DD</t>
      </text>
    </comment>
    <comment authorId="0" ref="I46">
      <text>
        <t xml:space="preserve">* FFVV NACIONAL: NC10QP + NC10XY + NC10QQ</t>
      </text>
    </comment>
    <comment authorId="0" ref="J46">
      <text>
        <t xml:space="preserve">* PDV NACIONAL: NC10DG + NC10MJ + NC10QZ</t>
      </text>
    </comment>
    <comment authorId="0" ref="K46">
      <text>
        <t xml:space="preserve">* PDV NACIONAL: NC10MD</t>
      </text>
    </comment>
    <comment authorId="0" ref="L46">
      <text>
        <t xml:space="preserve">* PDV NACIONAL: NC10MG + NC10QR + NC10R0 + NC10R1
+ NC10R2 + NC10R3 + NC10Y8 + NC10Y9 + NC10YA + NC10XF</t>
      </text>
    </comment>
    <comment authorId="0" ref="M46">
      <text>
        <t xml:space="preserve">* FFVV NACIONAL: NC10QO</t>
      </text>
    </comment>
    <comment authorId="0" ref="N46">
      <text>
        <t xml:space="preserve">* FFVV NACIONAL: NC10QN</t>
      </text>
    </comment>
    <comment authorId="0" ref="O46">
      <text>
        <t xml:space="preserve">* PDV NACIONAL: NC10R8 + NC10EG + NC10R9 + NC10YX + NC10EC</t>
      </text>
    </comment>
    <comment authorId="0" ref="P46">
      <text>
        <t xml:space="preserve">* FFVV NACIONAL: NC10S5</t>
      </text>
    </comment>
    <comment authorId="0" ref="Q46">
      <text>
        <t xml:space="preserve">* PDV NACIONAL: NC10NL</t>
      </text>
    </comment>
    <comment authorId="0" ref="R46">
      <text>
        <t xml:space="preserve">* PDV NACIONAL: NC10NM</t>
      </text>
    </comment>
    <comment authorId="0" ref="S46">
      <text>
        <t xml:space="preserve">* PDV NACIONAL: NC10NN</t>
      </text>
    </comment>
    <comment authorId="0" ref="T46">
      <text>
        <t xml:space="preserve">* PDV NACIONAL: NC10PT + NC10PU + NC10PV</t>
      </text>
    </comment>
    <comment authorId="0" ref="U46">
      <text>
        <t xml:space="preserve">* PDV NACIONAL: NC10NF + NC10NG + NC10NH</t>
      </text>
    </comment>
    <comment authorId="0" ref="V46">
      <text>
        <t xml:space="preserve">* PDV NACIONAL: NC10NI + NC10NJ + NC10NK</t>
      </text>
    </comment>
    <comment authorId="0" ref="W46">
      <text>
        <t xml:space="preserve">* FFVV NACIONAL:  NC101U</t>
      </text>
    </comment>
    <comment authorId="0" ref="X46">
      <text>
        <t xml:space="preserve">* FFVV NACIONAL: NC101R</t>
      </text>
    </comment>
    <comment authorId="0" ref="Y46">
      <text>
        <t xml:space="preserve">* FFVV NACIONAL: NC101J</t>
      </text>
    </comment>
    <comment authorId="0" ref="Z46">
      <text>
        <t xml:space="preserve">* PDV NACIONAL: NC10NS</t>
      </text>
    </comment>
    <comment authorId="0" ref="AA46">
      <text>
        <t xml:space="preserve">* PDV NACIONAL: NC10GW + NC10GY + NC10SE</t>
      </text>
    </comment>
    <comment authorId="0" ref="AB46">
      <text>
        <t xml:space="preserve">* PDV NACIONAL: IMPORTE TARJETA SIM</t>
      </text>
    </comment>
    <comment authorId="0" ref="AC46">
      <text>
        <t xml:space="preserve">* PDV NACIONAL: NC10NR</t>
      </text>
    </comment>
    <comment authorId="0" ref="AD46">
      <text>
        <t xml:space="preserve">* PDV TERRITORIAL: TC103D</t>
      </text>
    </comment>
    <comment authorId="0" ref="AE46">
      <text>
        <t xml:space="preserve">* PDV TERRITORIAL: TC1039</t>
      </text>
    </comment>
    <comment authorId="0" ref="AF46">
      <text>
        <t xml:space="preserve">* PDV TERRITORIAL: TC10B5</t>
      </text>
    </comment>
    <comment authorId="0" ref="AG46">
      <text>
        <t xml:space="preserve">* FFVV TERRITORIAL: TC10UV + TC10UU</t>
      </text>
    </comment>
    <comment authorId="0" ref="AH46">
      <text>
        <t xml:space="preserve">* FFVV TERRITORIAL: TC10UW + TC10UX</t>
      </text>
    </comment>
    <comment authorId="0" ref="AI46">
      <text>
        <t xml:space="preserve">YA NO SE LIQUIDA ASÍ</t>
      </text>
    </comment>
    <comment authorId="0" ref="AJ46">
      <text>
        <t xml:space="preserve">YA NO SE LIQUIDA ASÍ</t>
      </text>
    </comment>
    <comment authorId="0" ref="AK46">
      <text>
        <t xml:space="preserve">* FFVV TERRITORIAL: TC10UR + TC10UQ</t>
      </text>
    </comment>
    <comment authorId="0" ref="AL46">
      <text>
        <t xml:space="preserve">* FFVV TERRITORIAL: TC1115 + TC1114</t>
      </text>
    </comment>
    <comment authorId="0" ref="AM46">
      <text>
        <t xml:space="preserve">* FFVV TERRITORIAL: TC1118 + TC1119</t>
      </text>
    </comment>
    <comment authorId="0" ref="AN46">
      <text>
        <t xml:space="preserve">* FFVV TERRITORIAL: TC1116 + TC1117</t>
      </text>
    </comment>
    <comment authorId="0" ref="AO46">
      <text>
        <t xml:space="preserve">* APORTACIÓN TERMINAL: SIAC + GOOGLE DRIVE</t>
      </text>
    </comment>
    <comment authorId="0" ref="AP46">
      <text>
        <t xml:space="preserve">* CAJA TERMINAL: IMPORTE SIAC + IMPORTE DRIVE</t>
      </text>
    </comment>
    <comment authorId="0" ref="AS46">
      <text>
        <t xml:space="preserve">* CAJA TARJETA SIM: IMPORTE SIAC</t>
      </text>
    </comment>
    <comment authorId="0" ref="AT46">
      <text>
        <t xml:space="preserve">* CAJA ACCESORIO: IMPORTE SIAC</t>
      </text>
    </comment>
    <comment authorId="0" ref="AY46">
      <text>
        <t xml:space="preserve">* INGRESOS: 
2.173,00€ DEBORAH
664,00€ CRISTINA TEL.</t>
      </text>
    </comment>
    <comment authorId="0" ref="D57">
      <text>
        <t xml:space="preserve">* PDV NACIONAL: NC10DI + NC10DC
* PDV CONTRACTUAL: BOL. HARPAGON
* FFVV NACIONAL: NC101M + NC101V
* FFVV CONTRACTUAL: BOL. HARPAGON</t>
      </text>
    </comment>
    <comment authorId="0" ref="E57">
      <text>
        <t xml:space="preserve">* PDV NACIONAL: NC10JS + NC10JT + NC10JU
* PDV CONTRACTUAL: ALTA + PORTA + MIGRA
* FFVV NACIONAL: NC10S6 + NC10S7
* FFVV CONTRACTUAL: ALTA + PORTA</t>
      </text>
    </comment>
    <comment authorId="0" ref="F57">
      <text>
        <t xml:space="preserve">* FFVV NACIONAL: NC10S8 + NC10S3 + NC10S9 + NC10S4
* FFVV CONTRACTUAL: ALTA + PORTA</t>
      </text>
    </comment>
    <comment authorId="0" ref="G57">
      <text>
        <t xml:space="preserve">* PDV CONTRACTUAL: ALTA + PORTA + MIGRA
* FFVV CONTRACTUAL: ALTA + PORTA</t>
      </text>
    </comment>
    <comment authorId="0" ref="H57">
      <text>
        <t xml:space="preserve">* PDV NACIONAL: NC10DD</t>
      </text>
    </comment>
    <comment authorId="0" ref="I57">
      <text>
        <t xml:space="preserve">* FFVV NACIONAL: NC10QP + NC10XY + NC10QQ</t>
      </text>
    </comment>
    <comment authorId="0" ref="J57">
      <text>
        <t xml:space="preserve">* PDV NACIONAL: NC10MJ + NC10QZ +NC10DG</t>
      </text>
    </comment>
    <comment authorId="0" ref="K57">
      <text>
        <t xml:space="preserve">* PDV NACIONAL: NC10MD</t>
      </text>
    </comment>
    <comment authorId="0" ref="L57">
      <text>
        <t xml:space="preserve">* PDV NACIONAL: NC10MG (N+2) + NC10QR (N+2) + NC10R0 + NC10R1 + NC10R2 + NC10R3 + NC10Y8 + NC10Y9 + NC10YA + NC10XF</t>
      </text>
    </comment>
    <comment authorId="0" ref="M57">
      <text>
        <t xml:space="preserve">* FFVV NACIONAL: NC10QO</t>
      </text>
    </comment>
    <comment authorId="0" ref="N57">
      <text>
        <t xml:space="preserve">* FFVV NACIONAL: NC10QN</t>
      </text>
    </comment>
    <comment authorId="0" ref="O57">
      <text>
        <t xml:space="preserve">* PDV NACIONAL: NC10R8 + NC10EG + NC10R9 + NC10YX + NC10EC</t>
      </text>
    </comment>
    <comment authorId="0" ref="P57">
      <text>
        <t xml:space="preserve">* FFVV NACIONAL: NC10S5</t>
      </text>
    </comment>
    <comment authorId="0" ref="Q57">
      <text>
        <t xml:space="preserve">* PDV NACIONAL: NC10NL</t>
      </text>
    </comment>
    <comment authorId="0" ref="R57">
      <text>
        <t xml:space="preserve">* PDV NACIONAL: NC10NM</t>
      </text>
    </comment>
    <comment authorId="0" ref="S57">
      <text>
        <t xml:space="preserve">* PDV NACIONAL: NC10NN</t>
      </text>
    </comment>
    <comment authorId="0" ref="T57">
      <text>
        <t xml:space="preserve">* PDV NACIONAL: NC10PT + NC10PU + NC10PV</t>
      </text>
    </comment>
    <comment authorId="0" ref="U57">
      <text>
        <t xml:space="preserve">* PDV NACIONAL: NC10NF + NC10NG + NC10NH</t>
      </text>
    </comment>
    <comment authorId="0" ref="V57">
      <text>
        <t xml:space="preserve">* PDV NACIONAL: NC10NI + NC10NJ + NC10NK</t>
      </text>
    </comment>
    <comment authorId="0" ref="W57">
      <text>
        <t xml:space="preserve">* FFVV NACIONAL:  NC101U</t>
      </text>
    </comment>
    <comment authorId="0" ref="X57">
      <text>
        <t xml:space="preserve">* FFVV NACIONAL: NC101R</t>
      </text>
    </comment>
    <comment authorId="0" ref="Y57">
      <text>
        <t xml:space="preserve">* FFVV NACIONAL: NC101J</t>
      </text>
    </comment>
    <comment authorId="0" ref="Z57">
      <text>
        <t xml:space="preserve">* PDV NACIONAL: NC10NS</t>
      </text>
    </comment>
    <comment authorId="0" ref="AA57">
      <text>
        <t xml:space="preserve">* PDV NACIONAL: NC10GW + NC10GY + NC10SE</t>
      </text>
    </comment>
    <comment authorId="0" ref="AB57">
      <text>
        <t xml:space="preserve">* PDV NACIONAL: IMPORTE TARJETA SIM</t>
      </text>
    </comment>
    <comment authorId="0" ref="AC57">
      <text>
        <t xml:space="preserve">* PDV NACIONAL: NC10NR</t>
      </text>
    </comment>
    <comment authorId="0" ref="AD57">
      <text>
        <t xml:space="preserve">* PDV TERRITORIAL: TC103D</t>
      </text>
    </comment>
    <comment authorId="0" ref="AE57">
      <text>
        <t xml:space="preserve">* PDV TERRITORIAL: TC1039</t>
      </text>
    </comment>
    <comment authorId="0" ref="AF57">
      <text>
        <t xml:space="preserve">* PDV TERRITORIAL: TC10B5</t>
      </text>
    </comment>
    <comment authorId="0" ref="AG57">
      <text>
        <t xml:space="preserve">* FFVV TERRITORIAL: TC10UV + TC10UU</t>
      </text>
    </comment>
    <comment authorId="0" ref="AH57">
      <text>
        <t xml:space="preserve">* FFVV TERRITORIAL: TC10UW + TC10UX</t>
      </text>
    </comment>
    <comment authorId="0" ref="AI57">
      <text>
        <t xml:space="preserve">YA NO SE LIQUIDA ASÍ</t>
      </text>
    </comment>
    <comment authorId="0" ref="AJ57">
      <text>
        <t xml:space="preserve">YA NO SE LIQUIDA ASÍ</t>
      </text>
    </comment>
    <comment authorId="0" ref="AK57">
      <text>
        <t xml:space="preserve">* FFVV TERRITORIAL: TC10UR + TC10UQ</t>
      </text>
    </comment>
    <comment authorId="0" ref="AL57">
      <text>
        <t xml:space="preserve">* FFVV TERRITORIAL: TC1115 + TC1114</t>
      </text>
    </comment>
    <comment authorId="0" ref="AM57">
      <text>
        <t xml:space="preserve">* FFVV TERRITORIAL: TC1118 + TC1119</t>
      </text>
    </comment>
    <comment authorId="0" ref="AN57">
      <text>
        <t xml:space="preserve">* FFVV TERRITORIAL: TC1116 + TC1117</t>
      </text>
    </comment>
    <comment authorId="0" ref="AO57">
      <text>
        <t xml:space="preserve">* APORTACIÓN TERMINAL: SIAC + GOOGLE DRIVE</t>
      </text>
    </comment>
    <comment authorId="0" ref="AP57">
      <text>
        <t xml:space="preserve">* CAJA TERMINAL: IMPORTE SIAC + IMPORTE DRIVE</t>
      </text>
    </comment>
    <comment authorId="0" ref="AY57">
      <text>
        <t xml:space="preserve">* INGRESOS: 
2.974,00€ DEBORAH
39,00€ MARTA</t>
      </text>
    </comment>
    <comment authorId="0" ref="D68">
      <text>
        <t xml:space="preserve">* PDV NACIONAL: NC10DI + NC10DC
* PDV CONTRACTUAL: BOL. HARPAGON
* FFVV NACIONAL: NC101M + NC101V
* FFVV CONTRACTUAL: BOL. HARPAGON</t>
      </text>
    </comment>
    <comment authorId="0" ref="E68">
      <text>
        <t xml:space="preserve">* PDV NACIONAL: NC10JS + NC10JT + NC10JU
* PDV CONTRACTUAL: ALTA + PORTA + MIGRA
* FFVV NACIONAL: NC10S6 + NC10S7
* FFVV CONTRACTUAL: ALTA + PORTA</t>
      </text>
    </comment>
    <comment authorId="0" ref="F68">
      <text>
        <t xml:space="preserve">* FFVV NACIONAL: NC10S8 + NC10S3 + NC10S9 + NC10S4
* FFVV CONTRACTUAL: ALTA + PORTA</t>
      </text>
    </comment>
    <comment authorId="0" ref="G68">
      <text>
        <t xml:space="preserve">* PDV CONTRACTUAL: ALTA + PORTA + MIGRA
* FFVV CONTRACTUAL: ALTA + PORTA</t>
      </text>
    </comment>
    <comment authorId="0" ref="H68">
      <text>
        <t xml:space="preserve">* PDV NACIONAL: NC10DD</t>
      </text>
    </comment>
    <comment authorId="0" ref="I68">
      <text>
        <t xml:space="preserve">* FFVV NACIONAL: NC10QP + NC10XY + NC10QQ</t>
      </text>
    </comment>
    <comment authorId="0" ref="J68">
      <text>
        <t xml:space="preserve">* PDV NACIONAL: NC10MJ + NC10QZ +NC10DG</t>
      </text>
    </comment>
    <comment authorId="0" ref="K68">
      <text>
        <t xml:space="preserve">* PDV NACIONAL: NC10MD</t>
      </text>
    </comment>
    <comment authorId="0" ref="L68">
      <text>
        <t xml:space="preserve">* PDV NACIONAL: NC10MG (N+2) + NC10QR (N+2) + NC10R0 + NC10R1 + NC10R2 + NC10R3 + NC10Y8 + NC10Y9 + NC10YA + NC10XF+NC113M</t>
      </text>
    </comment>
    <comment authorId="0" ref="M68">
      <text>
        <t xml:space="preserve">* FFVV NACIONAL: NC10QO</t>
      </text>
    </comment>
    <comment authorId="0" ref="N68">
      <text>
        <t xml:space="preserve">* FFVV NACIONAL: NC10QN</t>
      </text>
    </comment>
    <comment authorId="0" ref="O68">
      <text>
        <t xml:space="preserve">* PDV NACIONAL: NC10R8 + NC10EG + NC10R9 + NC10YX + NC10EC</t>
      </text>
    </comment>
    <comment authorId="0" ref="P68">
      <text>
        <t xml:space="preserve">* FFVV NACIONAL: NC10S5</t>
      </text>
    </comment>
    <comment authorId="0" ref="Q68">
      <text>
        <t xml:space="preserve">* PDV NACIONAL: NC10NL</t>
      </text>
    </comment>
    <comment authorId="0" ref="R68">
      <text>
        <t xml:space="preserve">* PDV NACIONAL: NC10NM</t>
      </text>
    </comment>
    <comment authorId="0" ref="S68">
      <text>
        <t xml:space="preserve">* PDV NACIONAL: NC10NN</t>
      </text>
    </comment>
    <comment authorId="0" ref="T68">
      <text>
        <t xml:space="preserve">* PDV NACIONAL: NC10PT + NC10PU + NC10PV</t>
      </text>
    </comment>
    <comment authorId="0" ref="U68">
      <text>
        <t xml:space="preserve">* PDV NACIONAL: NC10NF + NC10NG + NC10NH</t>
      </text>
    </comment>
    <comment authorId="0" ref="V68">
      <text>
        <t xml:space="preserve">* PDV NACIONAL: NC10NI + NC10NJ + NC10NK</t>
      </text>
    </comment>
    <comment authorId="0" ref="W68">
      <text>
        <t xml:space="preserve">* FFVV NACIONAL:  NC101U</t>
      </text>
    </comment>
    <comment authorId="0" ref="X68">
      <text>
        <t xml:space="preserve">* FFVV NACIONAL: NC101R</t>
      </text>
    </comment>
    <comment authorId="0" ref="Y68">
      <text>
        <t xml:space="preserve">* FFVV NACIONAL: NC101J</t>
      </text>
    </comment>
    <comment authorId="0" ref="Z68">
      <text>
        <t xml:space="preserve">* PDV NACIONAL: NC10NS</t>
      </text>
    </comment>
    <comment authorId="0" ref="AA68">
      <text>
        <t xml:space="preserve">* PDV NACIONAL: NC10GW + NC10GY + NC10SE</t>
      </text>
    </comment>
    <comment authorId="0" ref="AB68">
      <text>
        <t xml:space="preserve">* PDV NACIONAL: IMPORTE TARJETA</t>
      </text>
    </comment>
    <comment authorId="0" ref="AC68">
      <text>
        <t xml:space="preserve">* PDV NACIONAL: NC10NR + NC10LU</t>
      </text>
    </comment>
    <comment authorId="0" ref="AD68">
      <text>
        <t xml:space="preserve">* PDV TERRITORIAL: TC103D</t>
      </text>
    </comment>
    <comment authorId="0" ref="AE68">
      <text>
        <t xml:space="preserve">* PDV TERRITORIAL: TC1039</t>
      </text>
    </comment>
    <comment authorId="0" ref="AF68">
      <text>
        <t xml:space="preserve">* PDV TERRITORIAL: TC10B5</t>
      </text>
    </comment>
    <comment authorId="0" ref="AG68">
      <text>
        <t xml:space="preserve">* FFVV TERRITORIAL: TC10UV + TC10UU</t>
      </text>
    </comment>
    <comment authorId="0" ref="AH68">
      <text>
        <t xml:space="preserve">YA NO SE LIQUIDA ASÍ</t>
      </text>
    </comment>
    <comment authorId="0" ref="AI68">
      <text>
        <t xml:space="preserve">YA NO SE LIQUIDA ASÍ</t>
      </text>
    </comment>
    <comment authorId="0" ref="AJ68">
      <text>
        <t xml:space="preserve">YA NO SE LIQUIDA ASÍ</t>
      </text>
    </comment>
    <comment authorId="0" ref="AK68">
      <text>
        <t xml:space="preserve">* FFVV TERRITORIAL: TC10UR + TC10UQ</t>
      </text>
    </comment>
    <comment authorId="0" ref="AL68">
      <text>
        <t xml:space="preserve">* FFVV TERRITORIAL: TC1115 + TC1114</t>
      </text>
    </comment>
    <comment authorId="0" ref="AM68">
      <text>
        <t xml:space="preserve">* FFVV TERRITORIAL: TC1118 + TC1119</t>
      </text>
    </comment>
    <comment authorId="0" ref="AN68">
      <text>
        <t xml:space="preserve">* FFVV TERRITORIAL: TC1116 + TC1117</t>
      </text>
    </comment>
    <comment authorId="0" ref="AO68">
      <text>
        <t xml:space="preserve">* APORTACIÓN TERMINAL: SIAC + GOOGLE DRIVE</t>
      </text>
    </comment>
    <comment authorId="0" ref="AP68">
      <text>
        <t xml:space="preserve">* CAJA TERMINAL: IMPORTE SIAC + IMPORTE DRIVE</t>
      </text>
    </comment>
    <comment authorId="0" ref="AY68">
      <text>
        <t xml:space="preserve">* INGRESOS: 
3.230,00€ DEBORAH
107,00€ MARTA</t>
      </text>
    </comment>
    <comment authorId="0" ref="D79">
      <text>
        <t xml:space="preserve">* PDV NACIONAL: NC10DI + NC10DC
* PDV CONTRACTUAL: BOL. HARPAGON
* FFVV NACIONAL: NC101M + NC101V
* FFVV CONTRACTUAL: BOL. HARPAGON</t>
      </text>
    </comment>
    <comment authorId="0" ref="E79">
      <text>
        <t xml:space="preserve">* PDV NACIONAL: NC10JS + NC10JT + NC10JU
* PDV CONTRACTUAL: ALTA + PORTA + MIGRA
* FFVV NACIONAL: NC10S6 + NC10S7
* FFVV CONTRACTUAL: ALTA + PORTA</t>
      </text>
    </comment>
    <comment authorId="0" ref="F79">
      <text>
        <t xml:space="preserve">* FFVV NACIONAL: NC10S8 + NC10S3 + NC10S9 + NC10S4
* FFVV CONTRACTUAL: ALTA + PORTA</t>
      </text>
    </comment>
    <comment authorId="0" ref="G79">
      <text>
        <t xml:space="preserve">* PDV CONTRACTUAL: ALTA + PORTA + MIGRA
* FFVV CONTRACTUAL: ALTA + PORTA</t>
      </text>
    </comment>
    <comment authorId="0" ref="H79">
      <text>
        <t xml:space="preserve">* PDV NACIONAL: NC10DD</t>
      </text>
    </comment>
    <comment authorId="0" ref="I79">
      <text>
        <t xml:space="preserve">* FFVV NACIONAL: NC10QP + NC10XY + NC10QQ</t>
      </text>
    </comment>
    <comment authorId="0" ref="J79">
      <text>
        <t xml:space="preserve">* PDV NACIONAL: NC10DG + NC10MJ + NC10QZ + NC10ZA</t>
      </text>
    </comment>
    <comment authorId="0" ref="K79">
      <text>
        <t xml:space="preserve">* PDV NACIONAL: NC10MD + NC112F</t>
      </text>
    </comment>
    <comment authorId="0" ref="L79">
      <text>
        <t xml:space="preserve">* PDV NACIONAL: NC10MG (N+2) + NC10QR (N+2) + NC10R0 + NC10R1 + NC10R2 + NC10R3 + NC10Y8 + NC10Y9 + NC10YA + NC10XF+NC113M</t>
      </text>
    </comment>
    <comment authorId="0" ref="M79">
      <text>
        <t xml:space="preserve">* FFVV NACIONAL: NC10QO</t>
      </text>
    </comment>
    <comment authorId="0" ref="N79">
      <text>
        <t xml:space="preserve">* FFVV NACIONAL: NC10QN</t>
      </text>
    </comment>
    <comment authorId="0" ref="O79">
      <text>
        <t xml:space="preserve">* PDV NACIONAL: NC10R8 + NC10EG + NC10R9 + NC10YX + NC10EC</t>
      </text>
    </comment>
    <comment authorId="0" ref="P79">
      <text>
        <t xml:space="preserve">* FFVV NACIONAL: NC10S5</t>
      </text>
    </comment>
    <comment authorId="0" ref="Q79">
      <text>
        <t xml:space="preserve">* PDV NACIONAL: NC10NL</t>
      </text>
    </comment>
    <comment authorId="0" ref="R79">
      <text>
        <t xml:space="preserve">* PDV NACIONAL: NC10NM</t>
      </text>
    </comment>
    <comment authorId="0" ref="S79">
      <text>
        <t xml:space="preserve">* PDV NACIONAL: NC10NN</t>
      </text>
    </comment>
    <comment authorId="0" ref="T79">
      <text>
        <t xml:space="preserve">* PDV NACIONAL: NC10PT + NC10PU + NC10PV</t>
      </text>
    </comment>
    <comment authorId="0" ref="U79">
      <text>
        <t xml:space="preserve">* PDV NACIONAL: NC10NF + NC10NG + NC10NH</t>
      </text>
    </comment>
    <comment authorId="0" ref="V79">
      <text>
        <t xml:space="preserve">* PDV NACIONAL: NC10NI + NC10NJ + NC10NK</t>
      </text>
    </comment>
    <comment authorId="0" ref="W79">
      <text>
        <t xml:space="preserve">* FFVV NACIONAL:  NC101U</t>
      </text>
    </comment>
    <comment authorId="0" ref="X79">
      <text>
        <t xml:space="preserve">* FFVV NACIONAL: NC101R</t>
      </text>
    </comment>
    <comment authorId="0" ref="Y79">
      <text>
        <t xml:space="preserve">* FFVV NACIONAL: NC101J</t>
      </text>
    </comment>
    <comment authorId="0" ref="Z79">
      <text>
        <t xml:space="preserve">* PDV NACIONAL: NC10NS</t>
      </text>
    </comment>
    <comment authorId="0" ref="AA79">
      <text>
        <t xml:space="preserve">* PDV NACIONAL: NC10GW + NC10GY + NC10SE</t>
      </text>
    </comment>
    <comment authorId="0" ref="AB79">
      <text>
        <t xml:space="preserve">* PDV NACIONAL: IMPORTE TARJETA</t>
      </text>
    </comment>
    <comment authorId="0" ref="AC79">
      <text>
        <t xml:space="preserve">* PDV NACIONAL: NC10NR + NC10LU</t>
      </text>
    </comment>
    <comment authorId="0" ref="AD79">
      <text>
        <t xml:space="preserve">* PDV TERRITORIAL: TC103D</t>
      </text>
    </comment>
    <comment authorId="0" ref="AE79">
      <text>
        <t xml:space="preserve">* PDV TERRITORIAL: TC1039</t>
      </text>
    </comment>
    <comment authorId="0" ref="AF79">
      <text>
        <t xml:space="preserve">* PDV TERRITORIAL: TC1121</t>
      </text>
    </comment>
    <comment authorId="0" ref="AG79">
      <text>
        <t xml:space="preserve">* FFVV TERRITORIAL: TC10UV + TC10UU</t>
      </text>
    </comment>
    <comment authorId="0" ref="AH79">
      <text>
        <t xml:space="preserve">YA NO SE LIQUIDA ASÍ</t>
      </text>
    </comment>
    <comment authorId="0" ref="AI79">
      <text>
        <t xml:space="preserve">YA NO SE LIQUIDA ASÍ</t>
      </text>
    </comment>
    <comment authorId="0" ref="AJ79">
      <text>
        <t xml:space="preserve">YA NO SE LIQUIDA ASÍ</t>
      </text>
    </comment>
    <comment authorId="0" ref="AK79">
      <text>
        <t xml:space="preserve">* FFVV TERRITORIAL: TC10UR + TC10UQ</t>
      </text>
    </comment>
    <comment authorId="0" ref="AL79">
      <text>
        <t xml:space="preserve">* FFVV TERRITORIAL: TC1115 + TC1114</t>
      </text>
    </comment>
    <comment authorId="0" ref="AM79">
      <text>
        <t xml:space="preserve">* FFVV TERRITORIAL: TC1118 + TC1119</t>
      </text>
    </comment>
    <comment authorId="0" ref="AN79">
      <text>
        <t xml:space="preserve">* FFVV TERRITORIAL: TC1116 + TC1117</t>
      </text>
    </comment>
    <comment authorId="0" ref="AO79">
      <text>
        <t xml:space="preserve">* APORTACIÓN TERMINAL: SIAC + GOOGLE DRIVE</t>
      </text>
    </comment>
    <comment authorId="0" ref="AP79">
      <text>
        <t xml:space="preserve">* CAJA TERMINAL: IMPORTE SIAC + IMPORTE DRIVE</t>
      </text>
    </comment>
    <comment authorId="0" ref="AY79">
      <text>
        <t xml:space="preserve">* INGRESOS: 
3.200,00€ DEBORAH</t>
      </text>
    </comment>
    <comment authorId="0" ref="D90">
      <text>
        <t xml:space="preserve">* PDV NACIONAL: NC10DI + NC10DC
* PDV CONTRACTUAL: BOL. HARPAGON
* FFVV NACIONAL: NC101M + NC101V
* FFVV CONTRACTUAL: BOL. HARPAGON</t>
      </text>
    </comment>
    <comment authorId="0" ref="E90">
      <text>
        <t xml:space="preserve">* PDV NACIONAL: NC10JS + NC10JT + NC10JU
* PDV CONTRACTUAL: ALTA + PORTA + MIGRA
* FFVV NACIONAL: NC10S6 + NC10S7
* FFVV CONTRACTUAL: ALTA + PORTA</t>
      </text>
    </comment>
    <comment authorId="0" ref="F90">
      <text>
        <t xml:space="preserve">* FFVV NACIONAL: NC10S8 + NC10S9
* FFVV CONTRACTUAL: ALTA + PORTA</t>
      </text>
    </comment>
    <comment authorId="0" ref="G90">
      <text>
        <t xml:space="preserve">* PDV CONTRACTUAL: ALTA + PORTA + MIGRA
* FFVV CONTRACTUAL: ALTA + PORTA</t>
      </text>
    </comment>
    <comment authorId="0" ref="H90">
      <text>
        <t xml:space="preserve">* PDV NACIONAL: NC10DD</t>
      </text>
    </comment>
    <comment authorId="0" ref="I90">
      <text>
        <t xml:space="preserve">* FFVV NACIONAL: NC10QP + NC10XY + NC10QQ</t>
      </text>
    </comment>
    <comment authorId="0" ref="J90">
      <text>
        <t xml:space="preserve">* PDV NACIONAL: NC10Z9 + NC10ZA + NC10ZD + NC10ZN + NC10ZO</t>
      </text>
    </comment>
    <comment authorId="0" ref="K90">
      <text>
        <t xml:space="preserve">* PDV NACIONAL: NC10MD + NC112F</t>
      </text>
    </comment>
    <comment authorId="0" ref="L90">
      <text>
        <t xml:space="preserve">* PDV NACIONAL: NC10MG (N+2) + NC10QR (N+2) + NC10R0 + NC10R1 + NC10R2 + NC10R3 + NC10Y8 + NC10Y9 + NC10YA + NC10XF+NC113M</t>
      </text>
    </comment>
    <comment authorId="0" ref="M90">
      <text>
        <t xml:space="preserve">* FFVV NACIONAL: NC10QO</t>
      </text>
    </comment>
    <comment authorId="0" ref="N90">
      <text>
        <t xml:space="preserve">* FFVV NACIONAL: NC10QN</t>
      </text>
    </comment>
    <comment authorId="0" ref="O90">
      <text>
        <t xml:space="preserve">* PDV NACIONAL: NC10R8 + NC10EG + NC10R9 + NC10YX + NC10EC</t>
      </text>
    </comment>
    <comment authorId="0" ref="P90">
      <text>
        <t xml:space="preserve">* FFVV NACIONAL: NC10S5</t>
      </text>
    </comment>
    <comment authorId="0" ref="Q90">
      <text>
        <t xml:space="preserve">* PDV NACIONAL: NC10NL</t>
      </text>
    </comment>
    <comment authorId="0" ref="R90">
      <text>
        <t xml:space="preserve">* PDV NACIONAL: NC10NM</t>
      </text>
    </comment>
    <comment authorId="0" ref="S90">
      <text>
        <t xml:space="preserve">* PDV NACIONAL: NC10NN</t>
      </text>
    </comment>
    <comment authorId="0" ref="T90">
      <text>
        <t xml:space="preserve">* PDV NACIONAL: NC10PT + NC10PU + NC10PV</t>
      </text>
    </comment>
    <comment authorId="0" ref="U90">
      <text>
        <t xml:space="preserve">* PDV NACIONAL: NC10NF + NC10NG + NC10NH</t>
      </text>
    </comment>
    <comment authorId="0" ref="V90">
      <text>
        <t xml:space="preserve">* PDV NACIONAL: NC10NI + NC10NJ + NC10NK</t>
      </text>
    </comment>
    <comment authorId="0" ref="W90">
      <text>
        <t xml:space="preserve">* FFVV NACIONAL:  NC101U</t>
      </text>
    </comment>
    <comment authorId="0" ref="X90">
      <text>
        <t xml:space="preserve">* FFVV NACIONAL: NC101R</t>
      </text>
    </comment>
    <comment authorId="0" ref="Y90">
      <text>
        <t xml:space="preserve">* FFVV NACIONAL: NC101J</t>
      </text>
    </comment>
    <comment authorId="0" ref="Z90">
      <text>
        <t xml:space="preserve">* PDV NACIONAL: NC10NS</t>
      </text>
    </comment>
    <comment authorId="0" ref="AA90">
      <text>
        <t xml:space="preserve">* PDV NACIONAL: NC10GW + NC10GY + NC10SE</t>
      </text>
    </comment>
    <comment authorId="0" ref="AB90">
      <text>
        <t xml:space="preserve">* PDV NACIONAL: IMPORTE TARJETA</t>
      </text>
    </comment>
    <comment authorId="0" ref="AC90">
      <text>
        <t xml:space="preserve">* PDV NACIONAL: NC10NR + NC10LU</t>
      </text>
    </comment>
    <comment authorId="0" ref="AD90">
      <text>
        <t xml:space="preserve">* PDV TERRITORIAL: TC103D</t>
      </text>
    </comment>
    <comment authorId="0" ref="AE90">
      <text>
        <t xml:space="preserve">* PDV TERRITORIAL: TC1039</t>
      </text>
    </comment>
    <comment authorId="0" ref="AF90">
      <text>
        <t xml:space="preserve">* PDV TERRITORIAL: TC1121</t>
      </text>
    </comment>
    <comment authorId="0" ref="AG90">
      <text>
        <t xml:space="preserve">* FFVV TERRITORIAL: TC10UV + TC10UU</t>
      </text>
    </comment>
    <comment authorId="0" ref="AH90">
      <text>
        <t xml:space="preserve">YA NO SE LIQUIDA ASÍ</t>
      </text>
    </comment>
    <comment authorId="0" ref="AI90">
      <text>
        <t xml:space="preserve">YA NO SE LIQUIDA ASÍ</t>
      </text>
    </comment>
    <comment authorId="0" ref="AJ90">
      <text>
        <t xml:space="preserve">YA NO SE LIQUIDA ASÍ</t>
      </text>
    </comment>
    <comment authorId="0" ref="AK90">
      <text>
        <t xml:space="preserve">* FFVV TERRITORIAL: TC10UR + TC10UQ</t>
      </text>
    </comment>
    <comment authorId="0" ref="AL90">
      <text>
        <t xml:space="preserve">* FFVV TERRITORIAL: TC1115 + TC1114</t>
      </text>
    </comment>
    <comment authorId="0" ref="AM90">
      <text>
        <t xml:space="preserve">* FFVV TERRITORIAL: TC1118 + TC1119</t>
      </text>
    </comment>
    <comment authorId="0" ref="AN90">
      <text>
        <t xml:space="preserve">* FFVV TERRITORIAL: TC1116 + TC1117</t>
      </text>
    </comment>
    <comment authorId="0" ref="AO90">
      <text>
        <t xml:space="preserve">* APORTACIÓN TERMINAL: SIAC + GOOGLE DRIVE</t>
      </text>
    </comment>
    <comment authorId="0" ref="AP90">
      <text>
        <t xml:space="preserve">* CAJA TERMINAL: IMPORTE SIAC + IMPORTE DRIVE</t>
      </text>
    </comment>
    <comment authorId="0" ref="AY90">
      <text>
        <t xml:space="preserve">* INGRESOS: 
3.324,00€ DEBORAH
451,76€ MARTA</t>
      </text>
    </comment>
    <comment authorId="0" ref="D101">
      <text>
        <t xml:space="preserve">* PDV NACIONAL: NC10DI + NC10DC
* PDV CONTRACTUAL: BOL. HARPAGON
* FFVV NACIONAL: NC101M + NC101V
* FFVV CONTRACTUAL: BOL. HARPAGON</t>
      </text>
    </comment>
    <comment authorId="0" ref="E101">
      <text>
        <t xml:space="preserve">* PDV NACIONAL: NC10JS + NC10JT + NC10JU
* PDV CONTRACTUAL: ALTA + PORTA + MIGRA
* FFVV NACIONAL: NC10S6 + NC10S7
* FFVV CONTRACTUAL: ALTA + PORTA</t>
      </text>
    </comment>
    <comment authorId="0" ref="F101">
      <text>
        <t xml:space="preserve">* FFVV NACIONAL: NC10S8 + NC10S9
* FFVV CONTRACTUAL: ALTA + PORTA</t>
      </text>
    </comment>
    <comment authorId="0" ref="G101">
      <text>
        <t xml:space="preserve">* PDV CONTRACTUAL: ALTA + PORTA + MIGRA
* FFVV CONTRACTUAL: ALTA + PORTA</t>
      </text>
    </comment>
    <comment authorId="0" ref="H101">
      <text>
        <t xml:space="preserve">* PDV NACIONAL: NC10DD</t>
      </text>
    </comment>
    <comment authorId="0" ref="I101">
      <text>
        <t xml:space="preserve">* FFVV NACIONAL: NC10QP + NC10XY + NC10QQ</t>
      </text>
    </comment>
    <comment authorId="0" ref="J101">
      <text>
        <t xml:space="preserve">* PDV NACIONAL: NC10DG</t>
      </text>
    </comment>
    <comment authorId="0" ref="K101">
      <text>
        <t xml:space="preserve">* PDV NACIONAL: NO HAY</t>
      </text>
    </comment>
    <comment authorId="0" ref="L101">
      <text>
        <t xml:space="preserve">* PDV NACIONAL: NC10MG (N+2) + NC10QR (N+2) + NC10R0 + NC10R1 + NC10R2 + NC10R3 + NC10Y8 + NC10Y9 + NC10YA + NC10XF+NC113M</t>
      </text>
    </comment>
    <comment authorId="0" ref="M101">
      <text>
        <t xml:space="preserve">* FFVV NACIONAL: NC10QO</t>
      </text>
    </comment>
    <comment authorId="0" ref="N101">
      <text>
        <t xml:space="preserve">* FFVV NACIONAL: NC10QN</t>
      </text>
    </comment>
    <comment authorId="0" ref="O101">
      <text>
        <t xml:space="preserve">* PDV NACIONAL: NC10R8 + NC10EG + NC10R9 + NC10YX + NC10EC</t>
      </text>
    </comment>
    <comment authorId="0" ref="P101">
      <text>
        <t xml:space="preserve">* FFVV NACIONAL: NC10S5</t>
      </text>
    </comment>
    <comment authorId="0" ref="Q101">
      <text>
        <t xml:space="preserve">* PDV NACIONAL: NC10NL</t>
      </text>
    </comment>
    <comment authorId="0" ref="R101">
      <text>
        <t xml:space="preserve">* PDV NACIONAL: NC10NM</t>
      </text>
    </comment>
    <comment authorId="0" ref="S101">
      <text>
        <t xml:space="preserve">* PDV NACIONAL: NC10NN</t>
      </text>
    </comment>
    <comment authorId="0" ref="T101">
      <text>
        <t xml:space="preserve">* PDV NACIONAL: NC10PT + NC10PU + NC10PV + NC10RV</t>
      </text>
    </comment>
    <comment authorId="0" ref="U101">
      <text>
        <t xml:space="preserve">* PDV NACIONAL: NC10NF + NC10NG + NC10NH + NC10RW</t>
      </text>
    </comment>
    <comment authorId="0" ref="V101">
      <text>
        <t xml:space="preserve">* PDV NACIONAL: NC10NI + NC10NJ + NC10NK + NC10RX</t>
      </text>
    </comment>
    <comment authorId="0" ref="W101">
      <text>
        <t xml:space="preserve">* FFVV NACIONAL:  NC101U</t>
      </text>
    </comment>
    <comment authorId="0" ref="X101">
      <text>
        <t xml:space="preserve">* FFVV NACIONAL: NC101R</t>
      </text>
    </comment>
    <comment authorId="0" ref="Y101">
      <text>
        <t xml:space="preserve">* FFVV NACIONAL: NC101J</t>
      </text>
    </comment>
    <comment authorId="0" ref="Z101">
      <text>
        <t xml:space="preserve">* PDV NACIONAL: NC10NS</t>
      </text>
    </comment>
    <comment authorId="0" ref="AA101">
      <text>
        <t xml:space="preserve">* PDV NACIONAL: NC10GW + NC10GY + NC10SE</t>
      </text>
    </comment>
    <comment authorId="0" ref="AB101">
      <text>
        <t xml:space="preserve">* PDV NACIONAL: IMPORTE TARJETA</t>
      </text>
    </comment>
    <comment authorId="0" ref="AC101">
      <text>
        <t xml:space="preserve">* PDV NACIONAL: NC10NR + NC10LU</t>
      </text>
    </comment>
    <comment authorId="0" ref="AD101">
      <text>
        <t xml:space="preserve">* PDV TERRITORIAL: TC103D</t>
      </text>
    </comment>
    <comment authorId="0" ref="AE101">
      <text>
        <t xml:space="preserve">* PDV TERRITORIAL: TC1039</t>
      </text>
    </comment>
    <comment authorId="0" ref="AF101">
      <text>
        <t xml:space="preserve">* PDV TERRITORIAL: TC1121</t>
      </text>
    </comment>
    <comment authorId="0" ref="AG101">
      <text>
        <t xml:space="preserve">* FFVV TERRITORIAL: TC10UV + TC10UU</t>
      </text>
    </comment>
    <comment authorId="0" ref="AH101">
      <text>
        <t xml:space="preserve">YA NO SE LIQUIDA ASÍ</t>
      </text>
    </comment>
    <comment authorId="0" ref="AI101">
      <text>
        <t xml:space="preserve">YA NO SE LIQUIDA ASÍ</t>
      </text>
    </comment>
    <comment authorId="0" ref="AJ101">
      <text>
        <t xml:space="preserve">YA NO SE LIQUIDA ASÍ</t>
      </text>
    </comment>
    <comment authorId="0" ref="AK101">
      <text>
        <t xml:space="preserve">* FFVV TERRITORIAL: TC10UR + TC10UQ</t>
      </text>
    </comment>
    <comment authorId="0" ref="AL101">
      <text>
        <t xml:space="preserve">* FFVV TERRITORIAL: TC1115 + TC1114</t>
      </text>
    </comment>
    <comment authorId="0" ref="AM101">
      <text>
        <t xml:space="preserve">* FFVV TERRITORIAL: TC1118 + TC1119</t>
      </text>
    </comment>
    <comment authorId="0" ref="AN101">
      <text>
        <t xml:space="preserve">* FFVV TERRITORIAL: TC1116 + TC1117</t>
      </text>
    </comment>
    <comment authorId="0" ref="AO101">
      <text>
        <t xml:space="preserve">* APORTACIÓN TERMINAL: SIAC + GOOGLE DRIVE</t>
      </text>
    </comment>
    <comment authorId="0" ref="AP101">
      <text>
        <t xml:space="preserve">* CAJA TERMINAL: IMPORTE SIAC + IMPORTE DRIVE</t>
      </text>
    </comment>
    <comment authorId="0" ref="AY101">
      <text>
        <t xml:space="preserve">* INGRESOS: 
2.715,00€ DEBORAH
374,10€ MARTA</t>
      </text>
    </comment>
    <comment authorId="0" ref="D112">
      <text>
        <t xml:space="preserve">* PDV NACIONAL: NC10DI + NC10DC
* PDV CONTRACTUAL: BOL. HARPAGON
* FFVV NACIONAL: NC101M + NC101V
* FFVV CONTRACTUAL: BOL. HARPAGON</t>
      </text>
    </comment>
    <comment authorId="0" ref="E112">
      <text>
        <t xml:space="preserve">* PDV NACIONAL: NC10JS + NC10JT + NC10JU
* PDV CONTRACTUAL: ALTA + PORTA + MIGRA
* FFVV NACIONAL: NC10S6 + NC10S7
* FFVV CONTRACTUAL: ALTA + PORTA</t>
      </text>
    </comment>
    <comment authorId="0" ref="F112">
      <text>
        <t xml:space="preserve">* FFVV NACIONAL: NC10S8 + NC10S9
* FFVV CONTRACTUAL: ALTA + PORTA</t>
      </text>
    </comment>
    <comment authorId="0" ref="G112">
      <text>
        <t xml:space="preserve">* PDV CONTRACTUAL: ALTA + PORTA + MIGRA
* FFVV CONTRACTUAL: ALTA + PORTA</t>
      </text>
    </comment>
    <comment authorId="0" ref="H112">
      <text>
        <t xml:space="preserve">* PDV NACIONAL: NC10DD</t>
      </text>
    </comment>
    <comment authorId="0" ref="I112">
      <text>
        <t xml:space="preserve">* FFVV NACIONAL: NC10QP + NC10XY + NC10QQ</t>
      </text>
    </comment>
    <comment authorId="0" ref="J112">
      <text>
        <t xml:space="preserve">* PDV NACIONAL: NC10DG</t>
      </text>
    </comment>
    <comment authorId="0" ref="K112">
      <text>
        <t xml:space="preserve">* PDV NACIONAL: NO HAY</t>
      </text>
    </comment>
    <comment authorId="0" ref="L112">
      <text>
        <t xml:space="preserve">* PDV NACIONAL: NC10MG (N+2) + NC10QR (N+2) + NC10R0 + NC10R1 + NC10R2 + NC10R3 + NC10Y8 + NC10Y9 + NC10YA + NC10XF+NC113M</t>
      </text>
    </comment>
    <comment authorId="0" ref="M112">
      <text>
        <t xml:space="preserve">* FFVV NACIONAL: NC10QO</t>
      </text>
    </comment>
    <comment authorId="0" ref="N112">
      <text>
        <t xml:space="preserve">* FFVV NACIONAL: NC10QN</t>
      </text>
    </comment>
    <comment authorId="0" ref="O112">
      <text>
        <t xml:space="preserve">* PDV NACIONAL: NC10R8 + NC10EG + NC10R9 + NC10YX + NC10EC</t>
      </text>
    </comment>
    <comment authorId="0" ref="P112">
      <text>
        <t xml:space="preserve">* FFVV NACIONAL: NC10S5</t>
      </text>
    </comment>
    <comment authorId="0" ref="Q112">
      <text>
        <t xml:space="preserve">* PDV NACIONAL: NC10NL</t>
      </text>
    </comment>
    <comment authorId="0" ref="R112">
      <text>
        <t xml:space="preserve">* PDV NACIONAL: NC10NM</t>
      </text>
    </comment>
    <comment authorId="0" ref="S112">
      <text>
        <t xml:space="preserve">* PDV NACIONAL: NC10NN</t>
      </text>
    </comment>
    <comment authorId="0" ref="T112">
      <text>
        <t xml:space="preserve">* PDV NACIONAL: NC10PT + NC10PU + NC10PV + NC10RV</t>
      </text>
    </comment>
    <comment authorId="0" ref="U112">
      <text>
        <t xml:space="preserve">* PDV NACIONAL: NC10NF + NC10NG + NC10NH + NC10RW</t>
      </text>
    </comment>
    <comment authorId="0" ref="V112">
      <text>
        <t xml:space="preserve">* PDV NACIONAL: NC10NI + NC10NJ + NC10NK + NC10RX</t>
      </text>
    </comment>
    <comment authorId="0" ref="W112">
      <text>
        <t xml:space="preserve">* FFVV NACIONAL:  NC101U</t>
      </text>
    </comment>
    <comment authorId="0" ref="X112">
      <text>
        <t xml:space="preserve">* FFVV NACIONAL: NC101R</t>
      </text>
    </comment>
    <comment authorId="0" ref="Y112">
      <text>
        <t xml:space="preserve">* FFVV NACIONAL: NC101J</t>
      </text>
    </comment>
    <comment authorId="0" ref="Z112">
      <text>
        <t xml:space="preserve">* PDV NACIONAL: NC10NS</t>
      </text>
    </comment>
    <comment authorId="0" ref="AA112">
      <text>
        <t xml:space="preserve">* PDV NACIONAL: NC10GW + NC10GY + NC10SE</t>
      </text>
    </comment>
    <comment authorId="0" ref="AB112">
      <text>
        <t xml:space="preserve">* PDV NACIONAL: IMPORTE TARJETA</t>
      </text>
    </comment>
    <comment authorId="0" ref="AC112">
      <text>
        <t xml:space="preserve">* PDV NACIONAL: NC10NR + NC10LU</t>
      </text>
    </comment>
    <comment authorId="0" ref="AD112">
      <text>
        <t xml:space="preserve">* PDV TERRITORIAL: TC103D</t>
      </text>
    </comment>
    <comment authorId="0" ref="AE112">
      <text>
        <t xml:space="preserve">* PDV TERRITORIAL: TC1039</t>
      </text>
    </comment>
    <comment authorId="0" ref="AF112">
      <text>
        <t xml:space="preserve">* PDV TERRITORIAL: TC1121</t>
      </text>
    </comment>
    <comment authorId="0" ref="AG112">
      <text>
        <t xml:space="preserve">* FFVV TERRITORIAL: TC10UV + TC10UU</t>
      </text>
    </comment>
    <comment authorId="0" ref="AH112">
      <text>
        <t xml:space="preserve">YA NO SE LIQUIDA ASÍ</t>
      </text>
    </comment>
    <comment authorId="0" ref="AI112">
      <text>
        <t xml:space="preserve">YA NO SE LIQUIDA ASÍ</t>
      </text>
    </comment>
    <comment authorId="0" ref="AJ112">
      <text>
        <t xml:space="preserve">YA NO SE LIQUIDA ASÍ</t>
      </text>
    </comment>
    <comment authorId="0" ref="AK112">
      <text>
        <t xml:space="preserve">* FFVV TERRITORIAL: TC10UR + TC10UQ</t>
      </text>
    </comment>
    <comment authorId="0" ref="AL112">
      <text>
        <t xml:space="preserve">* FFVV TERRITORIAL: TC1115 + TC1114</t>
      </text>
    </comment>
    <comment authorId="0" ref="AM112">
      <text>
        <t xml:space="preserve">* FFVV TERRITORIAL: TC1118 + TC1119</t>
      </text>
    </comment>
    <comment authorId="0" ref="AN112">
      <text>
        <t xml:space="preserve">* FFVV TERRITORIAL: TC1116 + TC1117</t>
      </text>
    </comment>
    <comment authorId="0" ref="AO112">
      <text>
        <t xml:space="preserve">* APORTACIÓN TERMINAL: SIAC + GOOGLE DRIVE</t>
      </text>
    </comment>
    <comment authorId="0" ref="AP112">
      <text>
        <t xml:space="preserve">* CAJA TERMINAL: IMPORTE SIAC + IMPORTE DRIVE</t>
      </text>
    </comment>
    <comment authorId="0" ref="AY112">
      <text>
        <t xml:space="preserve">* INGRESOS: 
2.781,00€ DEBORAH
20,00€ MARTA</t>
      </text>
    </comment>
    <comment authorId="0" ref="D123">
      <text>
        <t xml:space="preserve">* PDV NACIONAL: NC10DI + NC10DC
* PDV CONTRACTUAL: BOL. HARPAGON
* FFVV NACIONAL: NC101M + NC101V
* FFVV CONTRACTUAL: BOL. HARPAGON</t>
      </text>
    </comment>
    <comment authorId="0" ref="E123">
      <text>
        <t xml:space="preserve">* PDV NACIONAL: NC10JS + NC10JT + NC10JU
* PDV CONTRACTUAL: ALTA + PORTA + MIGRA
* FFVV NACIONAL: NC10S6 + NC10S7
* FFVV CONTRACTUAL: ALTA + PORTA</t>
      </text>
    </comment>
    <comment authorId="0" ref="F123">
      <text>
        <t xml:space="preserve">* FFVV NACIONAL: NC10S8 + NC10S9
* FFVV CONTRACTUAL: ALTA + PORTA</t>
      </text>
    </comment>
    <comment authorId="0" ref="G123">
      <text>
        <t xml:space="preserve">* PDV CONTRACTUAL: ALTA + PORTA + MIGRA
* FFVV CONTRACTUAL: ALTA + PORTA</t>
      </text>
    </comment>
    <comment authorId="0" ref="H123">
      <text>
        <t xml:space="preserve">* PDV NACIONAL: NC10DD</t>
      </text>
    </comment>
    <comment authorId="0" ref="I123">
      <text>
        <t xml:space="preserve">* FFVV NACIONAL: NC10QP + NC10XY + NC10QQ</t>
      </text>
    </comment>
    <comment authorId="0" ref="J123">
      <text>
        <t xml:space="preserve">* PDV NACIONAL: NC10DG</t>
      </text>
    </comment>
    <comment authorId="0" ref="K123">
      <text>
        <t xml:space="preserve">* PDV NACIONAL: NO HAY</t>
      </text>
    </comment>
    <comment authorId="0" ref="L123">
      <text>
        <t xml:space="preserve">* PDV NACIONAL: NC10MG (N+2) + NC10QR (N+2) + NC10R0 + NC10R1 + NC10R2 + NC10R3 + NC10Y8 + NC10Y9 + NC10YA + NC10XF+NC113M</t>
      </text>
    </comment>
    <comment authorId="0" ref="M123">
      <text>
        <t xml:space="preserve">* FFVV NACIONAL: NC10QO</t>
      </text>
    </comment>
    <comment authorId="0" ref="N123">
      <text>
        <t xml:space="preserve">* FFVV NACIONAL: NC10QN</t>
      </text>
    </comment>
    <comment authorId="0" ref="O123">
      <text>
        <t xml:space="preserve">* PDV NACIONAL: NC10R8 + NC10EG + NC10R9 + NC10YX + NC10EC</t>
      </text>
    </comment>
    <comment authorId="0" ref="P123">
      <text>
        <t xml:space="preserve">* FFVV NACIONAL: NC10S5</t>
      </text>
    </comment>
    <comment authorId="0" ref="Q123">
      <text>
        <t xml:space="preserve">* PDV NACIONAL: NC10NL</t>
      </text>
    </comment>
    <comment authorId="0" ref="R123">
      <text>
        <t xml:space="preserve">* PDV NACIONAL: NC10NM</t>
      </text>
    </comment>
    <comment authorId="0" ref="S123">
      <text>
        <t xml:space="preserve">* PDV NACIONAL: NC10NN</t>
      </text>
    </comment>
    <comment authorId="0" ref="T123">
      <text>
        <t xml:space="preserve">* PDV NACIONAL: NC10PT + NC10PU + NC10PV + NC10RV</t>
      </text>
    </comment>
    <comment authorId="0" ref="U123">
      <text>
        <t xml:space="preserve">* PDV NACIONAL: NC10NF + NC10NG + NC10NH + NC10RW</t>
      </text>
    </comment>
    <comment authorId="0" ref="V123">
      <text>
        <t xml:space="preserve">* PDV NACIONAL: NC10NI + NC10NJ + NC10NK + NC10RX</t>
      </text>
    </comment>
    <comment authorId="0" ref="W123">
      <text>
        <t xml:space="preserve">* FFVV NACIONAL:  NC101U</t>
      </text>
    </comment>
    <comment authorId="0" ref="X123">
      <text>
        <t xml:space="preserve">* FFVV NACIONAL: NC101R</t>
      </text>
    </comment>
    <comment authorId="0" ref="Y123">
      <text>
        <t xml:space="preserve">* FFVV NACIONAL: NC101J</t>
      </text>
    </comment>
    <comment authorId="0" ref="Z123">
      <text>
        <t xml:space="preserve">* PDV NACIONAL: NC10NS</t>
      </text>
    </comment>
    <comment authorId="0" ref="AA123">
      <text>
        <t xml:space="preserve">* PDV NACIONAL: NC10GW + NC10GY + NC10SE</t>
      </text>
    </comment>
    <comment authorId="0" ref="AB123">
      <text>
        <t xml:space="preserve">* PDV NACIONAL: IMPORTE TARJETA</t>
      </text>
    </comment>
    <comment authorId="0" ref="AC123">
      <text>
        <t xml:space="preserve">* PDV NACIONAL: NC10NR + NC10LU</t>
      </text>
    </comment>
    <comment authorId="0" ref="AD123">
      <text>
        <t xml:space="preserve">* PDV TERRITORIAL: TC103D</t>
      </text>
    </comment>
    <comment authorId="0" ref="AE123">
      <text>
        <t xml:space="preserve">* PDV TERRITORIAL: TC1039</t>
      </text>
    </comment>
    <comment authorId="0" ref="AF123">
      <text>
        <t xml:space="preserve">* PDV TERRITORIAL: TC1121</t>
      </text>
    </comment>
    <comment authorId="0" ref="AG123">
      <text>
        <t xml:space="preserve">* FFVV TERRITORIAL: TC10UV + TC10UU</t>
      </text>
    </comment>
    <comment authorId="0" ref="AH123">
      <text>
        <t xml:space="preserve">YA NO SE LIQUIDA ASÍ</t>
      </text>
    </comment>
    <comment authorId="0" ref="AI123">
      <text>
        <t xml:space="preserve">YA NO SE LIQUIDA ASÍ</t>
      </text>
    </comment>
    <comment authorId="0" ref="AJ123">
      <text>
        <t xml:space="preserve">YA NO SE LIQUIDA ASÍ</t>
      </text>
    </comment>
    <comment authorId="0" ref="AK123">
      <text>
        <t xml:space="preserve">* FFVV TERRITORIAL: TC10UR + TC10UQ</t>
      </text>
    </comment>
    <comment authorId="0" ref="AL123">
      <text>
        <t xml:space="preserve">* FFVV TERRITORIAL: TC1115 + TC1114</t>
      </text>
    </comment>
    <comment authorId="0" ref="AM123">
      <text>
        <t xml:space="preserve">* FFVV TERRITORIAL: TC1118 + TC1119</t>
      </text>
    </comment>
    <comment authorId="0" ref="AN123">
      <text>
        <t xml:space="preserve">* FFVV TERRITORIAL: TC1116 + TC1117</t>
      </text>
    </comment>
    <comment authorId="0" ref="AO123">
      <text>
        <t xml:space="preserve">* APORTACIÓN TERMINAL: SIAC + GOOGLE DRIVE</t>
      </text>
    </comment>
    <comment authorId="0" ref="AP123">
      <text>
        <t xml:space="preserve">* CAJA TERMINAL: IMPORTE SIAC + IMPORTE DRIVE</t>
      </text>
    </comment>
    <comment authorId="0" ref="AY123">
      <text>
        <t xml:space="preserve">* INGRESOS: 
2.473,00€ DEBORAH
13,00€ MARTA</t>
      </text>
    </comment>
    <comment authorId="0" ref="D134">
      <text>
        <t xml:space="preserve">* PDV NACIONAL: NC10DI + NC10DC
* PDV CONTRACTUAL: BOL. HARPAGON
* FFVV NACIONAL: NC101M + NC101V
* FFVV CONTRACTUAL: BOL. HARPAGON</t>
      </text>
    </comment>
    <comment authorId="0" ref="E134">
      <text>
        <t xml:space="preserve">* PDV NACIONAL: NC10JS + NC10JT + NC10JU
* PDV CONTRACTUAL: ALTA + PORTA + MIGRA
* FFVV NACIONAL: NC10S6 + NC10S7
* FFVV CONTRACTUAL: ALTA + PORTA</t>
      </text>
    </comment>
    <comment authorId="0" ref="F134">
      <text>
        <t xml:space="preserve">* FFVV NACIONAL: NC10S8 + NC10S9
* FFVV CONTRACTUAL: ALTA + PORTA</t>
      </text>
    </comment>
    <comment authorId="0" ref="G134">
      <text>
        <t xml:space="preserve">* PDV CONTRACTUAL: ALTA + PORTA + MIGRA
* FFVV CONTRACTUAL: ALTA + PORTA</t>
      </text>
    </comment>
    <comment authorId="0" ref="H134">
      <text>
        <t xml:space="preserve">* PDV NACIONAL: NC10DD</t>
      </text>
    </comment>
    <comment authorId="0" ref="I134">
      <text>
        <t xml:space="preserve">* FFVV NACIONAL: NC10QP + NC10XY + NC10QQ</t>
      </text>
    </comment>
    <comment authorId="0" ref="J134">
      <text>
        <t xml:space="preserve">* PDV NACIONAL: NC10DG</t>
      </text>
    </comment>
    <comment authorId="0" ref="K134">
      <text>
        <t xml:space="preserve">* PDV NACIONAL: NO HAY</t>
      </text>
    </comment>
    <comment authorId="0" ref="L134">
      <text>
        <t xml:space="preserve">* PDV NACIONAL: NC10MG (N+2) + NC10QR (N+2) + NC10R0 + NC10R1 + NC10R2 + NC10R3 + NC10Y8 + NC10Y9 + NC10YA + NC10XF+NC113M</t>
      </text>
    </comment>
    <comment authorId="0" ref="M134">
      <text>
        <t xml:space="preserve">* FFVV NACIONAL: NC10QO</t>
      </text>
    </comment>
    <comment authorId="0" ref="N134">
      <text>
        <t xml:space="preserve">* FFVV NACIONAL: NC10QO</t>
      </text>
    </comment>
    <comment authorId="0" ref="O134">
      <text>
        <t xml:space="preserve">* PDV NACIONAL: NC10R8 + NC10EG + NC10R9 + NC10YX + NC10EC</t>
      </text>
    </comment>
    <comment authorId="0" ref="P134">
      <text>
        <t xml:space="preserve">* FFVV NACIONAL: NC10S5</t>
      </text>
    </comment>
    <comment authorId="0" ref="Q134">
      <text>
        <t xml:space="preserve">* PDV NACIONAL: NC10NL</t>
      </text>
    </comment>
    <comment authorId="0" ref="R134">
      <text>
        <t xml:space="preserve">* PDV NACIONAL: NC10NM</t>
      </text>
    </comment>
    <comment authorId="0" ref="S134">
      <text>
        <t xml:space="preserve">* PDV NACIONAL: NC10NN</t>
      </text>
    </comment>
    <comment authorId="0" ref="T134">
      <text>
        <t xml:space="preserve">* PDV NACIONAL: NC10PT + NC10PU + NC10PV + NC10RV</t>
      </text>
    </comment>
    <comment authorId="0" ref="U134">
      <text>
        <t xml:space="preserve">* PDV NACIONAL: NC10NF + NC10NG + NC10NH + NC10RW</t>
      </text>
    </comment>
    <comment authorId="0" ref="V134">
      <text>
        <t xml:space="preserve">* PDV NACIONAL: NC10NI + NC10NJ + NC10NK + NC10RX</t>
      </text>
    </comment>
    <comment authorId="0" ref="W134">
      <text>
        <t xml:space="preserve">* FFVV NACIONAL:  NC101U</t>
      </text>
    </comment>
    <comment authorId="0" ref="X134">
      <text>
        <t xml:space="preserve">* FFVV NACIONAL: NC101R</t>
      </text>
    </comment>
    <comment authorId="0" ref="Y134">
      <text>
        <t xml:space="preserve">* FFVV NACIONAL: NC101J</t>
      </text>
    </comment>
    <comment authorId="0" ref="Z134">
      <text>
        <t xml:space="preserve">* PDV NACIONAL: NC10NS</t>
      </text>
    </comment>
    <comment authorId="0" ref="AA134">
      <text>
        <t xml:space="preserve">* PDV NACIONAL: NC10GW + NC10GY + NC10SE</t>
      </text>
    </comment>
    <comment authorId="0" ref="AB134">
      <text>
        <t xml:space="preserve">* PDV NACIONAL: IMPORTE TARJETA</t>
      </text>
    </comment>
    <comment authorId="0" ref="AC134">
      <text>
        <t xml:space="preserve">* PDV NACIONAL: NC10NR + NC10LU</t>
      </text>
    </comment>
    <comment authorId="0" ref="AD134">
      <text>
        <t xml:space="preserve">* PDV TERRITORIAL: TC103D</t>
      </text>
    </comment>
    <comment authorId="0" ref="AE134">
      <text>
        <t xml:space="preserve">* PDV TERRITORIAL: TC1039</t>
      </text>
    </comment>
    <comment authorId="0" ref="AF134">
      <text>
        <t xml:space="preserve">* PDV TERRITORIAL: TC1121</t>
      </text>
    </comment>
    <comment authorId="0" ref="AG134">
      <text>
        <t xml:space="preserve">* FFVV TERRITORIAL: TC10UV + TC10UU</t>
      </text>
    </comment>
    <comment authorId="0" ref="AH134">
      <text>
        <t xml:space="preserve">YA NO SE LIQUIDA ASÍ</t>
      </text>
    </comment>
    <comment authorId="0" ref="AI134">
      <text>
        <t xml:space="preserve">YA NO SE LIQUIDA ASÍ</t>
      </text>
    </comment>
    <comment authorId="0" ref="AJ134">
      <text>
        <t xml:space="preserve">YA NO SE LIQUIDA ASÍ</t>
      </text>
    </comment>
    <comment authorId="0" ref="AK134">
      <text>
        <t xml:space="preserve">* FFVV TERRITORIAL: TC10UR + TC10UQ</t>
      </text>
    </comment>
    <comment authorId="0" ref="AL134">
      <text>
        <t xml:space="preserve">* FFVV TERRITORIAL: TC1115 + TC1114</t>
      </text>
    </comment>
    <comment authorId="0" ref="AM134">
      <text>
        <t xml:space="preserve">* FFVV TERRITORIAL: TC1118 + TC1119</t>
      </text>
    </comment>
    <comment authorId="0" ref="AN134">
      <text>
        <t xml:space="preserve">* FFVV TERRITORIAL: TC1116 + TC1117</t>
      </text>
    </comment>
    <comment authorId="0" ref="AO134">
      <text>
        <t xml:space="preserve">* APORTACIÓN TERMINAL: SIAC + GOOGLE DRIVE</t>
      </text>
    </comment>
    <comment authorId="0" ref="AP134">
      <text>
        <t xml:space="preserve">* CAJA TERMINAL: IMPORTE SIAC + IMPORTE DRIVE</t>
      </text>
    </comment>
    <comment authorId="0" ref="AY134">
      <text>
        <t xml:space="preserve">* INGRESOS: 
3.945,00€ DEBORAH</t>
      </text>
    </comment>
    <comment authorId="1" xr:uid="{0191558b-1708-4bcb-8a34-143009152fc8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Contractual ADSL
</t>
      </text>
    </comment>
    <comment authorId="2" xr:uid="{0366df74-d1c5-4253-8883-e03aa468c920}" ref="AV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3" xr:uid="{18e13972-74b8-4b1e-9175-2c65a5eb94a4}" ref="AA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4" xr:uid="{1ad8c393-5d3b-4db3-856a-edb0f8bcc893}" ref="AV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5" xr:uid="{3a79fb14-a7f9-41b9-9d49-25270cfacf8e}" ref="AV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6" xr:uid="{3bd7876c-a84c-45e4-b31d-e89485aa9dfa}" ref="AA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7" xr:uid="{60c4b25d-a0b0-474e-8203-3d4ab3ad216b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COM. CONTRACTUAL EN TODA LA COLUMNA
</t>
      </text>
    </comment>
    <comment authorId="8" xr:uid="{61592e74-da33-49b0-a1d9-93f72952ab39}" ref="AA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9" xr:uid="{68fb0c45-ce5e-4d67-b4d7-d0a1f0947627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LA NACIONAL
</t>
      </text>
    </comment>
    <comment authorId="10" xr:uid="{976e86d6-c8c3-4978-b7f0-810c5df2829b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FALTAN TODAS LAS CONTRACTUALES DE FIJA, AVERIGUAR COMO CRUZAR
</t>
      </text>
    </comment>
    <comment authorId="11" xr:uid="{9b16dc5c-5cd1-4a31-9173-d4d80c185e2d}" ref="AV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12" xr:uid="{b40d57ac-6878-47cd-b3ca-0a6392587407}" ref="AR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coincide Assurant con EXcel
</t>
      </text>
    </comment>
    <comment authorId="13" xr:uid="{bfed0ecc-bd0d-4b2d-9c68-a51d3859ded0}" ref="AR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coincide fact Assurant
</t>
      </text>
    </comment>
    <comment authorId="14" xr:uid="{cd6c70af-e30d-43a8-adae-13712ebfdf52}" ref="AV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15" xr:uid="{ce247343-af5f-4f66-8cb0-647e5feb0530}" ref="AV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Esperando ISML
</t>
      </text>
    </comment>
    <comment authorId="16" xr:uid="{e68d5ee5-d284-4a6d-9ff5-46a5369685b4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SUMAR TODAS LAS TVS (PALANCAS)
</t>
      </text>
    </comment>
    <comment authorId="17" xr:uid="{fc93455a-ba3b-4b8e-8a65-76352e530c3b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LA NACIONAL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3">
      <text>
        <t xml:space="preserve">* Exportar Excel de SIAC: Tramitaciones Operador&gt;Neg. Móvil&gt;Informe de Actividad y rellenar Fecha Creación Pedido
* /\  Filtrar "Texto breve del material" solo terminales
* /\  Filtrar "Variante" y quitar SIN_LINEA_MOVIL
* Pegar IMEIs en Cruce
* Obtener IMEIs de GDrive "Facturación Gama Alta" excepto Libres y pegar en Cruce
* Obtener ISMLs de PROMOCIONES MOVISTAR II N+1, FICHERO D
* /\ Filtrar Concepto "... CON TERMINAL GAMA..."
* Obtener ISMLs de MOVISTAR FIDELIZACION N+1, FICHERO D
* /\ Filtrar Concepto "CANJE TERMINAL"</t>
      </text>
    </comment>
    <comment authorId="0" ref="BB3">
      <text>
        <t xml:space="preserve">* Obtener IMEIs de GDrive "Facturación Gama Alta" con aportación &gt; 0 y pegar en Cruce
* Nota: cuando se haga un filtro, copiar valores en otra hoja
* Reutilizar Excel "Informe de Actividad"
* /\  Filtrar "Texto breve del material" solo terminales
* Obtener IMEIs, algunos no llevarán aportación y saltarán en el Cruce
* En ISML PROMOCIONES MOVISTAR II y MOVISTAR FIDELIZACION N+1, FICHERO D:
* /\ Filtrar Concepto "Aportaciones" y "Abonos" y en importe quitar los que sean a 0</t>
      </text>
    </comment>
    <comment authorId="0" ref="AX129">
      <text>
        <t xml:space="preserve">GESTIÓN DE LA SEÑALIZACIÓN
PTE. HABLAR MANUAL
CÓDIGO DESCONOCIDO</t>
      </text>
    </comment>
    <comment authorId="0" ref="AX145">
      <text>
        <t xml:space="preserve">PENALIZACIÓN POR NO HABER HECHO UN MÍNIMO DE 1 CLOUD (SE HAN HECHO 2)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">
      <text>
        <t xml:space="preserve">ISML Mayo
MOVISTAR CONTRATO</t>
      </text>
    </comment>
    <comment authorId="0" ref="E4">
      <text>
        <t xml:space="preserve">50 ??? ISML
100 ISML Julio
CALIDAD DE LA VENTA</t>
      </text>
    </comment>
    <comment authorId="0" ref="G4">
      <text>
        <t xml:space="preserve">ISML Marzo
RETRIBUCION BASE</t>
      </text>
    </comment>
    <comment authorId="0" ref="H4">
      <text>
        <t xml:space="preserve">ISML Abril
MOVISTAR CONTRATO</t>
      </text>
    </comment>
    <comment authorId="0" ref="K4">
      <text>
        <t xml:space="preserve">ISML Junio
MOVISTAR CONTRATO</t>
      </text>
    </comment>
    <comment authorId="0" ref="L4">
      <text>
        <t xml:space="preserve">ISML Noviembre
Calidad de la Venta</t>
      </text>
    </comment>
    <comment authorId="0" ref="H5">
      <text>
        <t xml:space="preserve">ISML Abril
MOVISTAR CONTRATO</t>
      </text>
    </comment>
    <comment authorId="0" ref="J5">
      <text>
        <t xml:space="preserve">ISML Mayo
MOVISTAR CONTRATO</t>
      </text>
    </comment>
    <comment authorId="0" ref="L5">
      <text>
        <t xml:space="preserve">ISML Noviembre
Calidad de la Venta</t>
      </text>
    </comment>
    <comment authorId="0" ref="H6">
      <text>
        <t xml:space="preserve">ISML Abril
MOVISTAR CONTRATO</t>
      </text>
    </comment>
    <comment authorId="0" ref="L6">
      <text>
        <t xml:space="preserve">ISML Noviembre
Calidad de la Venta</t>
      </text>
    </comment>
    <comment authorId="0" ref="E9">
      <text>
        <t xml:space="preserve">ISML Abril
ACUERDO PRV</t>
      </text>
    </comment>
    <comment authorId="0" ref="E13">
      <text>
        <t xml:space="preserve">ISML Junio
MOVISTAR CONTRATO</t>
      </text>
    </comment>
    <comment authorId="0" ref="E14">
      <text>
        <t xml:space="preserve">ISML Mayo
Calidad de la Venta</t>
      </text>
    </comment>
    <comment authorId="0" ref="H14">
      <text>
        <t xml:space="preserve">ISML Mayo
MOVISTAR CONTRATO</t>
      </text>
    </comment>
    <comment authorId="0" ref="H15">
      <text>
        <t xml:space="preserve">ISML Mayo
MOVISTAR CONTRATO</t>
      </text>
    </comment>
    <comment authorId="0" ref="J15">
      <text>
        <t xml:space="preserve">ISML Junio
MOVISTAR CONTRATO</t>
      </text>
    </comment>
    <comment authorId="0" ref="E16">
      <text>
        <t xml:space="preserve">ISML Mayo
Calidad de la Venta</t>
      </text>
    </comment>
    <comment authorId="0" ref="F16">
      <text>
        <t xml:space="preserve">ISML Abril
Calidad de la Venta</t>
      </text>
    </comment>
    <comment authorId="0" ref="H16">
      <text>
        <t xml:space="preserve">ISML Mayo
MOVISTAR CONTRATO</t>
      </text>
    </comment>
    <comment authorId="0" ref="L16">
      <text>
        <t xml:space="preserve">ISML Noviembre
Calidad de la Venta</t>
      </text>
    </comment>
    <comment authorId="0" ref="J17">
      <text>
        <t xml:space="preserve">ISML Junio
MOVISTAR CONTRATO</t>
      </text>
    </comment>
    <comment authorId="0" ref="E18">
      <text>
        <t xml:space="preserve">ISML Febrero
ACUERDO PRV</t>
      </text>
    </comment>
    <comment authorId="0" ref="E20">
      <text>
        <t xml:space="preserve">ISML Mayo
ACUERDO PRV</t>
      </text>
    </comment>
    <comment authorId="0" ref="H24">
      <text>
        <t xml:space="preserve">ISML Junio
MOVISTAR CONTRATO</t>
      </text>
    </comment>
    <comment authorId="0" ref="L24">
      <text>
        <t xml:space="preserve">ISML Noviembre
Calidad de la Venta</t>
      </text>
    </comment>
    <comment authorId="0" ref="E25">
      <text>
        <t xml:space="preserve">ISML Junio
CALIDAD DE LA VENTA</t>
      </text>
    </comment>
    <comment authorId="0" ref="H25">
      <text>
        <t xml:space="preserve">ISML Junio
MOVISTAR CONTRATO</t>
      </text>
    </comment>
    <comment authorId="0" ref="E26">
      <text>
        <t xml:space="preserve">150 ISML Junio
CALIDAD DE LA VENTA
30 ISML Julio
CALIDAD DE LA VENTA</t>
      </text>
    </comment>
    <comment authorId="0" ref="J26">
      <text>
        <t xml:space="preserve">ISML Junio
MOVISTAR CONTRATO</t>
      </text>
    </comment>
    <comment authorId="0" ref="E27">
      <text>
        <t xml:space="preserve">ISML Julio
CALIDAD DE LA VENTA</t>
      </text>
    </comment>
    <comment authorId="0" ref="H27">
      <text>
        <t xml:space="preserve">ISML Junio
MOVISTAR CONTRATO</t>
      </text>
    </comment>
    <comment authorId="0" ref="J27">
      <text>
        <t xml:space="preserve">ISML Mayo
MOVISTAR CONTRATO</t>
      </text>
    </comment>
    <comment authorId="0" ref="E32">
      <text>
        <t xml:space="preserve">ISML Marzo
Calidad de la Venta</t>
      </text>
    </comment>
    <comment authorId="0" ref="H35">
      <text>
        <t xml:space="preserve">ISML Julio
CALIDAD DE LA VENTA</t>
      </text>
    </comment>
    <comment authorId="0" ref="J36">
      <text>
        <t xml:space="preserve">ISML Agosto
MOVISTAR CONTRATO</t>
      </text>
    </comment>
    <comment authorId="0" ref="J37">
      <text>
        <t xml:space="preserve">ISML Agosto
MOVISTAR CONTRATO</t>
      </text>
    </comment>
    <comment authorId="0" ref="E41">
      <text>
        <t xml:space="preserve">50 ISML Julio
Acuerdo PRV
50 ISML Julio
Calidad de la Venta</t>
      </text>
    </comment>
    <comment authorId="0" ref="E43">
      <text>
        <t xml:space="preserve">50 ISML Mayo
Calidad de la Venta
50 ISML Julio
Calidad de la Venta</t>
      </text>
    </comment>
    <comment authorId="0" ref="E46">
      <text>
        <t xml:space="preserve">100 ISML Agosto
Calidad de la Venta</t>
      </text>
    </comment>
    <comment authorId="0" ref="I46">
      <text>
        <t xml:space="preserve">* 900 100 104 LIQUIDAC *
ISML Mayo
MOVISTAR CONTRATO</t>
      </text>
    </comment>
    <comment authorId="0" ref="J46">
      <text>
        <t xml:space="preserve">ISML Septiembre
MOVISTAR CONTRATO</t>
      </text>
    </comment>
    <comment authorId="0" ref="E48">
      <text>
        <t xml:space="preserve">50 ISML Agosto
Calidad de la Venta</t>
      </text>
    </comment>
    <comment authorId="0" ref="H48">
      <text>
        <t xml:space="preserve">ISML Agosto
MOVISTAR CONTRATO</t>
      </text>
    </comment>
    <comment authorId="0" ref="I48">
      <text>
        <t xml:space="preserve">ISML Mayo
MOVISTAR CONTRATO</t>
      </text>
    </comment>
    <comment authorId="0" ref="E49">
      <text>
        <t xml:space="preserve">50 ISML Agosto
Calidad de la Venta</t>
      </text>
    </comment>
    <comment authorId="0" ref="H49">
      <text>
        <t xml:space="preserve">ISML Agosto
MOVISTAR CONTRATO</t>
      </text>
    </comment>
    <comment authorId="0" ref="J49">
      <text>
        <t xml:space="preserve">ISML Septiembre
MOVISTAR CONTRATO</t>
      </text>
    </comment>
    <comment authorId="0" ref="I50">
      <text>
        <t xml:space="preserve">ISML Mayo
MOVISTAR CONTRATO</t>
      </text>
    </comment>
    <comment authorId="0" ref="I57">
      <text>
        <t xml:space="preserve">ISML Junio
MOVISTAR CONTRATO</t>
      </text>
    </comment>
    <comment authorId="0" ref="E58">
      <text>
        <t xml:space="preserve">50 ISML Septiembre
Calidad de la Venta
260 ISML Octubre
MOVISTAR CONTRATO</t>
      </text>
    </comment>
    <comment authorId="0" ref="H58">
      <text>
        <t xml:space="preserve">ISML Septiembre
MOVISTAR CONTRATO</t>
      </text>
    </comment>
    <comment authorId="0" ref="I58">
      <text>
        <t xml:space="preserve">ISML Junio
MOVISTAR CONTRATO</t>
      </text>
    </comment>
    <comment authorId="0" ref="H59">
      <text>
        <t xml:space="preserve">ISML Septiembre
MOVISTAR CONTRATO</t>
      </text>
    </comment>
    <comment authorId="0" ref="J59">
      <text>
        <t xml:space="preserve">ISML Noviembre
Calidad de la Venta</t>
      </text>
    </comment>
    <comment authorId="0" ref="E60">
      <text>
        <t xml:space="preserve">ISML Septiembre
Calidad de la Venta
ISML Octubre
MOVISTAR CONTRATO</t>
      </text>
    </comment>
    <comment authorId="0" ref="E62">
      <text>
        <t xml:space="preserve">ISML Septiembre
ACUERDO PRV</t>
      </text>
    </comment>
    <comment authorId="0" ref="H68">
      <text>
        <t xml:space="preserve">ISML Octubre
MOVISTAR CONTRATO</t>
      </text>
    </comment>
    <comment authorId="0" ref="E69">
      <text>
        <t xml:space="preserve">ISML Septiembre
Calidad de la Venta</t>
      </text>
    </comment>
    <comment authorId="0" ref="J69">
      <text>
        <t xml:space="preserve">ISML Noviembre
MOVISTAR CONTRATO</t>
      </text>
    </comment>
    <comment authorId="0" ref="E70">
      <text>
        <t xml:space="preserve">ISML Septiembre
Calidad de la Venta</t>
      </text>
    </comment>
    <comment authorId="0" ref="J70">
      <text>
        <t xml:space="preserve">ISML Noviembre
MOVISTAR CONTRATO</t>
      </text>
    </comment>
    <comment authorId="0" ref="K70">
      <text>
        <t xml:space="preserve">ISML Noviembre
MOVISTAR CONTRATO</t>
      </text>
    </comment>
    <comment authorId="0" ref="E74">
      <text>
        <t xml:space="preserve">ISML Octubre
ACUERDO PRV</t>
      </text>
    </comment>
    <comment authorId="0" ref="E76">
      <text>
        <t xml:space="preserve">ISML Octubre
ACUERDO PRV</t>
      </text>
    </comment>
    <comment authorId="0" ref="H79">
      <text>
        <t xml:space="preserve">ISML Noviembre
MOVISTAR CONTRATO</t>
      </text>
    </comment>
    <comment authorId="0" ref="H81">
      <text>
        <t xml:space="preserve">ISML Noviembre
MOVISTAR CONTRATO</t>
      </text>
    </comment>
    <comment authorId="0" ref="E84">
      <text>
        <t xml:space="preserve">100 ISML Noviembre
ACUERDO PRV
100 ISML Noviembre
Calidad de la Venta</t>
      </text>
    </comment>
    <comment authorId="0" ref="E90">
      <text>
        <t xml:space="preserve">ISML Diciembre
Calidad de la Venta</t>
      </text>
    </comment>
    <comment authorId="0" ref="E91">
      <text>
        <t xml:space="preserve">ISML Diciembre
Calidad de la Venta</t>
      </text>
    </comment>
    <comment authorId="0" ref="E97">
      <text>
        <t xml:space="preserve">ISML Diciembre
ACUERDO PRV</t>
      </text>
    </comment>
    <comment authorId="0" ref="E98">
      <text>
        <t xml:space="preserve">ISML Diciembre
ACUERDO PRV</t>
      </text>
    </comment>
    <comment authorId="0" ref="M112">
      <text>
        <t xml:space="preserve">ISML Noviembre
MOVISTAR CONTRATO</t>
      </text>
    </comment>
    <comment authorId="0" ref="M114">
      <text>
        <t xml:space="preserve">ISML Noviembre
MOVISTAR CONTRATO</t>
      </text>
    </comment>
    <comment authorId="0" ref="M116">
      <text>
        <t xml:space="preserve">ISML Noviembre
MOVISTAR CONTRATO</t>
      </text>
    </comment>
    <comment authorId="0" ref="H128">
      <text>
        <t xml:space="preserve">ISML Diciembre
ACUERDO PRV</t>
      </text>
    </comment>
    <comment authorId="0" ref="H129">
      <text>
        <t xml:space="preserve">ISML Diciembre
ACUERDO PRV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9">
      <text>
        <t xml:space="preserve">-256,50 SANTA MARTA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actualizado el día 26/12</t>
      </text>
    </comment>
    <comment authorId="0" ref="C17">
      <text>
        <t xml:space="preserve">inspección 2014</t>
      </text>
    </comment>
    <comment authorId="0" ref="C18">
      <text>
        <t xml:space="preserve"> IVA+ IRPFalquiler+ Empleados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146,45€ Liquidación de cuenta del 18-07-2016 al 27-07-2016
250,45 EUR   Liquidación de la cuenta -29-07-2016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La Seguridad Social de Deborah se reparte entre Tiendas y Comerciales a partes iguales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Aplazamos 20.000€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0">
      <text>
        <t xml:space="preserve">ENVIADO CONTRATO, ESCRITURA, CIF a Alicia el 15-02-16</t>
      </text>
    </comment>
    <comment authorId="0" ref="F12">
      <text>
        <t xml:space="preserve">cliente de Salva que quiso dar una linea no tenia suficiente cobertura dentro de la farmacia y desistió </t>
      </text>
    </comment>
    <comment authorId="0" ref="F13">
      <text>
        <t xml:space="preserve">C/La victoria, cliente desistio por encontrar trabajo en Vitoria y se marchó.</t>
      </text>
    </comment>
    <comment authorId="0" ref="F14">
      <text>
        <t xml:space="preserve">LE HICIERON CONTRAOFERTA AL CLIENTE SE HA IDO A VODAFONE</t>
      </text>
    </comment>
    <comment authorId="0" ref="F15">
      <text>
        <t xml:space="preserve">finalizados</t>
      </text>
    </comment>
    <comment authorId="0" ref="F17">
      <text>
        <t xml:space="preserve">por motivos de trabajo se han ido a la Rioja </t>
      </text>
    </comment>
    <comment authorId="0" ref="F18">
      <text>
        <t xml:space="preserve">El cliente se fue de vacaciones y no nos avisó.
despues quedo instalado en un segundo pedido</t>
      </text>
    </comment>
    <comment authorId="0" ref="F19">
      <text>
        <t xml:space="preserve">Nosotros no anulamos el canal plus independientemente de a nombre de quien este.
Y se puede tramitar la TV sobre el titular del ADSL  (mala información del tecnico)</t>
      </text>
    </comment>
    <comment authorId="0" ref="F20">
      <text>
        <t xml:space="preserve">DUPLICADO .
El cliente anula la telefonia fija porque no le financian el móvil.</t>
      </text>
    </comment>
    <comment authorId="0" ref="F21">
      <text>
        <t xml:space="preserve">DUPLICADO .
El cliente anula la telefonia fija porque no le financian el móvil.</t>
      </text>
    </comment>
    <comment authorId="0" ref="F23">
      <text>
        <t xml:space="preserve">Se pidió cloud con alta a traves de Vidal para timbre llegaron los instaladores dijeron que no se podía activar.</t>
      </text>
    </comment>
    <comment authorId="0" ref="F36">
      <text>
        <t xml:space="preserve">JUAN RAMON REYES</t>
      </text>
    </comment>
    <comment authorId="0" ref="F41">
      <text>
        <t xml:space="preserve">CEDE</t>
      </text>
    </comment>
    <comment authorId="0" ref="G50">
      <text>
        <t xml:space="preserve">Enviado contrato y DNI</t>
      </text>
    </comment>
    <comment authorId="0" ref="H53">
      <text>
        <t xml:space="preserve">no tenemos contratos firmados ni DNI</t>
      </text>
    </comment>
    <comment authorId="0" ref="E70">
      <text>
        <t xml:space="preserve">ALTA DE ENERO</t>
      </text>
    </comment>
    <comment authorId="0" ref="F73">
      <text>
        <t xml:space="preserve">Dni Falso Hablado con Angel luis</t>
      </text>
    </comment>
    <comment authorId="0" ref="H87">
      <text>
        <t xml:space="preserve">eNVIADO CORREO 21/10/2016 A MANUEL</t>
      </text>
    </comment>
    <comment authorId="0" ref="H88">
      <text>
        <t xml:space="preserve">eNVIADO CORREO 21/10/2016 A MANUEL</t>
      </text>
    </comment>
    <comment authorId="0" ref="H89">
      <text>
        <t xml:space="preserve">eNVIADO CORREO 21/10/2016 A MANUEL</t>
      </text>
    </comment>
    <comment authorId="0" ref="H98">
      <text>
        <t xml:space="preserve">RECLAMADO POR CORREO  A MANUEL 10/03/2017</t>
      </text>
    </comment>
    <comment authorId="0" ref="H99">
      <text>
        <t xml:space="preserve">RECLAMADO POR CORREO  A MANUEL 10/03/2017</t>
      </text>
    </comment>
    <comment authorId="0" ref="H100">
      <text>
        <t xml:space="preserve">RECLAMADO POR CORREO  A MANUEL 10/03/2017</t>
      </text>
    </comment>
    <comment authorId="0" ref="H101">
      <text>
        <t xml:space="preserve">RECLAMADO POR CORREO  A MANUEL 10/03/2017</t>
      </text>
    </comment>
    <comment authorId="0" ref="H102">
      <text>
        <t xml:space="preserve">RECLAMADO POR CORREO  A MANUEL 10/03/2017</t>
      </text>
    </comment>
    <comment authorId="0" ref="H108">
      <text>
        <t xml:space="preserve">NO ENTREGO LA DOCUMENTACION</t>
      </text>
    </comment>
    <comment authorId="0" ref="F109">
      <text>
        <t xml:space="preserve">se enviaron los contratos todos juntos y resulta que uno si aparece como recibido( 606110300) y el resto no </t>
      </text>
    </comment>
    <comment authorId="0" ref="H109">
      <text>
        <t xml:space="preserve">RECLAMADO POR CORREO  A MANUEL 10/03/2017</t>
      </text>
    </comment>
    <comment authorId="0" ref="H110">
      <text>
        <t xml:space="preserve">RECLAMADO POR CORREO  A MANUEL 10/03/2017</t>
      </text>
    </comment>
    <comment authorId="0" ref="H111">
      <text>
        <t xml:space="preserve">RECLAMADO POR CORREO  A MANUEL 10/03/2017</t>
      </text>
    </comment>
    <comment authorId="0" ref="H112">
      <text>
        <t xml:space="preserve">RECLAMADO POR CORREO  A MANUEL 10/03/2017</t>
      </text>
    </comment>
    <comment authorId="0" ref="H113">
      <text>
        <t xml:space="preserve">RECLAMADO POR CORREO  A MANUEL 10/03/2017</t>
      </text>
    </comment>
    <comment authorId="0" ref="H114">
      <text>
        <t xml:space="preserve">pasado correo a manuel 13/03/17</t>
      </text>
    </comment>
    <comment authorId="0" ref="H116">
      <text>
        <t xml:space="preserve">RECLAMADO POR CORREO  A MANUEL 10/03/2017</t>
      </text>
    </comment>
  </commentList>
</comments>
</file>

<file path=xl/sharedStrings.xml><?xml version="1.0" encoding="utf-8"?>
<sst xmlns="http://schemas.openxmlformats.org/spreadsheetml/2006/main" count="4637" uniqueCount="719">
  <si>
    <t>Media 2013</t>
  </si>
  <si>
    <t>Media 2014</t>
  </si>
  <si>
    <t>Media 2015</t>
  </si>
  <si>
    <t>Media 2016</t>
  </si>
  <si>
    <t>Gastos Fijos 2015</t>
  </si>
  <si>
    <t>TOTAL Anual</t>
  </si>
  <si>
    <t>Total Comerc.</t>
  </si>
  <si>
    <t>Total Tiendas</t>
  </si>
  <si>
    <t>Total M.Free</t>
  </si>
  <si>
    <t>C.Enero</t>
  </si>
  <si>
    <t>T.Enero</t>
  </si>
  <si>
    <t>M.Enero</t>
  </si>
  <si>
    <t>Total Enero</t>
  </si>
  <si>
    <t>C.Febrero</t>
  </si>
  <si>
    <t>T.Febrero</t>
  </si>
  <si>
    <t>M.Febrero</t>
  </si>
  <si>
    <t>Total Febrero</t>
  </si>
  <si>
    <t>C.Marzo</t>
  </si>
  <si>
    <t>T.Marzo</t>
  </si>
  <si>
    <t>M.Marzo</t>
  </si>
  <si>
    <t>Total Marzo</t>
  </si>
  <si>
    <t>C.Abril</t>
  </si>
  <si>
    <t>T.Abril</t>
  </si>
  <si>
    <t>M.Abril</t>
  </si>
  <si>
    <t>Total Abril</t>
  </si>
  <si>
    <t>C.Mayo</t>
  </si>
  <si>
    <t>T.Mayo</t>
  </si>
  <si>
    <t>M.Mayo</t>
  </si>
  <si>
    <t>Total Mayo</t>
  </si>
  <si>
    <t>C.Junio</t>
  </si>
  <si>
    <t>T.Junio</t>
  </si>
  <si>
    <t>M.Junio</t>
  </si>
  <si>
    <t>Total Junio</t>
  </si>
  <si>
    <t>C.Julio</t>
  </si>
  <si>
    <t>T.Julio</t>
  </si>
  <si>
    <t>M.Julio</t>
  </si>
  <si>
    <t>Total Julio</t>
  </si>
  <si>
    <t>C.Agosto</t>
  </si>
  <si>
    <t>T.Agosto</t>
  </si>
  <si>
    <t>M.Agosto</t>
  </si>
  <si>
    <t>Total Agosto</t>
  </si>
  <si>
    <t>C.Septiem.</t>
  </si>
  <si>
    <t>T.Septiem.</t>
  </si>
  <si>
    <t>M.Septiem.</t>
  </si>
  <si>
    <t>Total Septiem.</t>
  </si>
  <si>
    <t>C.Octubre</t>
  </si>
  <si>
    <t>T.Octubre</t>
  </si>
  <si>
    <t>M.Octubre</t>
  </si>
  <si>
    <t>Total Octubre</t>
  </si>
  <si>
    <t>C.Noviem.</t>
  </si>
  <si>
    <t>T.Noviem.</t>
  </si>
  <si>
    <t>M.Noviem.</t>
  </si>
  <si>
    <t>Total Noviem.</t>
  </si>
  <si>
    <t>C.Diciem.</t>
  </si>
  <si>
    <t>T.Diciem.</t>
  </si>
  <si>
    <t>M.Diciem.</t>
  </si>
  <si>
    <t>Total Diciem.</t>
  </si>
  <si>
    <t>Sueldos</t>
  </si>
  <si>
    <t>Seguridad Social Empresa</t>
  </si>
  <si>
    <t>Arrendamientos</t>
  </si>
  <si>
    <t>Luz</t>
  </si>
  <si>
    <t>Gasoil Solred</t>
  </si>
  <si>
    <t>Teléfono Fijo</t>
  </si>
  <si>
    <t>Teléfono Móvil</t>
  </si>
  <si>
    <t>Asesoria Laboral</t>
  </si>
  <si>
    <t>Abogado</t>
  </si>
  <si>
    <t>Dietas JV y Coordinador</t>
  </si>
  <si>
    <t>Limpieza de Cristales</t>
  </si>
  <si>
    <t>Transportes</t>
  </si>
  <si>
    <t>Agua</t>
  </si>
  <si>
    <t>Comunidades</t>
  </si>
  <si>
    <t>Interes+Amort. Prestamo Piso</t>
  </si>
  <si>
    <t>Adeslas (Angel Luis)</t>
  </si>
  <si>
    <t>Total gastos Fijos 2015</t>
  </si>
  <si>
    <t>Variables</t>
  </si>
  <si>
    <t>Gastos Variables</t>
  </si>
  <si>
    <t>Arreglo Tiendas</t>
  </si>
  <si>
    <t>Sueldos Fuera Nómi. (Idemni)</t>
  </si>
  <si>
    <t>Impuestos (Basur, IBI, Circ.)</t>
  </si>
  <si>
    <t xml:space="preserve">Publicidad </t>
  </si>
  <si>
    <t>Mantenimiento Vehiculos</t>
  </si>
  <si>
    <t>Arsys Internet + Golden Soft</t>
  </si>
  <si>
    <t>Comisiones Tarjetas, etc</t>
  </si>
  <si>
    <t>Comisiones Bancarias</t>
  </si>
  <si>
    <t>Comisiones Zeleris</t>
  </si>
  <si>
    <t>Material de Oficina</t>
  </si>
  <si>
    <t>Seguros Tiendas</t>
  </si>
  <si>
    <t>Varios (Multas,etc)</t>
  </si>
  <si>
    <t>Seguros Automovil</t>
  </si>
  <si>
    <t>Mutua</t>
  </si>
  <si>
    <t>Penalizaciones Teléfonica</t>
  </si>
  <si>
    <t>Salidas ALuis (Comisiones)</t>
  </si>
  <si>
    <t>Total Gastos Variables</t>
  </si>
  <si>
    <t>Total gastos Fijos + Variables</t>
  </si>
  <si>
    <t>Compras Mercaderias</t>
  </si>
  <si>
    <t>Total gastos General</t>
  </si>
  <si>
    <t>Ventas Mercaderias</t>
  </si>
  <si>
    <t>Beneficio o Perdida</t>
  </si>
  <si>
    <t>iberdrola.es</t>
  </si>
  <si>
    <t>Usuario:  CRCHAMSA</t>
  </si>
  <si>
    <t>Potencia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</si>
  <si>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</si>
  <si>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</si>
  <si>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</si>
  <si>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</si>
  <si>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</si>
  <si>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</si>
  <si>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</si>
  <si>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</si>
  <si>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</si>
  <si>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</si>
  <si>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</si>
  <si>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</si>
  <si>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Promedio MES</t>
  </si>
  <si>
    <t>Media Diaria</t>
  </si>
  <si>
    <t>Luz Asignada</t>
  </si>
  <si>
    <t>Contraseña: xa253625</t>
  </si>
  <si>
    <t>Estación KW</t>
  </si>
  <si>
    <t>Estación Importe</t>
  </si>
  <si>
    <t>Vitigudino KW</t>
  </si>
  <si>
    <t>Vitigudino Importe</t>
  </si>
  <si>
    <t>Santa Marta KW</t>
  </si>
  <si>
    <t>Santa Marta Importe</t>
  </si>
  <si>
    <t>MovilFree KW</t>
  </si>
  <si>
    <t>MovilFree Importe</t>
  </si>
  <si>
    <t>Correhuela KW</t>
  </si>
  <si>
    <t>Correhuela Importe</t>
  </si>
  <si>
    <t>Peñaranda KW</t>
  </si>
  <si>
    <t>Peñaranda Importe</t>
  </si>
  <si>
    <t>Total Kw Consumidos</t>
  </si>
  <si>
    <t>Total Factura</t>
  </si>
  <si>
    <t>Estación: TRIFÁSICO</t>
  </si>
  <si>
    <t>Santa Marta: TRIFÁSICO</t>
  </si>
  <si>
    <t>Vitigudino:</t>
  </si>
  <si>
    <t>Correhuela :</t>
  </si>
  <si>
    <t>MovilFree :</t>
  </si>
  <si>
    <t>Peñaranda :</t>
  </si>
  <si>
    <t>domingo</t>
  </si>
  <si>
    <t>Lunes</t>
  </si>
  <si>
    <t>martes</t>
  </si>
  <si>
    <t>miércoles</t>
  </si>
  <si>
    <t>jueves</t>
  </si>
  <si>
    <t>viernes</t>
  </si>
  <si>
    <t>sábado</t>
  </si>
  <si>
    <t>Total</t>
  </si>
  <si>
    <t>https://www.movistar.es/mi-movistar/</t>
  </si>
  <si>
    <t>Usuario:   B37290293            Contraseña:  1111AAAA</t>
  </si>
  <si>
    <t>Factura del 11 de Noviembre 2016</t>
  </si>
  <si>
    <t>Factura del 11 de Diciembre 2016</t>
  </si>
  <si>
    <t>Factura del 11 de Enero   2017</t>
  </si>
  <si>
    <t>Tienda</t>
  </si>
  <si>
    <t>Contratos</t>
  </si>
  <si>
    <t>Fijo</t>
  </si>
  <si>
    <t>Móvil</t>
  </si>
  <si>
    <t>Tipo Contrato Fijo ó Móvil</t>
  </si>
  <si>
    <t>Correhuela</t>
  </si>
  <si>
    <t>RTB y ADSL</t>
  </si>
  <si>
    <t>RTB+FIBRA 50MB / 5MB + Llamadas a Fijos</t>
  </si>
  <si>
    <t>MovilFree</t>
  </si>
  <si>
    <t>Vitigudino</t>
  </si>
  <si>
    <t>RTB+ADSL 10MB + Llamadas a Fijos (Hasta el 15 de Febrero de 2017   50%)</t>
  </si>
  <si>
    <t>Peñaranda</t>
  </si>
  <si>
    <t>RTB+ADSL 10MB + Llamadas a Fijos</t>
  </si>
  <si>
    <t>Santa Marta</t>
  </si>
  <si>
    <t>Estación</t>
  </si>
  <si>
    <t>RTB+FIBRA 300MB + Llamadas a Fijos + Móviles (Fibra NO Tiene Descuentos)</t>
  </si>
  <si>
    <t>Estación RDSI*</t>
  </si>
  <si>
    <t>RDSI+ADSL 10MB + BONO + Bono llamadas a Fijos (RDSI NO Tiene Descuentos)</t>
  </si>
  <si>
    <t>Estación DDI Voz</t>
  </si>
  <si>
    <t>Número Virtual (DDi NO Tiene Descuentos)</t>
  </si>
  <si>
    <t>Principe de Vergara/ Diego</t>
  </si>
  <si>
    <t>Fusión TV+ 4</t>
  </si>
  <si>
    <t>FUSION+4 Línea Principal (ilimitadas Ext y 1000 int + 3Gb Datos)</t>
  </si>
  <si>
    <t>Angel Luis</t>
  </si>
  <si>
    <t>FUSION+4 Línea Adicional (ilimitadas Ext y 1000 int + 3Gb Datos)</t>
  </si>
  <si>
    <t>Salva</t>
  </si>
  <si>
    <t>Angelete</t>
  </si>
  <si>
    <t>Juan Carlos</t>
  </si>
  <si>
    <t>FUSION EMPRESAS 2014</t>
  </si>
  <si>
    <t>TARIFA 20 CON ADSL/FIBRA (ilimitadas Ext y 1000 int + 2Gb Datos)</t>
  </si>
  <si>
    <t>Gabriel</t>
  </si>
  <si>
    <t>Juan António</t>
  </si>
  <si>
    <t>Javier</t>
  </si>
  <si>
    <t>Marcos</t>
  </si>
  <si>
    <t>Vicente</t>
  </si>
  <si>
    <t>Andrés</t>
  </si>
  <si>
    <t>TARIFA 30 CON ADSL/FIBRA (ilimitadas Ext y 1000 int + 4Gb Datos + MultiSim)</t>
  </si>
  <si>
    <t>TARIFA 10 CON ADSL/FIBRA (100 min Ext y 1000 int + 100Mb Datos)</t>
  </si>
  <si>
    <t>Cristina Administración</t>
  </si>
  <si>
    <t>Selene</t>
  </si>
  <si>
    <t>Raquel</t>
  </si>
  <si>
    <t>Padre</t>
  </si>
  <si>
    <t>TARIFA 5 CON ADSL/FIBRA (10 cts/min + establecimiento, SMS 15 cts)</t>
  </si>
  <si>
    <t>INGRESOS 2016</t>
  </si>
  <si>
    <t>Nacional + Contractual</t>
  </si>
  <si>
    <t>Nacional</t>
  </si>
  <si>
    <t>Territorial</t>
  </si>
  <si>
    <t>Otras comisiones / Caja</t>
  </si>
  <si>
    <t>Alta ADSL / F300</t>
  </si>
  <si>
    <t>Contrato / Migra AV</t>
  </si>
  <si>
    <t>Contrato MV</t>
  </si>
  <si>
    <t>Contrato / Migra BV</t>
  </si>
  <si>
    <t>Migra F300</t>
  </si>
  <si>
    <t>Migra F300 / MFE</t>
  </si>
  <si>
    <t>TV AV</t>
  </si>
  <si>
    <t>TV MV</t>
  </si>
  <si>
    <t>TV BV</t>
  </si>
  <si>
    <t>MFE XDSL</t>
  </si>
  <si>
    <t>MFE FTTH</t>
  </si>
  <si>
    <t>Servicios TI</t>
  </si>
  <si>
    <t>Repos AV</t>
  </si>
  <si>
    <t>Canje AV</t>
  </si>
  <si>
    <t>Canje MV</t>
  </si>
  <si>
    <t>Canje BV</t>
  </si>
  <si>
    <t>Extra / Transc AV</t>
  </si>
  <si>
    <t>Extra / Transc MV</t>
  </si>
  <si>
    <t>Extra / Transc BV</t>
  </si>
  <si>
    <t>TMA AV</t>
  </si>
  <si>
    <t>TMA MV</t>
  </si>
  <si>
    <t>TMA BV</t>
  </si>
  <si>
    <t>Seguro</t>
  </si>
  <si>
    <t>Financia</t>
  </si>
  <si>
    <t>Prepago</t>
  </si>
  <si>
    <t>MultiSIM</t>
  </si>
  <si>
    <t>Alta F300 / Migra F300</t>
  </si>
  <si>
    <t>Contr. AV / Migras</t>
  </si>
  <si>
    <t>Alta / Porta</t>
  </si>
  <si>
    <t>Repos. Tarifas</t>
  </si>
  <si>
    <t>Alta BAF / MFE</t>
  </si>
  <si>
    <t>Alta / Migra BAF / MFE</t>
  </si>
  <si>
    <t>Alta MFE / Migra MFE</t>
  </si>
  <si>
    <t>TMA</t>
  </si>
  <si>
    <t>Servicio TI</t>
  </si>
  <si>
    <t>Aportación Terminal</t>
  </si>
  <si>
    <t>Caja Terminal</t>
  </si>
  <si>
    <t>Banco Financia</t>
  </si>
  <si>
    <t>Recicla</t>
  </si>
  <si>
    <t>Caja Tarjeta SIM</t>
  </si>
  <si>
    <t>Caja Accesorio</t>
  </si>
  <si>
    <t>Caja Recarga</t>
  </si>
  <si>
    <t>PRV PDV</t>
  </si>
  <si>
    <t>PRV FFVV</t>
  </si>
  <si>
    <t>Pre-Liq PRV FFVV</t>
  </si>
  <si>
    <t>Ingresos</t>
  </si>
  <si>
    <t>ENE</t>
  </si>
  <si>
    <t>-</t>
  </si>
  <si>
    <t>Básico GVT</t>
  </si>
  <si>
    <t>Básico XCU</t>
  </si>
  <si>
    <t>N/D</t>
  </si>
  <si>
    <t>Plus NFG</t>
  </si>
  <si>
    <t>Plus N7D</t>
  </si>
  <si>
    <t>Plus K2Z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</si>
  <si>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</si>
  <si>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</si>
  <si>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</si>
  <si>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</si>
  <si>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</si>
  <si>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</si>
  <si>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</si>
  <si>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</si>
  <si>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</si>
  <si>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</si>
  <si>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</si>
  <si>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Totales</t>
  </si>
  <si>
    <t>2016
RECLAMACIONES
PENDIENTES</t>
  </si>
  <si>
    <t>Contractual</t>
  </si>
  <si>
    <t>Retribución</t>
  </si>
  <si>
    <t>Otros</t>
  </si>
  <si>
    <t>FFVV</t>
  </si>
  <si>
    <t>PDV</t>
  </si>
  <si>
    <t>Todos</t>
  </si>
  <si>
    <t># Alta/Por BV</t>
  </si>
  <si>
    <t># Alta/Por MV</t>
  </si>
  <si>
    <t># Alta/Por AV</t>
  </si>
  <si>
    <t># Alta/Por/Mig BV
# Tuenti</t>
  </si>
  <si>
    <t># Alta/Por/Mig AV</t>
  </si>
  <si>
    <t># Alta ADSL
# Alta FTTH</t>
  </si>
  <si>
    <t># Repo a AV</t>
  </si>
  <si>
    <t># Extra
Terminal BV</t>
  </si>
  <si>
    <t># Extra
Terminal MV</t>
  </si>
  <si>
    <t># Extra
Terminal AV</t>
  </si>
  <si>
    <t># Terminal Transcanalidad</t>
  </si>
  <si>
    <t># Prepago
# MultiSIM</t>
  </si>
  <si>
    <t># Financia
# Siempre N</t>
  </si>
  <si>
    <t># Seguro</t>
  </si>
  <si>
    <t># Canje BV</t>
  </si>
  <si>
    <t># Canje MV</t>
  </si>
  <si>
    <t># Canje AV</t>
  </si>
  <si>
    <t># Migra FTTH</t>
  </si>
  <si>
    <t># Alta TV</t>
  </si>
  <si>
    <t># Paquete TV</t>
  </si>
  <si>
    <t># Opción TV</t>
  </si>
  <si>
    <t># Migra MFE ADSL</t>
  </si>
  <si>
    <t># Migra MFE FTTH</t>
  </si>
  <si>
    <t># Alta MFE ADSL</t>
  </si>
  <si>
    <t># Alta MFE FTTH</t>
  </si>
  <si>
    <t># Servicio TI</t>
  </si>
  <si>
    <t># TMA BV</t>
  </si>
  <si>
    <t># TMA MV</t>
  </si>
  <si>
    <t># TMA AV</t>
  </si>
  <si>
    <t># Alta/Mig MFE ADSL/FTTH</t>
  </si>
  <si>
    <t># TMA</t>
  </si>
  <si>
    <t># Fusión Pro</t>
  </si>
  <si>
    <t># Alta/Por
AV / MV / BV</t>
  </si>
  <si>
    <t># Retribución Base</t>
  </si>
  <si>
    <t># Acuerdo PRV</t>
  </si>
  <si>
    <t># Cierre Pre-Liq PRV</t>
  </si>
  <si>
    <t># Preliq PRV</t>
  </si>
  <si>
    <t># Comisión Terminal</t>
  </si>
  <si>
    <t># Aportación Terminal</t>
  </si>
  <si>
    <t># Otras reclamaciones</t>
  </si>
  <si>
    <t>ENERO</t>
  </si>
  <si>
    <t>MicroShop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</si>
  <si>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</si>
  <si>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</si>
  <si>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</si>
  <si>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</si>
  <si>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</si>
  <si>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</si>
  <si>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</si>
  <si>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</si>
  <si>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</si>
  <si>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</si>
  <si>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</si>
  <si>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2016
PENALIZAC.</t>
  </si>
  <si>
    <t>PRV FFVV (No poner nada, son deducciones)</t>
  </si>
  <si>
    <t>Calidad de la Venta</t>
  </si>
  <si>
    <t>Calidad de la Venta Calcing (cliente no ha pedido nada)</t>
  </si>
  <si>
    <t>Exceso de Bajas (ver detalle para fecha)</t>
  </si>
  <si>
    <t>900 100 104</t>
  </si>
  <si>
    <t>Documentac</t>
  </si>
  <si>
    <t>Fraude</t>
  </si>
  <si>
    <t>Exceso de Bajas FIja</t>
  </si>
  <si>
    <t>Botes Fusión</t>
  </si>
  <si>
    <t xml:space="preserve">FEBRERO
</t>
  </si>
  <si>
    <t xml:space="preserve">
</t>
  </si>
  <si>
    <t>SEPTIEMB</t>
  </si>
  <si>
    <t>PRV FFVV 2016</t>
  </si>
  <si>
    <t>Acuerdo Plan Retribución Variable</t>
  </si>
  <si>
    <t>Acuerdo Trimestral (Pre-Liquidación)</t>
  </si>
  <si>
    <t>Total cobrado</t>
  </si>
  <si>
    <t>Territorial FFVV Plus 2016</t>
  </si>
  <si>
    <t>Altas y Portas</t>
  </si>
  <si>
    <t>Reposicionamientos AV</t>
  </si>
  <si>
    <t>Alta BAF, BAF Fibra y MFE Todos</t>
  </si>
  <si>
    <t>Migraciones FTTH y MFE Todos</t>
  </si>
  <si>
    <t>Alta ADSL, FTTH, MFE Todos, Migra FTTH, MFE Todos</t>
  </si>
  <si>
    <t>Altas y Migras MFE Cloud Todos</t>
  </si>
  <si>
    <t xml:space="preserve">TMA </t>
  </si>
  <si>
    <t>Previsión Según Nuestro Cuadro</t>
  </si>
  <si>
    <t>Territorial FFVV Básico 2016</t>
  </si>
  <si>
    <t>Altas y Migras MFE Todos</t>
  </si>
  <si>
    <t>TOTAL TERRITORIAL PLUS + BÁSICO</t>
  </si>
  <si>
    <t>Territorial Tiendas 2016</t>
  </si>
  <si>
    <t>Alta BAF y BAF 300</t>
  </si>
  <si>
    <t>Alta y Migra BAF 300</t>
  </si>
  <si>
    <t>Contratos AV y Migras Todas</t>
  </si>
  <si>
    <t>Retribución Base Mensual</t>
  </si>
  <si>
    <t>Total cobrado Territorial + Base Mensual</t>
  </si>
  <si>
    <t>Ingresos y Gastos Tiendas 2016</t>
  </si>
  <si>
    <t>Media</t>
  </si>
  <si>
    <t>Caja Tiendas</t>
  </si>
  <si>
    <t>Territorial 2015 Canal MoviStar</t>
  </si>
  <si>
    <t>RETRIBUCION BASE TIENDAS 2016</t>
  </si>
  <si>
    <t>Total Ingresos Tiendas 2016</t>
  </si>
  <si>
    <t>Gastos Tiendas 2016 (Sin Comisiones)</t>
  </si>
  <si>
    <t>Comisiones Tiendas</t>
  </si>
  <si>
    <t>Gastos Tiendas 2016</t>
  </si>
  <si>
    <t>GANANCIAS O PERDIDAS TIENDAS</t>
  </si>
  <si>
    <t>Comisiones Resto</t>
  </si>
  <si>
    <t>Intereses prestamo + Adeslas</t>
  </si>
  <si>
    <t>GANANCIAS O PERDIDAS TIENDAS TOTAL</t>
  </si>
  <si>
    <t>Ingresos y Gastos FFVV 2016</t>
  </si>
  <si>
    <t>Caja Fuerza de Ventas</t>
  </si>
  <si>
    <t>ACUERDO PLAN RETRIBUCION VARIABLE</t>
  </si>
  <si>
    <t>PLAN RETRIBUCION VARIABLE TRIMESTRAL</t>
  </si>
  <si>
    <t>Producción Plus 2016</t>
  </si>
  <si>
    <t>Producción Básico 2016</t>
  </si>
  <si>
    <t>Total Ingresos FFVV 2016</t>
  </si>
  <si>
    <t>Gastos FFVV 2016 (Sin Comisiones)</t>
  </si>
  <si>
    <t>Comisiones FFVV</t>
  </si>
  <si>
    <t xml:space="preserve">Gastos FFVV 2016 </t>
  </si>
  <si>
    <t>GANANCIAS O PERDIDAS FFVV</t>
  </si>
  <si>
    <t>GANANCIAS O PERDIDAS FFVV TOTAL</t>
  </si>
  <si>
    <t>Ganancias de Tiendas</t>
  </si>
  <si>
    <t>Ganancias de FFVV</t>
  </si>
  <si>
    <t>Ganancias o Perdidas TOTALES</t>
  </si>
  <si>
    <t>Total Ingresos 2016</t>
  </si>
  <si>
    <t>Total Gastos 2016</t>
  </si>
  <si>
    <t>Total 2016</t>
  </si>
  <si>
    <t>Total Ingresos 2015</t>
  </si>
  <si>
    <t>Total Gastos 2015</t>
  </si>
  <si>
    <t>Total 2015</t>
  </si>
  <si>
    <t>Total Ingresos 2014</t>
  </si>
  <si>
    <t>Total Gastos 2014</t>
  </si>
  <si>
    <t>Total 2014</t>
  </si>
  <si>
    <t>Ingresos acumulados</t>
  </si>
  <si>
    <t>NF Promociones I</t>
  </si>
  <si>
    <t>NF Promociones II</t>
  </si>
  <si>
    <t>Movistar Contrato</t>
  </si>
  <si>
    <t>Movistar Fidelización</t>
  </si>
  <si>
    <t>Movistar Fidelización P1</t>
  </si>
  <si>
    <t>Movistar Fidelización P2</t>
  </si>
  <si>
    <t>Movistar Fidelización P3</t>
  </si>
  <si>
    <t>Plan Retribución Variable Trimestral</t>
  </si>
  <si>
    <t>Promociones Movistar I</t>
  </si>
  <si>
    <t>Promociones Movistar II</t>
  </si>
  <si>
    <t>Promociones Movistar P1</t>
  </si>
  <si>
    <t>Promociones Movistar P2</t>
  </si>
  <si>
    <t>Servicios Especiales</t>
  </si>
  <si>
    <t>Gastos acumulados</t>
  </si>
  <si>
    <t>Préstamo padres</t>
  </si>
  <si>
    <t>Reclamaciones acumuladas</t>
  </si>
  <si>
    <t>Posibles reclamaciones</t>
  </si>
  <si>
    <t>Actual</t>
  </si>
  <si>
    <t>Final de mes</t>
  </si>
  <si>
    <t>Ingresos esperados</t>
  </si>
  <si>
    <t>Caja Duero (Efectivo)</t>
  </si>
  <si>
    <t>Banco Popular (Efectivo)</t>
  </si>
  <si>
    <t>Telefónica Consumer Finance</t>
  </si>
  <si>
    <t>Tiendas Tarjeta (Banco Popular)</t>
  </si>
  <si>
    <t>Previsión Ingresos MoviStar</t>
  </si>
  <si>
    <t>Ingresos en Ventanilla</t>
  </si>
  <si>
    <t>Disponibilidad Cuenta de Credito</t>
  </si>
  <si>
    <t>Gastos esperados</t>
  </si>
  <si>
    <t>Vencimientos</t>
  </si>
  <si>
    <t>Nóminas</t>
  </si>
  <si>
    <t>Pagas Extra</t>
  </si>
  <si>
    <t>Seguridad Social</t>
  </si>
  <si>
    <t>Alquiler</t>
  </si>
  <si>
    <t>Otros gastos</t>
  </si>
  <si>
    <t>Impuestos Hacienda</t>
  </si>
  <si>
    <t>Tesorería Actual</t>
  </si>
  <si>
    <t>Estimación Tesorería</t>
  </si>
  <si>
    <t>Banco Popular</t>
  </si>
  <si>
    <t>Zeleris</t>
  </si>
  <si>
    <t>Total Pagado</t>
  </si>
  <si>
    <t>2016 JULIO Banco Popular</t>
  </si>
  <si>
    <t>Condiciones Zeleris</t>
  </si>
  <si>
    <t>2016 MARZO Banco Popular</t>
  </si>
  <si>
    <t>Condiciones 2015 Banco Popular</t>
  </si>
  <si>
    <t>Fecha</t>
  </si>
  <si>
    <t>Importe</t>
  </si>
  <si>
    <t>Fechas de Vencimiento</t>
  </si>
  <si>
    <t>19/01/2015 Caja Duero</t>
  </si>
  <si>
    <t>Sin Fecha</t>
  </si>
  <si>
    <t>19/02/2015 Caja Duero</t>
  </si>
  <si>
    <t>Tipo Vigente</t>
  </si>
  <si>
    <t>20 mar. 2015 Apertura de la nueva Línea de Credito al 0,75%</t>
  </si>
  <si>
    <t>Apertura</t>
  </si>
  <si>
    <t>0,10% Nominal</t>
  </si>
  <si>
    <t>Interés Anual</t>
  </si>
  <si>
    <t>Importe Anual</t>
  </si>
  <si>
    <t>TAE (APERTURA) Mensual</t>
  </si>
  <si>
    <t>SIN TAE</t>
  </si>
  <si>
    <t>20 mar. 2016 Apertura de la nueva Línea de Credito al 0,75%</t>
  </si>
  <si>
    <t>Interes Mensual  + TAE</t>
  </si>
  <si>
    <t>Interes Mensual TAE 0,77%</t>
  </si>
  <si>
    <t>20 jul. 2016  Ampliación Línea de Credito 250€</t>
  </si>
  <si>
    <t>Ejemplos</t>
  </si>
  <si>
    <t>Gastos Fijos</t>
  </si>
  <si>
    <t>TOTAL Mensual</t>
  </si>
  <si>
    <t>Mensual Total Comerc.( 7)</t>
  </si>
  <si>
    <t>Mensual Total Tiendas (11)</t>
  </si>
  <si>
    <t>MensualTotal MovilFree (1)</t>
  </si>
  <si>
    <t>Control</t>
  </si>
  <si>
    <t>A cada uno lo suyo (FFVV y Tiendas) Cristina y Aluis se divide entre todos y se multiplica por el total</t>
  </si>
  <si>
    <t>A cada uno se le imputa su gasto a ecepción de Estación (50% FFVV y 50% Tiendas)</t>
  </si>
  <si>
    <t xml:space="preserve">                            </t>
  </si>
  <si>
    <t>FFVV y Salva para tiendas</t>
  </si>
  <si>
    <t>A cada uno lo suyo (FFVV y Tiendas) Cristina Tiendas y Aluis FFVV</t>
  </si>
  <si>
    <t>Dividido entre todos los trabajadores a ecepción de Cristina y Aluis y multiplicado por cada uno</t>
  </si>
  <si>
    <t>A cada uno la suya</t>
  </si>
  <si>
    <t>Dietas Tiendas y Comerciales</t>
  </si>
  <si>
    <t>A ninguno (ponerlo en el Total Mensual)</t>
  </si>
  <si>
    <t>Intereses Prestamo Piso</t>
  </si>
  <si>
    <t>Mensual Total Comerc. (7)</t>
  </si>
  <si>
    <t>Tarjetas Vodafone</t>
  </si>
  <si>
    <t>Alquiler plaza Garage</t>
  </si>
  <si>
    <t>Salidas Angel Luis</t>
  </si>
  <si>
    <t>AÑO 2016</t>
  </si>
  <si>
    <t>MES</t>
  </si>
  <si>
    <t>IVA Móviles</t>
  </si>
  <si>
    <t>IVA a Clientes</t>
  </si>
  <si>
    <t>Total Mes</t>
  </si>
  <si>
    <t>Total Trimestre</t>
  </si>
  <si>
    <t>AÑO 2015</t>
  </si>
  <si>
    <t>FFVV ACUERDO PRV</t>
  </si>
  <si>
    <t>FFVV CALIDAD DE LA VENTA</t>
  </si>
  <si>
    <t>PDV CALIDAD DE LA VENTA</t>
  </si>
  <si>
    <t>PDV MOVISTAR CONTRATO</t>
  </si>
  <si>
    <t>Penalizaciones</t>
  </si>
  <si>
    <t>Tienda o Responsables</t>
  </si>
  <si>
    <t>Mes</t>
  </si>
  <si>
    <t>Motivo</t>
  </si>
  <si>
    <t>NIF Cliente</t>
  </si>
  <si>
    <t>Nombre del Cliente</t>
  </si>
  <si>
    <t>Importe Penalización</t>
  </si>
  <si>
    <t>Se puede reclamar</t>
  </si>
  <si>
    <t>Cobrado a los responsables</t>
  </si>
  <si>
    <t>Álvaro</t>
  </si>
  <si>
    <t>Cliente no ha pedido nada. Los Instaladores contactaron con la secretaria que no sabía nada, en lugar del interesado. En ODIN se había puesto bien el contacto del interesado</t>
  </si>
  <si>
    <t>B37220837</t>
  </si>
  <si>
    <t>Geshprocor</t>
  </si>
  <si>
    <t>Si</t>
  </si>
  <si>
    <t>Migra a fibra de Cloud. Cliente dice que no ha solicitado nada</t>
  </si>
  <si>
    <t>B37480449</t>
  </si>
  <si>
    <t>Kristal Cerrajeros</t>
  </si>
  <si>
    <t>si</t>
  </si>
  <si>
    <t>Luis</t>
  </si>
  <si>
    <t>Mala información comercial (Y03)</t>
  </si>
  <si>
    <t>50024366X</t>
  </si>
  <si>
    <t>Fernando Urbina Casillas</t>
  </si>
  <si>
    <t>cliente ilocalizable (N11)</t>
  </si>
  <si>
    <t>06522860Z</t>
  </si>
  <si>
    <t>Jose Manuel Martín</t>
  </si>
  <si>
    <t>Cliente ilocalizable</t>
  </si>
  <si>
    <t>07988998V</t>
  </si>
  <si>
    <t>Miguel Angel Sanchez Sanchez</t>
  </si>
  <si>
    <t>46703954Q</t>
  </si>
  <si>
    <t>Ana Yolanda Arias Carpintero</t>
  </si>
  <si>
    <t>LUis</t>
  </si>
  <si>
    <t>07925774C</t>
  </si>
  <si>
    <t>Concepción Lobato Vazquez</t>
  </si>
  <si>
    <t>07856971x</t>
  </si>
  <si>
    <t>SI</t>
  </si>
  <si>
    <t>Toñi</t>
  </si>
  <si>
    <t>Error de tramitacion en P/s N06</t>
  </si>
  <si>
    <t>29395418S</t>
  </si>
  <si>
    <t>junio</t>
  </si>
  <si>
    <t>Mala informacion comercial sobre características del p/s (N03)</t>
  </si>
  <si>
    <t>70960387M</t>
  </si>
  <si>
    <t>Andres</t>
  </si>
  <si>
    <t>7975995D</t>
  </si>
  <si>
    <t>El cliente le dijo al comercial que quería fusion plus TV y cuando llegaron los instaladores cambio de opinión y dijo que prefería de satélite</t>
  </si>
  <si>
    <t>Diego</t>
  </si>
  <si>
    <t>julio</t>
  </si>
  <si>
    <t>A37047354</t>
  </si>
  <si>
    <t>Marta</t>
  </si>
  <si>
    <t>Error de tramitación en el domicilio de instalación</t>
  </si>
  <si>
    <t>X2259452R</t>
  </si>
  <si>
    <t>la dirección en todo momento ha sido la correcta se puede comprobar en el pedido instalado.</t>
  </si>
  <si>
    <t>carmen</t>
  </si>
  <si>
    <t>Mala info comercial sobre características del P/S</t>
  </si>
  <si>
    <t>07789711W</t>
  </si>
  <si>
    <t>Fue tema de instalación ya que no habia en el momento que la quería y cuando fueron a instalarasela ya no le interesaba para nada fue una mala información comercial (se puede llamar a la señora). El contrato está firmado</t>
  </si>
  <si>
    <t>Error de tramitación por error en aplicación del procedimiento</t>
  </si>
  <si>
    <t>B37299054</t>
  </si>
  <si>
    <t>PROARCI</t>
  </si>
  <si>
    <t>Q3768438H</t>
  </si>
  <si>
    <t>IES GUIJUELO</t>
  </si>
  <si>
    <t>Error de tramitación en P/S</t>
  </si>
  <si>
    <t>B37278454</t>
  </si>
  <si>
    <t>SERSA VETERUNARIOS</t>
  </si>
  <si>
    <t>se mando por 2ª vez el 18/02 lo que ocurre que después se hizo un cambio de titular</t>
  </si>
  <si>
    <t>71418351Q</t>
  </si>
  <si>
    <t>VALIJA</t>
  </si>
  <si>
    <t>Se envió con firma el día 10/02</t>
  </si>
  <si>
    <t>18829866l</t>
  </si>
  <si>
    <t>28311345R</t>
  </si>
  <si>
    <t>cristina tienda</t>
  </si>
  <si>
    <t>Enviado con firma el día 08/03</t>
  </si>
  <si>
    <t>07874670E</t>
  </si>
  <si>
    <t>07959251D</t>
  </si>
  <si>
    <t>Enviado 08/03 y enviado por segunda vez el 17/05 con firma</t>
  </si>
  <si>
    <t>28532798X</t>
  </si>
  <si>
    <t>Cristina Telemarketing</t>
  </si>
  <si>
    <t>Envidao con firma 08/03</t>
  </si>
  <si>
    <t>07725663D</t>
  </si>
  <si>
    <t>Enviado con firma 08/04</t>
  </si>
  <si>
    <t>70957337z</t>
  </si>
  <si>
    <t>Enviado por 3º vez y con firma 17/06</t>
  </si>
  <si>
    <t>70930526K</t>
  </si>
  <si>
    <t>Enviado con firma el día 13/05</t>
  </si>
  <si>
    <t>G47751938</t>
  </si>
  <si>
    <t>Maria</t>
  </si>
  <si>
    <t>07783311l</t>
  </si>
  <si>
    <t>PENALIZADO POR FIRMA PERO SE ENVIO CON FIRMA</t>
  </si>
  <si>
    <t>07992116F</t>
  </si>
  <si>
    <t>RECLAMAR</t>
  </si>
  <si>
    <t>07956327Y</t>
  </si>
  <si>
    <t>VALIJA ENVIADO</t>
  </si>
  <si>
    <t>MARTA</t>
  </si>
  <si>
    <t>06995546G</t>
  </si>
  <si>
    <t>VALIJA SE ANULÓ EL ALTA</t>
  </si>
  <si>
    <t>CARmen</t>
  </si>
  <si>
    <t>07784213R</t>
  </si>
  <si>
    <t>VALIJA ENVIADO CON FIRMA</t>
  </si>
  <si>
    <t>07959335R</t>
  </si>
  <si>
    <t>70902316D</t>
  </si>
  <si>
    <t xml:space="preserve">VALIJA ENVIADO </t>
  </si>
  <si>
    <t>07857578L</t>
  </si>
  <si>
    <t>Cliente no ha pedido nada (N02)</t>
  </si>
  <si>
    <t>45002209H</t>
  </si>
  <si>
    <t>Juan Borrego Pousa</t>
  </si>
  <si>
    <t>Se esta intentando</t>
  </si>
  <si>
    <t xml:space="preserve">TOÑI
</t>
  </si>
  <si>
    <t>45036736E</t>
  </si>
  <si>
    <t>VAlija  no enviado contrato</t>
  </si>
  <si>
    <t xml:space="preserve">NO
</t>
  </si>
  <si>
    <t>Porta carteles A4 sin carteles</t>
  </si>
  <si>
    <t>NO</t>
  </si>
  <si>
    <t>Pedido duplicado  (N09)</t>
  </si>
  <si>
    <t>27992197R</t>
  </si>
  <si>
    <t>Herminia Garcia Fernandez</t>
  </si>
  <si>
    <t>Cartelería Tuenti</t>
  </si>
  <si>
    <t>No</t>
  </si>
  <si>
    <t>Mala Información Comercial. No quiere instalación, ni subida de precios</t>
  </si>
  <si>
    <t>B37400033</t>
  </si>
  <si>
    <t>Autoservicios Celmar</t>
  </si>
  <si>
    <t>Alvaro</t>
  </si>
  <si>
    <t>B37289360</t>
  </si>
  <si>
    <t>Camporsi</t>
  </si>
  <si>
    <t>clienta no ha pedidio nada N02</t>
  </si>
  <si>
    <t>Mala Información Comercial. (n03)</t>
  </si>
  <si>
    <t>45019672R</t>
  </si>
  <si>
    <t>Josefa Herrero Bravo</t>
  </si>
  <si>
    <t>Penalización calcing (N02)</t>
  </si>
  <si>
    <t>07579231H</t>
  </si>
  <si>
    <t>Juan Garcia Santos</t>
  </si>
  <si>
    <t>08546304X</t>
  </si>
  <si>
    <t>Antonio Nuñez Reyes</t>
  </si>
  <si>
    <t>Pedido duplicado: Se instala el 1º y se anula el 2º</t>
  </si>
  <si>
    <t>B37424850</t>
  </si>
  <si>
    <t>AMTELTILS</t>
  </si>
  <si>
    <t>no</t>
  </si>
  <si>
    <t>mayo</t>
  </si>
  <si>
    <t>error de tramitacion en el domicilio de instalación (Y07)</t>
  </si>
  <si>
    <t>07820312J</t>
  </si>
  <si>
    <t>Higinio</t>
  </si>
  <si>
    <t>70908370Z</t>
  </si>
  <si>
    <t>Cliente no ha pedidio nada N02</t>
  </si>
  <si>
    <t>7892038W</t>
  </si>
  <si>
    <t>toni</t>
  </si>
  <si>
    <t>06517374W</t>
  </si>
  <si>
    <t xml:space="preserve">no tenemos documentacion </t>
  </si>
  <si>
    <t xml:space="preserve">estacion </t>
  </si>
  <si>
    <t>septiembre</t>
  </si>
  <si>
    <t xml:space="preserve">por teminal perdido </t>
  </si>
  <si>
    <t>j5 (356258079172809)</t>
  </si>
  <si>
    <t>peñaranda</t>
  </si>
  <si>
    <t>huawei Y5 (869622027924266)</t>
  </si>
  <si>
    <t>B37323789</t>
  </si>
  <si>
    <t>MEVA Y LLORENTE</t>
  </si>
  <si>
    <t>LUIS</t>
  </si>
  <si>
    <t>IMPORTE USO INDEBIDO/FRAUDE ALTA</t>
  </si>
  <si>
    <t>EN MOVISTAR CONTATO</t>
  </si>
  <si>
    <t>TOÑI</t>
  </si>
  <si>
    <t>JOAQUINA  (CLIENTE NO APARECE)</t>
  </si>
  <si>
    <t>07859072H</t>
  </si>
  <si>
    <t>27841223E</t>
  </si>
  <si>
    <t>VALIJA LO ANULO EL CLIENTE</t>
  </si>
  <si>
    <t>09700805A</t>
  </si>
  <si>
    <t>Maria Teresa Garcia Vela</t>
  </si>
  <si>
    <t>0007856971X</t>
  </si>
  <si>
    <t>se le instaló con el mismo número de contacto</t>
  </si>
  <si>
    <t>0071060213B</t>
  </si>
  <si>
    <t>cliente se cambió de domicilio</t>
  </si>
  <si>
    <t>00A37047354</t>
  </si>
  <si>
    <t>Cartonajes Fervi(Cloud)</t>
  </si>
  <si>
    <t>pasado correo a Juan antonio y Angel Luis</t>
  </si>
  <si>
    <t>DEDUCCION POR PERDIDA</t>
  </si>
  <si>
    <t xml:space="preserve">606230569 no enviado </t>
  </si>
  <si>
    <t>629774261 enviado ok</t>
  </si>
  <si>
    <t>618165920 se anuló</t>
  </si>
  <si>
    <t>CARMEN</t>
  </si>
  <si>
    <t>DEDUCCION POR INCIDENCIA</t>
  </si>
  <si>
    <t>608207658 enviado ok</t>
  </si>
  <si>
    <t>606108174 baja el mismo día</t>
  </si>
  <si>
    <t>646695040 enviado ok</t>
  </si>
  <si>
    <t>620013874 enviado ok</t>
  </si>
  <si>
    <t>646252377 Se anuló</t>
  </si>
  <si>
    <t>Carmen</t>
  </si>
  <si>
    <t>0007789711W</t>
  </si>
  <si>
    <t>Pidió ADSL y no habia pares pq es una urbanización y( tardaron mucho en llamarle de nuevo) le llamaron a finales de julio y la cliente ya no lo quería pq solo está ahí en verano. Estan firmados todos los contratos.</t>
  </si>
  <si>
    <t>00X2259452R</t>
  </si>
  <si>
    <t>00B37299054</t>
  </si>
  <si>
    <t>Proarci (cloud)</t>
  </si>
  <si>
    <t>00Q3768438H</t>
  </si>
  <si>
    <t>IES Guijuelo (Cloud)</t>
  </si>
  <si>
    <t>00B37323789</t>
  </si>
  <si>
    <t>00B37278454</t>
  </si>
  <si>
    <t>Sersa Veterinarios (Cloud)</t>
  </si>
  <si>
    <t>ffvv</t>
  </si>
  <si>
    <t>00Y0687170J</t>
  </si>
  <si>
    <t>Phone Factory</t>
  </si>
  <si>
    <t>Cristina HS</t>
  </si>
  <si>
    <t>0052413720D</t>
  </si>
  <si>
    <t>Carlos</t>
  </si>
  <si>
    <t>0070880993F</t>
  </si>
  <si>
    <t>SE pide primero con el telefono de contacto que nos da el cliente se vuelve a tramitar con otro telefono que nos da el cliente y se instala.</t>
  </si>
  <si>
    <t>0007801911N</t>
  </si>
  <si>
    <t>Esta reformulado por caol pq se tramito como fibra y como no se podia instalar lo pasaron a cobre</t>
  </si>
  <si>
    <t>00B37454824</t>
  </si>
  <si>
    <t>Se tramito dos veces y no se instaló porque el vecino no le dejo atravesar su nave</t>
  </si>
  <si>
    <t>luis</t>
  </si>
  <si>
    <t>0046324728Z</t>
  </si>
  <si>
    <t>El cliente no nos informó que quería la TV por parabolica y se tramito normal al llegar el instalador la rechazo porque quería parabolica</t>
  </si>
  <si>
    <t>00F10027803</t>
  </si>
  <si>
    <t>GARSAN SAT</t>
  </si>
  <si>
    <t>00B37258233</t>
  </si>
  <si>
    <t>kilovatio salamanca (cloud)</t>
  </si>
  <si>
    <t>NO SE DE QUIEN ES</t>
  </si>
  <si>
    <t>REGULARIZACION DOCUMENTACION</t>
  </si>
  <si>
    <t>07845524V</t>
  </si>
  <si>
    <t>Andres FFVV</t>
  </si>
  <si>
    <t>07865069N</t>
  </si>
  <si>
    <t>04122192V</t>
  </si>
  <si>
    <t>Graci</t>
  </si>
  <si>
    <t>07822201Q</t>
  </si>
  <si>
    <t>70862012R</t>
  </si>
  <si>
    <t>70898366S</t>
  </si>
  <si>
    <t>07814525E</t>
  </si>
  <si>
    <t>608643931 penalizado ok</t>
  </si>
  <si>
    <t>maria jose</t>
  </si>
  <si>
    <t>70861766P</t>
  </si>
  <si>
    <t>648184630 reclamar esta ok en control documental</t>
  </si>
  <si>
    <t>07892038W</t>
  </si>
  <si>
    <t>690679615 penalizado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</si>
</sst>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"/>
    <numFmt numFmtId="165" formatCode="#,##0.000"/>
    <numFmt numFmtId="166" formatCode="#,##0.00&quot;€&quot;"/>
    <numFmt numFmtId="167" formatCode="d-mmm"/>
    <numFmt numFmtId="168" formatCode="#,##0.00\ [$€-1]"/>
    <numFmt numFmtId="169" formatCode="#,##0.00\ &quot;€&quot;"/>
    <numFmt numFmtId="170" formatCode="_-* #,##0.00\ &quot;€&quot;_-;\-* #,##0.00\ &quot;€&quot;_-;_-* &quot;-&quot;??\ &quot;€&quot;_-;_-@"/>
    <numFmt numFmtId="171" formatCode="&quot; &quot;mmm&quot; &quot;yyyy"/>
    <numFmt numFmtId="172" formatCode="d&quot; &quot;mmm&quot; &quot;yyyy"/>
    <numFmt numFmtId="173" formatCode="_-* #,##0.0\ &quot;€&quot;_-;\-* #,##0.0\ &quot;€&quot;_-;_-* &quot;-&quot;??\ &quot;€&quot;_-;_-@"/>
    <numFmt numFmtId="174" formatCode="0.0000"/>
    <numFmt numFmtId="175" formatCode="#,##0&quot;€&quot;"/>
    <numFmt numFmtId="176" formatCode="#,##0\ [$€-1]"/>
    <numFmt numFmtId="177" formatCode="d/MM/yyyy"/>
    <numFmt numFmtId="178" formatCode="dd/mm/yyyy"/>
    <numFmt numFmtId="179" formatCode="d/m/yyyy"/>
  </numFmts>
  <fonts count="87">
    <font>
      <sz val="10.0"/>
      <color rgb="FF000000"/>
      <name val="Arial"/>
    </font>
    <font>
      <b/>
      <sz val="7.0"/>
      <color rgb="FFFFFFFF"/>
      <name val="Arial"/>
    </font>
    <font>
      <b/>
      <sz val="7.0"/>
      <name val="Arial"/>
    </font>
    <font>
      <sz val="7.0"/>
      <name val="Arial"/>
    </font>
    <font>
      <sz val="7.0"/>
      <color rgb="FF000000"/>
      <name val="Arial"/>
    </font>
    <font>
      <sz val="7.0"/>
      <color rgb="FFFFFFFF"/>
      <name val="Arial"/>
    </font>
    <font>
      <b/>
      <sz val="7.0"/>
      <color rgb="FF000000"/>
      <name val="Arial"/>
    </font>
    <font>
      <u/>
      <sz val="9.0"/>
      <color rgb="FFFFFFFF"/>
    </font>
    <font>
      <b/>
      <sz val="9.0"/>
    </font>
    <font>
      <sz val="9.0"/>
    </font>
    <font>
      <b/>
      <sz val="9.0"/>
      <color rgb="FFFFFFFF"/>
    </font>
    <font>
      <b/>
      <sz val="9.0"/>
      <color rgb="FF000000"/>
      <name val="Calibri"/>
    </font>
    <font>
      <b/>
      <sz val="8.0"/>
      <color rgb="FF000000"/>
      <name val="Calibri"/>
    </font>
    <font>
      <b/>
      <sz val="8.0"/>
    </font>
    <font>
      <b/>
      <sz val="8.0"/>
      <color rgb="FFFFFFFF"/>
    </font>
    <font>
      <sz val="9.0"/>
      <color rgb="FF000000"/>
      <name val="Calibri"/>
    </font>
    <font>
      <b/>
      <sz val="8.0"/>
      <name val="Calibri"/>
    </font>
    <font>
      <b/>
      <sz val="9.0"/>
      <name val="Calibri"/>
    </font>
    <font>
      <sz val="8.0"/>
    </font>
    <font>
      <sz val="8.0"/>
      <name val="Calibri"/>
    </font>
    <font>
      <sz val="9.0"/>
      <name val="Calibri"/>
    </font>
    <font>
      <sz val="8.0"/>
      <color rgb="FFFFFFFF"/>
      <name val="Calibri"/>
    </font>
    <font/>
    <font>
      <b/>
    </font>
    <font>
      <u/>
      <color rgb="FFFFFFFF"/>
      <name val="&quot;Times New Roman&quot;"/>
    </font>
    <font>
      <sz val="8.0"/>
      <color rgb="FFFFFFFF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name val="Arial"/>
    </font>
    <font>
      <b/>
      <sz val="12.0"/>
      <color rgb="FF434343"/>
    </font>
    <font>
      <b/>
      <sz val="8.0"/>
      <color rgb="FF434343"/>
    </font>
    <font>
      <sz val="8.0"/>
      <color rgb="FFFFFFFF"/>
    </font>
    <font>
      <sz val="8.0"/>
      <color rgb="FF434343"/>
    </font>
    <font>
      <sz val="8.0"/>
      <color rgb="FF434343"/>
      <name val="Arial"/>
    </font>
    <font>
      <b/>
      <sz val="11.0"/>
      <color rgb="FFBF9000"/>
    </font>
    <font>
      <b/>
      <sz val="8.0"/>
      <color rgb="FFBF9000"/>
    </font>
    <font>
      <sz val="8.0"/>
      <color rgb="FFBF9000"/>
    </font>
    <font>
      <b/>
      <sz val="8.0"/>
      <color rgb="FFBF9000"/>
      <name val="Arial"/>
    </font>
    <font>
      <sz val="8.0"/>
      <color rgb="FFBF9000"/>
      <name val="Arial"/>
    </font>
    <font>
      <b/>
      <sz val="18.0"/>
      <color rgb="FF434343"/>
    </font>
    <font>
      <b/>
      <sz val="10.0"/>
      <color rgb="FF434343"/>
    </font>
    <font>
      <sz val="8.0"/>
      <color rgb="FF4C1130"/>
    </font>
    <font>
      <b/>
      <sz val="9.0"/>
      <color rgb="FF434343"/>
    </font>
    <font>
      <b/>
      <sz val="8.0"/>
      <color rgb="FFFFFFFF"/>
      <name val="Arial"/>
    </font>
    <font>
      <b/>
      <sz val="10.0"/>
      <color rgb="FFFFFFFF"/>
      <name val="Arial"/>
    </font>
    <font>
      <b/>
      <sz val="8.0"/>
      <name val="Arial"/>
    </font>
    <font>
      <sz val="10.0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10.0"/>
      <name val="Arial"/>
    </font>
    <font>
      <sz val="9.0"/>
      <name val="Arial"/>
    </font>
    <font>
      <b/>
      <sz val="10.0"/>
      <color rgb="FF000000"/>
      <name val="Arial"/>
    </font>
    <font>
      <sz val="10.0"/>
      <color rgb="FFFFFFFF"/>
      <name val="Arial"/>
    </font>
    <font>
      <sz val="9.0"/>
      <color rgb="FFFFFFFF"/>
      <name val="Arial"/>
    </font>
    <font>
      <b/>
      <sz val="9.0"/>
      <name val="Arial"/>
    </font>
    <font>
      <sz val="9.0"/>
      <color rgb="FF434343"/>
      <name val="Arial"/>
    </font>
    <font>
      <b/>
      <sz val="9.0"/>
      <color rgb="FF434343"/>
      <name val="Arial"/>
    </font>
    <font>
      <b/>
      <sz val="12.0"/>
      <color rgb="FFFFFFFF"/>
      <name val="Arial"/>
    </font>
    <font>
      <sz val="9.0"/>
      <color rgb="FF0000FF"/>
      <name val="Arial"/>
    </font>
    <font>
      <sz val="9.0"/>
      <color rgb="FFFF0000"/>
      <name val="Arial"/>
    </font>
    <font>
      <b/>
      <sz val="10.0"/>
    </font>
    <font>
      <sz val="10.0"/>
    </font>
    <font>
      <b/>
      <i/>
      <sz val="9.0"/>
    </font>
    <font>
      <b/>
      <i/>
      <sz val="10.0"/>
    </font>
    <font>
      <b/>
      <i/>
      <sz val="9.0"/>
      <name val="Arial"/>
    </font>
    <font>
      <b/>
      <i/>
      <sz val="10.0"/>
      <name val="Arial"/>
    </font>
    <font>
      <sz val="10.0"/>
      <color rgb="FF000000"/>
      <name val="Calibri"/>
    </font>
    <font>
      <b/>
      <sz val="10.0"/>
      <color rgb="FFFFFFFF"/>
      <name val="Calibri"/>
    </font>
    <font>
      <sz val="10.0"/>
      <color rgb="FF7F6000"/>
      <name val="Calibri"/>
    </font>
    <font>
      <b/>
      <sz val="10.0"/>
      <color rgb="FF000000"/>
      <name val="Calibri"/>
    </font>
    <font>
      <sz val="9.0"/>
      <color rgb="FF988F86"/>
      <name val="Arial"/>
    </font>
    <font>
      <b/>
      <sz val="10.0"/>
      <color rgb="FFE10E49"/>
      <name val="Arial"/>
    </font>
    <font>
      <name val="Calibri"/>
    </font>
    <font>
      <b/>
      <sz val="9.0"/>
      <color rgb="FFFF0000"/>
      <name val="Calibri"/>
    </font>
    <font>
      <sz val="8.0"/>
      <color rgb="FFDD0806"/>
      <name val="Arial"/>
    </font>
    <font>
      <b/>
      <name val="Calibri"/>
    </font>
    <font>
      <sz val="9.0"/>
      <color rgb="FFF3F3F3"/>
      <name val="Verdana"/>
    </font>
    <font>
      <b/>
      <sz val="9.0"/>
      <color rgb="FFF3F3F3"/>
      <name val="Verdana"/>
    </font>
    <font>
      <sz val="8.0"/>
      <color rgb="FFFFFFFF"/>
      <name val="Verdana"/>
    </font>
    <font>
      <sz val="10.0"/>
      <color rgb="FFFFFFFF"/>
      <name val="Verdana"/>
    </font>
    <font>
      <color rgb="FFD0E0E3"/>
      <name val="Verdana"/>
    </font>
    <font>
      <sz val="9.0"/>
      <name val="Verdana"/>
    </font>
    <font>
      <b/>
      <color rgb="FFFFFFFF"/>
      <name val="Arial"/>
    </font>
    <font>
      <sz val="11.0"/>
      <color rgb="FF000000"/>
      <name val="Calibri"/>
    </font>
    <font>
      <i/>
      <sz val="9.0"/>
      <color rgb="FF000000"/>
      <name val="Verdana"/>
    </font>
    <font>
      <i/>
      <sz val="9.0"/>
      <name val="Verdana"/>
    </font>
    <font>
      <i/>
      <sz val="9.0"/>
      <color rgb="FFF3F3F3"/>
      <name val="Verdana"/>
    </font>
  </fonts>
  <fills count="6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3366FF"/>
        <bgColor rgb="FF3366FF"/>
      </patternFill>
    </fill>
    <fill>
      <patternFill patternType="solid">
        <fgColor rgb="FF90713A"/>
        <bgColor rgb="FF90713A"/>
      </patternFill>
    </fill>
    <fill>
      <patternFill patternType="solid">
        <fgColor rgb="FFFF8080"/>
        <bgColor rgb="FFFF808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4CCCC"/>
        <bgColor rgb="FFF4CCCC"/>
      </patternFill>
    </fill>
    <fill>
      <patternFill patternType="solid">
        <fgColor rgb="FF9900FF"/>
        <bgColor rgb="FF9900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99CC00"/>
        <bgColor rgb="FF99CC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31869B"/>
        <bgColor rgb="FF31869B"/>
      </patternFill>
    </fill>
    <fill>
      <patternFill patternType="solid">
        <fgColor rgb="FFC5D9F1"/>
        <bgColor rgb="FFC5D9F1"/>
      </patternFill>
    </fill>
    <fill>
      <patternFill patternType="solid">
        <fgColor rgb="FFEBF1DE"/>
        <bgColor rgb="FFEBF1DE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38761D"/>
        <bgColor rgb="FF38761D"/>
      </patternFill>
    </fill>
    <fill>
      <patternFill patternType="solid">
        <fgColor rgb="FF134F5C"/>
        <bgColor rgb="FF134F5C"/>
      </patternFill>
    </fill>
    <fill>
      <patternFill patternType="solid">
        <fgColor rgb="FF1155CC"/>
        <bgColor rgb="FF1155CC"/>
      </patternFill>
    </fill>
    <fill>
      <patternFill patternType="solid">
        <fgColor rgb="FF0B5394"/>
        <bgColor rgb="FF0B5394"/>
      </patternFill>
    </fill>
    <fill>
      <patternFill patternType="solid">
        <fgColor rgb="FF741B47"/>
        <bgColor rgb="FF741B47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  <fill>
      <patternFill patternType="solid">
        <fgColor rgb="FF3D85C6"/>
        <bgColor rgb="FF3D85C6"/>
      </patternFill>
    </fill>
    <fill>
      <patternFill patternType="solid">
        <fgColor rgb="FFA64D79"/>
        <bgColor rgb="FFA64D79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783F04"/>
        <bgColor rgb="FF783F04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EFEFEF"/>
        <bgColor rgb="FFEFEFEF"/>
      </patternFill>
    </fill>
    <fill>
      <patternFill patternType="solid">
        <fgColor rgb="FF0C343D"/>
        <bgColor rgb="FF0C343D"/>
      </patternFill>
    </fill>
    <fill>
      <patternFill patternType="solid">
        <fgColor rgb="FFE06666"/>
        <bgColor rgb="FFE06666"/>
      </patternFill>
    </fill>
  </fills>
  <borders count="66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thin">
        <color rgb="FFB7B7B7"/>
      </right>
    </border>
    <border>
      <right style="thin">
        <color rgb="FFF1C232"/>
      </right>
    </border>
    <border>
      <bottom style="dotted">
        <color rgb="FFB7B7B7"/>
      </bottom>
    </border>
    <border>
      <top style="thin">
        <color rgb="FFB7B7B7"/>
      </top>
      <bottom style="dotted">
        <color rgb="FFB7B7B7"/>
      </bottom>
    </border>
    <border>
      <right style="thin">
        <color rgb="FFB7B7B7"/>
      </right>
      <top style="thin">
        <color rgb="FFB7B7B7"/>
      </top>
      <bottom style="dotted">
        <color rgb="FFB7B7B7"/>
      </bottom>
    </border>
    <border>
      <bottom style="thin">
        <color rgb="FFB7B7B7"/>
      </bottom>
    </border>
    <border>
      <right style="medium">
        <color rgb="FFFFD966"/>
      </right>
    </border>
    <border>
      <top style="thin">
        <color rgb="FF6FA8DC"/>
      </top>
    </border>
    <border>
      <right style="medium">
        <color rgb="FFFFD966"/>
      </right>
      <top style="thin">
        <color rgb="FF6FA8DC"/>
      </top>
    </border>
    <border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>
        <color rgb="FFFFD966"/>
      </left>
      <right style="medium">
        <color rgb="FFFFD966"/>
      </right>
      <top style="thin">
        <color rgb="FFFFD966"/>
      </top>
      <bottom style="thin">
        <color rgb="FFFFD966"/>
      </bottom>
    </border>
    <border>
      <bottom style="medium">
        <color rgb="FFFFD966"/>
      </bottom>
    </border>
    <border>
      <right style="medium">
        <color rgb="FFFFD966"/>
      </right>
      <bottom style="medium">
        <color rgb="FFFFD966"/>
      </bottom>
    </border>
    <border>
      <right style="thin">
        <color rgb="FFFFD966"/>
      </right>
      <top style="thin">
        <color rgb="FFFFD966"/>
      </top>
      <bottom style="medium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medium">
        <color rgb="FFFFD966"/>
      </bottom>
    </border>
    <border>
      <left style="thin">
        <color rgb="FFFFD966"/>
      </left>
      <right style="medium">
        <color rgb="FFFFD966"/>
      </right>
      <top style="thin">
        <color rgb="FFFFD966"/>
      </top>
      <bottom style="medium">
        <color rgb="FFFFD966"/>
      </bottom>
    </border>
    <border>
      <right style="double">
        <color rgb="FFFFD966"/>
      </right>
    </border>
    <border>
      <right style="thin">
        <color rgb="FFFFD966"/>
      </right>
    </border>
    <border>
      <right style="medium">
        <color rgb="FFFFD966"/>
      </right>
      <top style="double">
        <color rgb="FFFFD966"/>
      </top>
      <bottom style="medium">
        <color rgb="FFFFD966"/>
      </bottom>
    </border>
    <border>
      <right style="double">
        <color rgb="FFFFD966"/>
      </right>
      <top style="double">
        <color rgb="FFFFD966"/>
      </top>
      <bottom style="medium">
        <color rgb="FFFFD966"/>
      </bottom>
    </border>
    <border>
      <right style="thin">
        <color rgb="FFFFD966"/>
      </right>
      <top style="double">
        <color rgb="FFFFD966"/>
      </top>
      <bottom style="medium">
        <color rgb="FFFFD966"/>
      </bottom>
    </border>
    <border>
      <right style="medium">
        <color rgb="FFFFD966"/>
      </right>
      <bottom style="double">
        <color rgb="FFFFD966"/>
      </bottom>
    </border>
    <border>
      <right style="double">
        <color rgb="FFFFD966"/>
      </right>
      <bottom style="double">
        <color rgb="FFFFD966"/>
      </bottom>
    </border>
    <border>
      <right style="thin">
        <color rgb="FFFFD966"/>
      </right>
      <bottom style="double">
        <color rgb="FFFFD966"/>
      </bottom>
    </border>
    <border>
      <right style="double">
        <color rgb="FFFFD966"/>
      </right>
      <bottom style="medium">
        <color rgb="FFFFD966"/>
      </bottom>
    </border>
    <border>
      <right style="thin">
        <color rgb="FFFFD966"/>
      </right>
      <bottom style="medium">
        <color rgb="FFFFD966"/>
      </bottom>
    </border>
    <border>
      <right style="thin">
        <color rgb="FFD9D9D9"/>
      </right>
    </border>
    <border>
      <right style="thin">
        <color rgb="FFD9D9D9"/>
      </right>
      <bottom style="thin">
        <color rgb="FFB7B7B7"/>
      </bottom>
    </border>
    <border>
      <right style="thin">
        <color rgb="FFB7B7B7"/>
      </right>
      <bottom style="dotted">
        <color rgb="FFB7B7B7"/>
      </bottom>
    </border>
    <border>
      <right style="thin">
        <color rgb="FFD9D9D9"/>
      </right>
      <top style="thin">
        <color rgb="FFB7B7B7"/>
      </top>
      <bottom style="dotted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3F3F3"/>
      </left>
      <right style="thin">
        <color rgb="FFF3F3F3"/>
      </right>
    </border>
    <border>
      <left style="thin">
        <color rgb="FFF3F3F3"/>
      </left>
    </border>
    <border>
      <right style="thin">
        <color rgb="FFF3F3F3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D0E0E3"/>
      </left>
      <right style="hair">
        <color rgb="FFD0E0E3"/>
      </right>
      <top style="hair">
        <color rgb="FFD0E0E3"/>
      </top>
      <bottom style="hair">
        <color rgb="FFD0E0E3"/>
      </bottom>
    </border>
  </borders>
  <cellStyleXfs count="1">
    <xf borderId="0" fillId="0" fontId="0" numFmtId="0" applyAlignment="1" applyFont="1"/>
  </cellStyleXfs>
  <cellXfs count="6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ont="1">
      <alignment horizontal="center" shrinkToFit="0" vertical="center" wrapText="0"/>
    </xf>
    <xf borderId="0" fillId="8" fontId="3" numFmtId="4" xfId="0" applyAlignment="1" applyFill="1" applyFont="1" applyNumberFormat="1">
      <alignment horizontal="center" readingOrder="0" shrinkToFit="0" vertical="center" wrapText="0"/>
    </xf>
    <xf borderId="0" fillId="9" fontId="3" numFmtId="4" xfId="0" applyAlignment="1" applyFill="1" applyFont="1" applyNumberFormat="1">
      <alignment horizontal="center" readingOrder="0" shrinkToFit="0" vertical="center" wrapText="0"/>
    </xf>
    <xf borderId="1" fillId="9" fontId="3" numFmtId="0" xfId="0" applyAlignment="1" applyBorder="1" applyFont="1">
      <alignment horizontal="left" shrinkToFit="0" vertical="center" wrapText="0"/>
    </xf>
    <xf borderId="1" fillId="4" fontId="2" numFmtId="4" xfId="0" applyAlignment="1" applyBorder="1" applyFont="1" applyNumberFormat="1">
      <alignment horizontal="center" shrinkToFit="0" vertical="center" wrapText="0"/>
    </xf>
    <xf borderId="1" fillId="10" fontId="3" numFmtId="4" xfId="0" applyAlignment="1" applyBorder="1" applyFill="1" applyFont="1" applyNumberFormat="1">
      <alignment horizontal="center" shrinkToFit="0" vertical="center" wrapText="0"/>
    </xf>
    <xf borderId="1" fillId="11" fontId="3" numFmtId="4" xfId="0" applyAlignment="1" applyBorder="1" applyFill="1" applyFont="1" applyNumberFormat="1">
      <alignment horizontal="center" shrinkToFit="0" vertical="center" wrapText="0"/>
    </xf>
    <xf borderId="1" fillId="12" fontId="3" numFmtId="4" xfId="0" applyAlignment="1" applyBorder="1" applyFill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readingOrder="0" shrinkToFit="0" vertical="center" wrapText="0"/>
    </xf>
    <xf borderId="1" fillId="4" fontId="3" numFmtId="4" xfId="0" applyAlignment="1" applyBorder="1" applyFont="1" applyNumberFormat="1">
      <alignment horizontal="center" shrinkToFit="0" vertical="center" wrapText="0"/>
    </xf>
    <xf borderId="0" fillId="13" fontId="3" numFmtId="4" xfId="0" applyAlignment="1" applyFill="1" applyFont="1" applyNumberFormat="1">
      <alignment horizontal="center" readingOrder="0" shrinkToFit="0" vertical="center" wrapText="0"/>
    </xf>
    <xf borderId="1" fillId="13" fontId="3" numFmtId="0" xfId="0" applyAlignment="1" applyBorder="1" applyFont="1">
      <alignment horizontal="left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4" xfId="0" applyAlignment="1" applyBorder="1" applyFont="1" applyNumberFormat="1">
      <alignment horizontal="center" shrinkToFit="0" vertical="center" wrapText="0"/>
    </xf>
    <xf borderId="2" fillId="0" fontId="3" numFmtId="4" xfId="0" applyAlignment="1" applyBorder="1" applyFont="1" applyNumberFormat="1">
      <alignment horizontal="center" shrinkToFit="0" vertical="center" wrapText="0"/>
    </xf>
    <xf borderId="2" fillId="4" fontId="3" numFmtId="4" xfId="0" applyAlignment="1" applyBorder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readingOrder="0" shrinkToFit="0" vertical="center" wrapText="0"/>
    </xf>
    <xf borderId="2" fillId="0" fontId="3" numFmtId="4" xfId="0" applyAlignment="1" applyBorder="1" applyFont="1" applyNumberFormat="1">
      <alignment horizontal="center" readingOrder="0" shrinkToFit="0" vertical="center" wrapText="0"/>
    </xf>
    <xf borderId="3" fillId="0" fontId="3" numFmtId="4" xfId="0" applyAlignment="1" applyBorder="1" applyFont="1" applyNumberFormat="1">
      <alignment horizontal="center" shrinkToFit="0" vertical="center" wrapText="0"/>
    </xf>
    <xf borderId="4" fillId="0" fontId="3" numFmtId="4" xfId="0" applyAlignment="1" applyBorder="1" applyFont="1" applyNumberFormat="1">
      <alignment horizontal="center" shrinkToFit="0" vertical="center" wrapText="0"/>
    </xf>
    <xf borderId="4" fillId="4" fontId="3" numFmtId="4" xfId="0" applyAlignment="1" applyBorder="1" applyFont="1" applyNumberFormat="1">
      <alignment horizontal="center" shrinkToFit="0" vertical="center" wrapText="0"/>
    </xf>
    <xf borderId="1" fillId="9" fontId="3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8" fontId="3" numFmtId="0" xfId="0" applyAlignment="1" applyFont="1">
      <alignment horizontal="center" readingOrder="0" shrinkToFit="0" vertical="center" wrapText="0"/>
    </xf>
    <xf borderId="0" fillId="8" fontId="3" numFmtId="2" xfId="0" applyAlignment="1" applyFont="1" applyNumberFormat="1">
      <alignment horizontal="center" readingOrder="0" shrinkToFit="0" vertical="center" wrapText="0"/>
    </xf>
    <xf borderId="0" fillId="9" fontId="3" numFmtId="2" xfId="0" applyAlignment="1" applyFont="1" applyNumberFormat="1">
      <alignment horizontal="center" readingOrder="0" shrinkToFit="0" vertical="center" wrapText="0"/>
    </xf>
    <xf borderId="0" fillId="4" fontId="3" numFmtId="4" xfId="0" applyAlignment="1" applyFont="1" applyNumberFormat="1">
      <alignment horizontal="center" readingOrder="0" shrinkToFit="0" vertical="center" wrapText="0"/>
    </xf>
    <xf borderId="1" fillId="4" fontId="3" numFmtId="0" xfId="0" applyAlignment="1" applyBorder="1" applyFont="1">
      <alignment horizontal="left" readingOrder="0" shrinkToFit="0" vertical="center" wrapText="0"/>
    </xf>
    <xf borderId="1" fillId="4" fontId="3" numFmtId="4" xfId="0" applyAlignment="1" applyBorder="1" applyFont="1" applyNumberFormat="1">
      <alignment horizontal="center" readingOrder="0" shrinkToFit="0" vertical="center" wrapText="0"/>
    </xf>
    <xf borderId="1" fillId="4" fontId="3" numFmtId="0" xfId="0" applyAlignment="1" applyBorder="1" applyFont="1">
      <alignment horizontal="left" shrinkToFit="0" vertical="center" wrapText="0"/>
    </xf>
    <xf borderId="1" fillId="2" fontId="1" numFmtId="4" xfId="0" applyAlignment="1" applyBorder="1" applyFont="1" applyNumberFormat="1">
      <alignment horizontal="center" readingOrder="0" shrinkToFit="0" vertical="center" wrapText="0"/>
    </xf>
    <xf borderId="1" fillId="3" fontId="1" numFmtId="4" xfId="0" applyAlignment="1" applyBorder="1" applyFont="1" applyNumberFormat="1">
      <alignment horizontal="center" shrinkToFit="0" vertical="center" wrapText="0"/>
    </xf>
    <xf borderId="1" fillId="14" fontId="1" numFmtId="0" xfId="0" applyAlignment="1" applyBorder="1" applyFill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8" fontId="4" numFmtId="4" xfId="0" applyAlignment="1" applyBorder="1" applyFont="1" applyNumberFormat="1">
      <alignment horizontal="center" readingOrder="0" shrinkToFit="0" vertical="center" wrapText="0"/>
    </xf>
    <xf borderId="1" fillId="8" fontId="3" numFmtId="4" xfId="0" applyAlignment="1" applyBorder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5" fillId="9" fontId="3" numFmtId="4" xfId="0" applyAlignment="1" applyBorder="1" applyFont="1" applyNumberFormat="1">
      <alignment horizontal="center" shrinkToFit="0" vertical="center" wrapText="0"/>
    </xf>
    <xf borderId="2" fillId="9" fontId="3" numFmtId="0" xfId="0" applyAlignment="1" applyBorder="1" applyFont="1">
      <alignment horizontal="left" shrinkToFit="0" vertical="center" wrapText="0"/>
    </xf>
    <xf borderId="2" fillId="4" fontId="2" numFmtId="4" xfId="0" applyAlignment="1" applyBorder="1" applyFont="1" applyNumberFormat="1">
      <alignment horizontal="center" shrinkToFit="0" vertical="center" wrapText="0"/>
    </xf>
    <xf borderId="2" fillId="10" fontId="3" numFmtId="4" xfId="0" applyAlignment="1" applyBorder="1" applyFont="1" applyNumberFormat="1">
      <alignment horizontal="center" shrinkToFit="0" vertical="center" wrapText="0"/>
    </xf>
    <xf borderId="2" fillId="11" fontId="3" numFmtId="4" xfId="0" applyAlignment="1" applyBorder="1" applyFont="1" applyNumberFormat="1">
      <alignment horizontal="center" shrinkToFit="0" vertical="center" wrapText="0"/>
    </xf>
    <xf borderId="2" fillId="12" fontId="3" numFmtId="4" xfId="0" applyAlignment="1" applyBorder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shrinkToFit="0" vertical="center" wrapText="0"/>
    </xf>
    <xf borderId="1" fillId="14" fontId="5" numFmtId="4" xfId="0" applyAlignment="1" applyBorder="1" applyFont="1" applyNumberFormat="1">
      <alignment horizontal="center" readingOrder="0" shrinkToFit="0" vertical="center" wrapText="0"/>
    </xf>
    <xf borderId="1" fillId="14" fontId="5" numFmtId="4" xfId="0" applyAlignment="1" applyBorder="1" applyFont="1" applyNumberFormat="1">
      <alignment horizontal="center" shrinkToFit="0" vertical="center" wrapText="0"/>
    </xf>
    <xf borderId="1" fillId="15" fontId="5" numFmtId="0" xfId="0" applyAlignment="1" applyBorder="1" applyFill="1" applyFont="1">
      <alignment horizontal="left" shrinkToFit="0" vertical="center" wrapText="0"/>
    </xf>
    <xf borderId="1" fillId="15" fontId="1" numFmtId="4" xfId="0" applyAlignment="1" applyBorder="1" applyFont="1" applyNumberFormat="1">
      <alignment horizontal="center" shrinkToFit="0" vertical="center" wrapText="0"/>
    </xf>
    <xf borderId="0" fillId="16" fontId="6" numFmtId="4" xfId="0" applyAlignment="1" applyFill="1" applyFont="1" applyNumberFormat="1">
      <alignment horizontal="center" shrinkToFit="0" vertical="center" wrapText="0"/>
    </xf>
    <xf borderId="0" fillId="16" fontId="6" numFmtId="4" xfId="0" applyAlignment="1" applyFont="1" applyNumberFormat="1">
      <alignment horizontal="center" readingOrder="0" shrinkToFit="0" vertical="center" wrapText="0"/>
    </xf>
    <xf borderId="1" fillId="16" fontId="5" numFmtId="0" xfId="0" applyAlignment="1" applyBorder="1" applyFont="1">
      <alignment horizontal="left" shrinkToFit="0" vertical="center" wrapText="0"/>
    </xf>
    <xf borderId="1" fillId="16" fontId="1" numFmtId="4" xfId="0" applyAlignment="1" applyBorder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left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4" xfId="0" applyAlignment="1" applyBorder="1" applyFont="1" applyNumberFormat="1">
      <alignment horizontal="center" readingOrder="0" shrinkToFit="0" vertical="center" wrapText="0"/>
    </xf>
    <xf borderId="0" fillId="13" fontId="3" numFmtId="0" xfId="0" applyAlignment="1" applyFont="1">
      <alignment horizontal="left" shrinkToFit="0" vertical="center" wrapText="0"/>
    </xf>
    <xf borderId="1" fillId="13" fontId="2" numFmtId="4" xfId="0" applyAlignment="1" applyBorder="1" applyFont="1" applyNumberFormat="1">
      <alignment horizontal="center" shrinkToFit="0" vertical="center" wrapText="0"/>
    </xf>
    <xf borderId="1" fillId="13" fontId="2" numFmtId="4" xfId="0" applyAlignment="1" applyBorder="1" applyFont="1" applyNumberFormat="1">
      <alignment horizontal="center" readingOrder="0" shrinkToFit="0" vertical="center" wrapText="0"/>
    </xf>
    <xf borderId="0" fillId="0" fontId="3" numFmtId="3" xfId="0" applyAlignment="1" applyFont="1" applyNumberFormat="1">
      <alignment horizontal="left" shrinkToFit="0" vertical="center" wrapText="0"/>
    </xf>
    <xf borderId="1" fillId="0" fontId="3" numFmtId="3" xfId="0" applyAlignment="1" applyBorder="1" applyFont="1" applyNumberFormat="1">
      <alignment horizontal="left" shrinkToFit="0" vertical="center" wrapText="0"/>
    </xf>
    <xf borderId="0" fillId="17" fontId="5" numFmtId="3" xfId="0" applyAlignment="1" applyFill="1" applyFont="1" applyNumberFormat="1">
      <alignment horizontal="left" shrinkToFit="0" vertical="center" wrapText="0"/>
    </xf>
    <xf borderId="1" fillId="17" fontId="5" numFmtId="3" xfId="0" applyAlignment="1" applyBorder="1" applyFont="1" applyNumberFormat="1">
      <alignment horizontal="left" shrinkToFit="0" vertical="center" wrapText="0"/>
    </xf>
    <xf borderId="1" fillId="17" fontId="1" numFmtId="4" xfId="0" applyAlignment="1" applyBorder="1" applyFont="1" applyNumberFormat="1">
      <alignment horizontal="center" shrinkToFit="0" vertical="center" wrapText="0"/>
    </xf>
    <xf borderId="0" fillId="18" fontId="7" numFmtId="0" xfId="0" applyAlignment="1" applyFill="1" applyFont="1">
      <alignment readingOrder="0"/>
    </xf>
    <xf borderId="0" fillId="19" fontId="8" numFmtId="0" xfId="0" applyAlignment="1" applyFill="1" applyFont="1">
      <alignment horizontal="center" readingOrder="0" vertical="center"/>
    </xf>
    <xf borderId="0" fillId="20" fontId="8" numFmtId="0" xfId="0" applyAlignment="1" applyFill="1" applyFont="1">
      <alignment horizontal="center" readingOrder="0" vertical="center"/>
    </xf>
    <xf borderId="0" fillId="21" fontId="9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18" fontId="10" numFmtId="0" xfId="0" applyAlignment="1" applyFont="1">
      <alignment horizontal="center" readingOrder="0" vertical="center"/>
    </xf>
    <xf borderId="0" fillId="19" fontId="11" numFmtId="0" xfId="0" applyAlignment="1" applyFont="1">
      <alignment horizontal="center" readingOrder="0" shrinkToFit="0" vertical="center" wrapText="0"/>
    </xf>
    <xf borderId="0" fillId="20" fontId="11" numFmtId="0" xfId="0" applyAlignment="1" applyFont="1">
      <alignment horizontal="center" readingOrder="0" shrinkToFit="0" vertical="center" wrapText="0"/>
    </xf>
    <xf borderId="0" fillId="21" fontId="11" numFmtId="0" xfId="0" applyAlignment="1" applyFont="1">
      <alignment horizontal="center" readingOrder="0" shrinkToFit="0" vertical="center" wrapText="0"/>
    </xf>
    <xf borderId="0" fillId="4" fontId="12" numFmtId="0" xfId="0" applyAlignment="1" applyFont="1">
      <alignment horizontal="center" readingOrder="0" shrinkToFit="0" vertical="center" wrapText="0"/>
    </xf>
    <xf borderId="0" fillId="4" fontId="13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18" fontId="14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center" wrapText="0"/>
    </xf>
    <xf borderId="0" fillId="9" fontId="11" numFmtId="0" xfId="0" applyAlignment="1" applyFont="1">
      <alignment horizontal="left" readingOrder="0" shrinkToFit="0" vertical="center" wrapText="0"/>
    </xf>
    <xf borderId="0" fillId="9" fontId="15" numFmtId="165" xfId="0" applyAlignment="1" applyFont="1" applyNumberFormat="1">
      <alignment horizontal="center" readingOrder="0" shrinkToFit="0" vertical="center" wrapText="0"/>
    </xf>
    <xf borderId="0" fillId="9" fontId="15" numFmtId="3" xfId="0" applyAlignment="1" applyFont="1" applyNumberFormat="1">
      <alignment horizontal="center" readingOrder="0" shrinkToFit="0" vertical="center" wrapText="0"/>
    </xf>
    <xf borderId="0" fillId="9" fontId="15" numFmtId="0" xfId="0" applyAlignment="1" applyFont="1">
      <alignment horizontal="center" readingOrder="0" shrinkToFit="0" vertical="center" wrapText="0"/>
    </xf>
    <xf borderId="0" fillId="9" fontId="15" numFmtId="2" xfId="0" applyAlignment="1" applyFont="1" applyNumberFormat="1">
      <alignment horizontal="center" readingOrder="0" shrinkToFit="0" vertical="center" wrapText="0"/>
    </xf>
    <xf borderId="0" fillId="9" fontId="9" numFmtId="0" xfId="0" applyAlignment="1" applyFont="1">
      <alignment horizontal="center" readingOrder="0" vertical="center"/>
    </xf>
    <xf borderId="0" fillId="9" fontId="9" numFmtId="0" xfId="0" applyAlignment="1" applyFont="1">
      <alignment horizontal="center" vertical="center"/>
    </xf>
    <xf borderId="0" fillId="22" fontId="11" numFmtId="0" xfId="0" applyAlignment="1" applyFill="1" applyFont="1">
      <alignment horizontal="left" readingOrder="0" shrinkToFit="0" vertical="center" wrapText="0"/>
    </xf>
    <xf borderId="0" fillId="22" fontId="15" numFmtId="2" xfId="0" applyAlignment="1" applyFont="1" applyNumberFormat="1">
      <alignment horizontal="center" shrinkToFit="0" vertical="center" wrapText="0"/>
    </xf>
    <xf borderId="0" fillId="22" fontId="15" numFmtId="166" xfId="0" applyAlignment="1" applyFont="1" applyNumberFormat="1">
      <alignment horizontal="center" readingOrder="0" shrinkToFit="0" vertical="center" wrapText="0"/>
    </xf>
    <xf borderId="0" fillId="22" fontId="15" numFmtId="0" xfId="0" applyAlignment="1" applyFont="1">
      <alignment horizontal="center" readingOrder="0" shrinkToFit="0" vertical="center" wrapText="0"/>
    </xf>
    <xf borderId="0" fillId="22" fontId="9" numFmtId="0" xfId="0" applyAlignment="1" applyFont="1">
      <alignment horizontal="center" vertical="center"/>
    </xf>
    <xf borderId="0" fillId="0" fontId="11" numFmtId="0" xfId="0" applyAlignment="1" applyFont="1">
      <alignment horizontal="left" shrinkToFit="0" vertical="center" wrapText="0"/>
    </xf>
    <xf borderId="0" fillId="9" fontId="15" numFmtId="4" xfId="0" applyAlignment="1" applyFont="1" applyNumberFormat="1">
      <alignment horizontal="center" readingOrder="0" shrinkToFit="0" vertical="center" wrapText="0"/>
    </xf>
    <xf borderId="0" fillId="9" fontId="15" numFmtId="0" xfId="0" applyAlignment="1" applyFont="1">
      <alignment horizontal="center" shrinkToFit="0" vertical="center" wrapText="0"/>
    </xf>
    <xf borderId="0" fillId="22" fontId="15" numFmtId="0" xfId="0" applyAlignment="1" applyFont="1">
      <alignment horizontal="center" shrinkToFit="0" vertical="center" wrapText="0"/>
    </xf>
    <xf borderId="0" fillId="9" fontId="15" numFmtId="164" xfId="0" applyAlignment="1" applyFont="1" applyNumberFormat="1">
      <alignment horizontal="center" readingOrder="0" shrinkToFit="0" vertical="center" wrapText="0"/>
    </xf>
    <xf borderId="0" fillId="18" fontId="10" numFmtId="0" xfId="0" applyAlignment="1" applyFont="1">
      <alignment horizontal="left" readingOrder="0" vertical="center"/>
    </xf>
    <xf borderId="0" fillId="18" fontId="10" numFmtId="0" xfId="0" applyAlignment="1" applyFont="1">
      <alignment horizontal="center" vertical="center"/>
    </xf>
    <xf borderId="0" fillId="18" fontId="10" numFmtId="3" xfId="0" applyAlignment="1" applyFont="1" applyNumberFormat="1">
      <alignment horizontal="center" vertical="center"/>
    </xf>
    <xf borderId="0" fillId="18" fontId="10" numFmtId="4" xfId="0" applyAlignment="1" applyFont="1" applyNumberFormat="1">
      <alignment horizontal="center" vertical="center"/>
    </xf>
    <xf borderId="0" fillId="18" fontId="10" numFmtId="2" xfId="0" applyAlignment="1" applyFont="1" applyNumberFormat="1">
      <alignment horizontal="center" vertical="center"/>
    </xf>
    <xf borderId="0" fillId="18" fontId="10" numFmtId="166" xfId="0" applyAlignment="1" applyFont="1" applyNumberFormat="1">
      <alignment horizontal="center" vertical="center"/>
    </xf>
    <xf borderId="0" fillId="0" fontId="16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vertical="center"/>
    </xf>
    <xf borderId="0" fillId="23" fontId="19" numFmtId="167" xfId="0" applyAlignment="1" applyFill="1" applyFont="1" applyNumberFormat="1">
      <alignment horizontal="left" readingOrder="0" vertical="center"/>
    </xf>
    <xf borderId="0" fillId="23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center"/>
    </xf>
    <xf borderId="0" fillId="24" fontId="21" numFmtId="167" xfId="0" applyAlignment="1" applyFill="1" applyFont="1" applyNumberFormat="1">
      <alignment horizontal="left" readingOrder="0" vertical="center"/>
    </xf>
    <xf borderId="0" fillId="24" fontId="21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0" fontId="20" numFmtId="0" xfId="0" applyAlignment="1" applyFont="1">
      <alignment readingOrder="0" vertical="center"/>
    </xf>
    <xf borderId="0" fillId="25" fontId="19" numFmtId="167" xfId="0" applyAlignment="1" applyFill="1" applyFont="1" applyNumberFormat="1">
      <alignment horizontal="left" readingOrder="0" vertical="center"/>
    </xf>
    <xf borderId="0" fillId="25" fontId="19" numFmtId="0" xfId="0" applyAlignment="1" applyFont="1">
      <alignment horizontal="center" readingOrder="0" vertical="center"/>
    </xf>
    <xf borderId="0" fillId="17" fontId="19" numFmtId="167" xfId="0" applyAlignment="1" applyFont="1" applyNumberFormat="1">
      <alignment horizontal="left" readingOrder="0" vertical="center"/>
    </xf>
    <xf borderId="0" fillId="17" fontId="19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0" fillId="23" fontId="20" numFmtId="0" xfId="0" applyAlignment="1" applyFont="1">
      <alignment horizontal="center" readingOrder="0" vertical="center"/>
    </xf>
    <xf borderId="0" fillId="26" fontId="9" numFmtId="0" xfId="0" applyAlignment="1" applyFill="1" applyFont="1">
      <alignment horizontal="center" readingOrder="0" vertical="center"/>
    </xf>
    <xf borderId="0" fillId="26" fontId="13" numFmtId="0" xfId="0" applyFont="1"/>
    <xf borderId="0" fillId="26" fontId="8" numFmtId="0" xfId="0" applyAlignment="1" applyFont="1">
      <alignment horizontal="center" vertical="center"/>
    </xf>
    <xf borderId="0" fillId="26" fontId="13" numFmtId="0" xfId="0" applyAlignment="1" applyFont="1">
      <alignment horizontal="center" vertical="center"/>
    </xf>
    <xf borderId="0" fillId="26" fontId="23" numFmtId="0" xfId="0" applyFont="1"/>
    <xf borderId="0" fillId="0" fontId="22" numFmtId="1" xfId="0" applyAlignment="1" applyFont="1" applyNumberFormat="1">
      <alignment horizontal="center" readingOrder="0"/>
    </xf>
    <xf borderId="0" fillId="0" fontId="9" numFmtId="2" xfId="0" applyAlignment="1" applyFont="1" applyNumberFormat="1">
      <alignment horizontal="center" readingOrder="0" vertical="center"/>
    </xf>
    <xf borderId="0" fillId="0" fontId="9" numFmtId="2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27" fontId="24" numFmtId="0" xfId="0" applyAlignment="1" applyFill="1" applyFont="1">
      <alignment readingOrder="0" shrinkToFit="0" vertical="center" wrapText="0"/>
    </xf>
    <xf borderId="0" fillId="27" fontId="25" numFmtId="0" xfId="0" applyAlignment="1" applyFont="1">
      <alignment readingOrder="0" shrinkToFit="0" vertical="center" wrapText="0"/>
    </xf>
    <xf borderId="0" fillId="27" fontId="25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vertical="center"/>
    </xf>
    <xf borderId="0" fillId="27" fontId="25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0" fillId="0" fontId="26" numFmtId="0" xfId="0" applyAlignment="1" applyFont="1">
      <alignment shrinkToFit="0" vertical="center" wrapText="0"/>
    </xf>
    <xf borderId="0" fillId="0" fontId="26" numFmtId="168" xfId="0" applyAlignment="1" applyFont="1" applyNumberFormat="1">
      <alignment horizontal="center" readingOrder="0" shrinkToFit="0" vertical="center" wrapText="0"/>
    </xf>
    <xf borderId="0" fillId="28" fontId="26" numFmtId="0" xfId="0" applyAlignment="1" applyFill="1" applyFont="1">
      <alignment readingOrder="0" shrinkToFit="0" vertical="center" wrapText="0"/>
    </xf>
    <xf borderId="0" fillId="28" fontId="26" numFmtId="0" xfId="0" applyAlignment="1" applyFont="1">
      <alignment horizontal="center" readingOrder="0" shrinkToFit="0" vertical="center" wrapText="0"/>
    </xf>
    <xf borderId="0" fillId="28" fontId="27" numFmtId="0" xfId="0" applyAlignment="1" applyFont="1">
      <alignment readingOrder="0" shrinkToFit="0" vertical="center" wrapText="0"/>
    </xf>
    <xf borderId="0" fillId="28" fontId="26" numFmtId="168" xfId="0" applyAlignment="1" applyFont="1" applyNumberFormat="1">
      <alignment horizontal="center" readingOrder="0" shrinkToFit="0" vertical="center" wrapText="0"/>
    </xf>
    <xf borderId="0" fillId="29" fontId="26" numFmtId="0" xfId="0" applyAlignment="1" applyFill="1" applyFont="1">
      <alignment readingOrder="0" shrinkToFit="0" vertical="center" wrapText="0"/>
    </xf>
    <xf borderId="0" fillId="29" fontId="26" numFmtId="0" xfId="0" applyAlignment="1" applyFont="1">
      <alignment horizontal="center" readingOrder="0" shrinkToFit="0" vertical="center" wrapText="1"/>
    </xf>
    <xf borderId="0" fillId="29" fontId="26" numFmtId="0" xfId="0" applyAlignment="1" applyFont="1">
      <alignment shrinkToFit="0" vertical="center" wrapText="0"/>
    </xf>
    <xf borderId="0" fillId="29" fontId="26" numFmtId="168" xfId="0" applyAlignment="1" applyFont="1" applyNumberFormat="1">
      <alignment horizontal="center" readingOrder="0" shrinkToFit="0" vertical="center" wrapText="0"/>
    </xf>
    <xf borderId="0" fillId="0" fontId="22" numFmtId="0" xfId="0" applyAlignment="1" applyFont="1">
      <alignment readingOrder="0" vertical="center"/>
    </xf>
    <xf borderId="0" fillId="0" fontId="22" numFmtId="2" xfId="0" applyAlignment="1" applyFont="1" applyNumberFormat="1">
      <alignment readingOrder="0" vertical="center"/>
    </xf>
    <xf borderId="0" fillId="29" fontId="28" numFmtId="0" xfId="0" applyAlignment="1" applyFont="1">
      <alignment readingOrder="0" shrinkToFit="0" vertical="center" wrapText="0"/>
    </xf>
    <xf borderId="0" fillId="27" fontId="25" numFmtId="0" xfId="0" applyAlignment="1" applyFont="1">
      <alignment shrinkToFit="0" vertical="center" wrapText="0"/>
    </xf>
    <xf borderId="0" fillId="27" fontId="25" numFmtId="168" xfId="0" applyAlignment="1" applyFont="1" applyNumberFormat="1">
      <alignment horizontal="center" readingOrder="0" shrinkToFit="0" vertical="center" wrapText="0"/>
    </xf>
    <xf borderId="0" fillId="0" fontId="22" numFmtId="168" xfId="0" applyAlignment="1" applyFont="1" applyNumberFormat="1">
      <alignment horizontal="center" vertical="center"/>
    </xf>
    <xf borderId="0" fillId="30" fontId="29" numFmtId="0" xfId="0" applyAlignment="1" applyFill="1" applyFont="1">
      <alignment horizontal="right" readingOrder="0" shrinkToFit="0" vertical="bottom" wrapText="1"/>
    </xf>
    <xf borderId="6" fillId="31" fontId="30" numFmtId="168" xfId="0" applyAlignment="1" applyBorder="1" applyFill="1" applyFont="1" applyNumberFormat="1">
      <alignment horizontal="center" readingOrder="0" shrinkToFit="0" vertical="bottom" wrapText="1"/>
    </xf>
    <xf borderId="0" fillId="32" fontId="14" numFmtId="168" xfId="0" applyAlignment="1" applyFill="1" applyFont="1" applyNumberFormat="1">
      <alignment horizontal="center" readingOrder="0" shrinkToFit="0" vertical="center" wrapText="1"/>
    </xf>
    <xf borderId="0" fillId="33" fontId="14" numFmtId="168" xfId="0" applyAlignment="1" applyFill="1" applyFont="1" applyNumberFormat="1">
      <alignment horizontal="center" readingOrder="0" shrinkToFit="0" vertical="center" wrapText="1"/>
    </xf>
    <xf borderId="0" fillId="34" fontId="14" numFmtId="168" xfId="0" applyAlignment="1" applyFill="1" applyFont="1" applyNumberFormat="1">
      <alignment horizontal="center" readingOrder="0" shrinkToFit="0" vertical="center" wrapText="1"/>
    </xf>
    <xf borderId="0" fillId="35" fontId="14" numFmtId="168" xfId="0" applyAlignment="1" applyFill="1" applyFont="1" applyNumberFormat="1">
      <alignment horizontal="center" readingOrder="0" shrinkToFit="0" vertical="center" wrapText="1"/>
    </xf>
    <xf borderId="0" fillId="36" fontId="14" numFmtId="168" xfId="0" applyAlignment="1" applyFill="1" applyFont="1" applyNumberFormat="1">
      <alignment horizontal="center" readingOrder="0" shrinkToFit="0" vertical="center" wrapText="1"/>
    </xf>
    <xf borderId="6" fillId="0" fontId="22" numFmtId="0" xfId="0" applyBorder="1" applyFont="1"/>
    <xf borderId="0" fillId="18" fontId="31" numFmtId="168" xfId="0" applyAlignment="1" applyFont="1" applyNumberFormat="1">
      <alignment horizontal="center" readingOrder="0" shrinkToFit="0" vertical="center" wrapText="1"/>
    </xf>
    <xf borderId="0" fillId="37" fontId="31" numFmtId="168" xfId="0" applyAlignment="1" applyFill="1" applyFont="1" applyNumberFormat="1">
      <alignment horizontal="center" readingOrder="0" shrinkToFit="0" vertical="center" wrapText="1"/>
    </xf>
    <xf borderId="0" fillId="38" fontId="31" numFmtId="168" xfId="0" applyAlignment="1" applyFill="1" applyFont="1" applyNumberFormat="1">
      <alignment horizontal="center" readingOrder="0" shrinkToFit="0" vertical="center" wrapText="1"/>
    </xf>
    <xf borderId="0" fillId="39" fontId="31" numFmtId="168" xfId="0" applyAlignment="1" applyFill="1" applyFont="1" applyNumberFormat="1">
      <alignment horizontal="center" readingOrder="0" shrinkToFit="0" vertical="center" wrapText="1"/>
    </xf>
    <xf borderId="0" fillId="40" fontId="31" numFmtId="168" xfId="0" applyAlignment="1" applyFill="1" applyFont="1" applyNumberFormat="1">
      <alignment horizontal="center" readingOrder="0" shrinkToFit="0" vertical="center" wrapText="1"/>
    </xf>
    <xf borderId="0" fillId="0" fontId="30" numFmtId="0" xfId="0" applyAlignment="1" applyFont="1">
      <alignment horizontal="center" readingOrder="0" vertical="center"/>
    </xf>
    <xf borderId="0" fillId="0" fontId="32" numFmtId="0" xfId="0" applyAlignment="1" applyFont="1">
      <alignment horizontal="right" readingOrder="0" vertical="center"/>
    </xf>
    <xf borderId="5" fillId="41" fontId="30" numFmtId="168" xfId="0" applyAlignment="1" applyBorder="1" applyFill="1" applyFont="1" applyNumberFormat="1">
      <alignment horizontal="center" readingOrder="0" vertical="center"/>
    </xf>
    <xf borderId="0" fillId="0" fontId="32" numFmtId="168" xfId="0" applyAlignment="1" applyFont="1" applyNumberFormat="1">
      <alignment horizontal="center" readingOrder="0" vertical="center"/>
    </xf>
    <xf borderId="5" fillId="0" fontId="32" numFmtId="168" xfId="0" applyAlignment="1" applyBorder="1" applyFont="1" applyNumberFormat="1">
      <alignment horizontal="center" readingOrder="0" vertical="center"/>
    </xf>
    <xf borderId="5" fillId="0" fontId="32" numFmtId="168" xfId="0" applyAlignment="1" applyBorder="1" applyFont="1" applyNumberFormat="1">
      <alignment horizontal="center" vertical="center"/>
    </xf>
    <xf borderId="7" fillId="0" fontId="22" numFmtId="0" xfId="0" applyBorder="1" applyFont="1"/>
    <xf borderId="8" fillId="0" fontId="30" numFmtId="0" xfId="0" applyAlignment="1" applyBorder="1" applyFont="1">
      <alignment horizontal="right" readingOrder="0" vertical="center"/>
    </xf>
    <xf borderId="9" fillId="41" fontId="30" numFmtId="168" xfId="0" applyAlignment="1" applyBorder="1" applyFont="1" applyNumberFormat="1">
      <alignment horizontal="center" vertical="center"/>
    </xf>
    <xf borderId="8" fillId="0" fontId="30" numFmtId="168" xfId="0" applyAlignment="1" applyBorder="1" applyFont="1" applyNumberFormat="1">
      <alignment horizontal="center" readingOrder="0" vertical="center"/>
    </xf>
    <xf borderId="9" fillId="0" fontId="30" numFmtId="168" xfId="0" applyAlignment="1" applyBorder="1" applyFont="1" applyNumberFormat="1">
      <alignment horizontal="center" readingOrder="0" vertical="center"/>
    </xf>
    <xf borderId="0" fillId="0" fontId="32" numFmtId="168" xfId="0" applyAlignment="1" applyFont="1" applyNumberFormat="1">
      <alignment horizontal="center" readingOrder="1" vertical="center"/>
    </xf>
    <xf borderId="0" fillId="0" fontId="33" numFmtId="168" xfId="0" applyAlignment="1" applyFont="1" applyNumberFormat="1">
      <alignment horizontal="center"/>
    </xf>
    <xf borderId="10" fillId="0" fontId="33" numFmtId="168" xfId="0" applyAlignment="1" applyBorder="1" applyFont="1" applyNumberFormat="1">
      <alignment horizontal="center"/>
    </xf>
    <xf borderId="0" fillId="0" fontId="32" numFmtId="168" xfId="0" applyAlignment="1" applyFont="1" applyNumberFormat="1">
      <alignment horizontal="center" vertical="center"/>
    </xf>
    <xf borderId="0" fillId="0" fontId="33" numFmtId="168" xfId="0" applyAlignment="1" applyFont="1" applyNumberFormat="1">
      <alignment horizontal="center" vertical="center"/>
    </xf>
    <xf borderId="10" fillId="0" fontId="33" numFmtId="168" xfId="0" applyAlignment="1" applyBorder="1" applyFont="1" applyNumberFormat="1">
      <alignment horizontal="center" vertical="center"/>
    </xf>
    <xf borderId="8" fillId="0" fontId="30" numFmtId="168" xfId="0" applyAlignment="1" applyBorder="1" applyFont="1" applyNumberFormat="1">
      <alignment horizontal="center" vertical="center"/>
    </xf>
    <xf borderId="0" fillId="0" fontId="30" numFmtId="0" xfId="0" applyAlignment="1" applyFont="1">
      <alignment horizontal="right" readingOrder="0" vertical="center"/>
    </xf>
    <xf borderId="0" fillId="41" fontId="30" numFmtId="168" xfId="0" applyAlignment="1" applyFont="1" applyNumberFormat="1">
      <alignment horizontal="center" vertical="center"/>
    </xf>
    <xf borderId="0" fillId="18" fontId="14" numFmtId="168" xfId="0" applyAlignment="1" applyFont="1" applyNumberFormat="1">
      <alignment horizontal="center" vertical="center"/>
    </xf>
    <xf borderId="0" fillId="37" fontId="14" numFmtId="168" xfId="0" applyAlignment="1" applyFont="1" applyNumberFormat="1">
      <alignment horizontal="center" vertical="center"/>
    </xf>
    <xf borderId="0" fillId="38" fontId="14" numFmtId="168" xfId="0" applyAlignment="1" applyFont="1" applyNumberFormat="1">
      <alignment horizontal="center" vertical="center"/>
    </xf>
    <xf borderId="0" fillId="39" fontId="14" numFmtId="168" xfId="0" applyAlignment="1" applyFont="1" applyNumberFormat="1">
      <alignment horizontal="center" vertical="center"/>
    </xf>
    <xf borderId="0" fillId="40" fontId="14" numFmtId="168" xfId="0" applyAlignment="1" applyFont="1" applyNumberFormat="1">
      <alignment horizontal="center" vertical="center"/>
    </xf>
    <xf borderId="0" fillId="30" fontId="34" numFmtId="0" xfId="0" applyAlignment="1" applyFont="1">
      <alignment horizontal="right" readingOrder="0" shrinkToFit="0" vertical="bottom" wrapText="1"/>
    </xf>
    <xf borderId="11" fillId="0" fontId="22" numFmtId="0" xfId="0" applyBorder="1" applyFont="1"/>
    <xf borderId="12" fillId="0" fontId="35" numFmtId="0" xfId="0" applyAlignment="1" applyBorder="1" applyFont="1">
      <alignment horizontal="center" readingOrder="0" shrinkToFit="0" vertical="center" wrapText="1"/>
    </xf>
    <xf borderId="12" fillId="0" fontId="22" numFmtId="0" xfId="0" applyBorder="1" applyFont="1"/>
    <xf borderId="13" fillId="0" fontId="22" numFmtId="0" xfId="0" applyBorder="1" applyFont="1"/>
    <xf borderId="14" fillId="0" fontId="35" numFmtId="0" xfId="0" applyAlignment="1" applyBorder="1" applyFont="1">
      <alignment horizontal="center" readingOrder="0" shrinkToFit="0" vertical="center" wrapText="1"/>
    </xf>
    <xf borderId="15" fillId="0" fontId="35" numFmtId="0" xfId="0" applyAlignment="1" applyBorder="1" applyFont="1">
      <alignment horizontal="center" readingOrder="0" shrinkToFit="0" vertical="center" wrapText="1"/>
    </xf>
    <xf borderId="16" fillId="0" fontId="35" numFmtId="0" xfId="0" applyAlignment="1" applyBorder="1" applyFont="1">
      <alignment horizontal="center" readingOrder="0" shrinkToFit="0" vertical="center" wrapText="1"/>
    </xf>
    <xf borderId="17" fillId="0" fontId="22" numFmtId="0" xfId="0" applyBorder="1" applyFont="1"/>
    <xf borderId="18" fillId="0" fontId="22" numFmtId="0" xfId="0" applyBorder="1" applyFont="1"/>
    <xf borderId="19" fillId="0" fontId="36" numFmtId="0" xfId="0" applyAlignment="1" applyBorder="1" applyFont="1">
      <alignment horizontal="center" readingOrder="0" shrinkToFit="0" vertical="center" wrapText="1"/>
    </xf>
    <xf borderId="20" fillId="0" fontId="36" numFmtId="0" xfId="0" applyAlignment="1" applyBorder="1" applyFont="1">
      <alignment horizontal="center" readingOrder="0" shrinkToFit="0" vertical="center" wrapText="1"/>
    </xf>
    <xf borderId="21" fillId="0" fontId="36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horizontal="center" readingOrder="0" textRotation="255" vertical="center"/>
    </xf>
    <xf borderId="11" fillId="0" fontId="36" numFmtId="0" xfId="0" applyAlignment="1" applyBorder="1" applyFont="1">
      <alignment horizontal="right" readingOrder="0" vertical="center"/>
    </xf>
    <xf borderId="22" fillId="0" fontId="36" numFmtId="168" xfId="0" applyAlignment="1" applyBorder="1" applyFont="1" applyNumberFormat="1">
      <alignment horizontal="center" readingOrder="0" vertical="center"/>
    </xf>
    <xf borderId="23" fillId="31" fontId="36" numFmtId="168" xfId="0" applyAlignment="1" applyBorder="1" applyFont="1" applyNumberFormat="1">
      <alignment horizontal="center" readingOrder="0" vertical="center"/>
    </xf>
    <xf borderId="11" fillId="31" fontId="36" numFmtId="168" xfId="0" applyAlignment="1" applyBorder="1" applyFont="1" applyNumberFormat="1">
      <alignment horizontal="center" readingOrder="0" vertical="center"/>
    </xf>
    <xf borderId="11" fillId="0" fontId="36" numFmtId="168" xfId="0" applyAlignment="1" applyBorder="1" applyFont="1" applyNumberFormat="1">
      <alignment horizontal="center" readingOrder="0" vertical="center"/>
    </xf>
    <xf borderId="23" fillId="0" fontId="36" numFmtId="168" xfId="0" applyAlignment="1" applyBorder="1" applyFont="1" applyNumberFormat="1">
      <alignment horizontal="center" readingOrder="0" vertical="center"/>
    </xf>
    <xf borderId="24" fillId="0" fontId="36" numFmtId="0" xfId="0" applyAlignment="1" applyBorder="1" applyFont="1">
      <alignment horizontal="right" readingOrder="0" vertical="center"/>
    </xf>
    <xf borderId="25" fillId="0" fontId="36" numFmtId="168" xfId="0" applyAlignment="1" applyBorder="1" applyFont="1" applyNumberFormat="1">
      <alignment horizontal="center" readingOrder="0" vertical="center"/>
    </xf>
    <xf borderId="26" fillId="0" fontId="36" numFmtId="168" xfId="0" applyAlignment="1" applyBorder="1" applyFont="1" applyNumberFormat="1">
      <alignment horizontal="center" vertical="center"/>
    </xf>
    <xf borderId="24" fillId="0" fontId="36" numFmtId="168" xfId="0" applyAlignment="1" applyBorder="1" applyFont="1" applyNumberFormat="1">
      <alignment horizontal="center" vertical="center"/>
    </xf>
    <xf borderId="0" fillId="41" fontId="35" numFmtId="0" xfId="0" applyAlignment="1" applyFont="1">
      <alignment horizontal="center" readingOrder="0" textRotation="255" vertical="center"/>
    </xf>
    <xf borderId="0" fillId="0" fontId="37" numFmtId="0" xfId="0" applyAlignment="1" applyFont="1">
      <alignment horizontal="center" readingOrder="0" textRotation="255" vertical="center"/>
    </xf>
    <xf borderId="11" fillId="0" fontId="38" numFmtId="0" xfId="0" applyAlignment="1" applyBorder="1" applyFont="1">
      <alignment horizontal="right" vertical="center"/>
    </xf>
    <xf borderId="22" fillId="0" fontId="38" numFmtId="168" xfId="0" applyAlignment="1" applyBorder="1" applyFont="1" applyNumberFormat="1">
      <alignment horizontal="center" vertical="center"/>
    </xf>
    <xf borderId="23" fillId="31" fontId="28" numFmtId="168" xfId="0" applyAlignment="1" applyBorder="1" applyFont="1" applyNumberFormat="1">
      <alignment vertical="center"/>
    </xf>
    <xf borderId="11" fillId="31" fontId="28" numFmtId="168" xfId="0" applyAlignment="1" applyBorder="1" applyFont="1" applyNumberFormat="1">
      <alignment vertical="center"/>
    </xf>
    <xf borderId="11" fillId="0" fontId="28" numFmtId="168" xfId="0" applyAlignment="1" applyBorder="1" applyFont="1" applyNumberFormat="1">
      <alignment vertical="center"/>
    </xf>
    <xf borderId="23" fillId="0" fontId="28" numFmtId="168" xfId="0" applyAlignment="1" applyBorder="1" applyFont="1" applyNumberFormat="1">
      <alignment vertical="center"/>
    </xf>
    <xf borderId="27" fillId="0" fontId="38" numFmtId="0" xfId="0" applyAlignment="1" applyBorder="1" applyFont="1">
      <alignment horizontal="right" vertical="center"/>
    </xf>
    <xf borderId="28" fillId="0" fontId="38" numFmtId="168" xfId="0" applyAlignment="1" applyBorder="1" applyFont="1" applyNumberFormat="1">
      <alignment horizontal="center" vertical="center"/>
    </xf>
    <xf borderId="29" fillId="0" fontId="28" numFmtId="168" xfId="0" applyAlignment="1" applyBorder="1" applyFont="1" applyNumberFormat="1">
      <alignment vertical="center"/>
    </xf>
    <xf borderId="29" fillId="31" fontId="28" numFmtId="168" xfId="0" applyAlignment="1" applyBorder="1" applyFont="1" applyNumberFormat="1">
      <alignment vertical="center"/>
    </xf>
    <xf borderId="27" fillId="31" fontId="28" numFmtId="168" xfId="0" applyAlignment="1" applyBorder="1" applyFont="1" applyNumberFormat="1">
      <alignment vertical="center"/>
    </xf>
    <xf borderId="27" fillId="0" fontId="28" numFmtId="168" xfId="0" applyAlignment="1" applyBorder="1" applyFont="1" applyNumberFormat="1">
      <alignment vertical="center"/>
    </xf>
    <xf borderId="18" fillId="0" fontId="38" numFmtId="0" xfId="0" applyAlignment="1" applyBorder="1" applyFont="1">
      <alignment horizontal="right" vertical="center"/>
    </xf>
    <xf borderId="30" fillId="0" fontId="38" numFmtId="168" xfId="0" applyAlignment="1" applyBorder="1" applyFont="1" applyNumberFormat="1">
      <alignment horizontal="center" vertical="center"/>
    </xf>
    <xf borderId="31" fillId="0" fontId="38" numFmtId="168" xfId="0" applyAlignment="1" applyBorder="1" applyFont="1" applyNumberFormat="1">
      <alignment horizontal="center" vertical="center"/>
    </xf>
    <xf borderId="18" fillId="0" fontId="38" numFmtId="168" xfId="0" applyAlignment="1" applyBorder="1" applyFont="1" applyNumberFormat="1">
      <alignment horizontal="center" vertical="center"/>
    </xf>
    <xf borderId="0" fillId="41" fontId="37" numFmtId="0" xfId="0" applyAlignment="1" applyFont="1">
      <alignment horizontal="center" readingOrder="0" textRotation="255" vertical="center"/>
    </xf>
    <xf borderId="0" fillId="31" fontId="28" numFmtId="168" xfId="0" applyAlignment="1" applyFont="1" applyNumberFormat="1">
      <alignment vertical="center"/>
    </xf>
    <xf borderId="0" fillId="0" fontId="38" numFmtId="168" xfId="0" applyAlignment="1" applyFont="1" applyNumberFormat="1">
      <alignment horizontal="center" vertical="center"/>
    </xf>
    <xf borderId="31" fillId="0" fontId="38" numFmtId="168" xfId="0" applyAlignment="1" applyBorder="1" applyFont="1" applyNumberFormat="1">
      <alignment horizontal="center" readingOrder="0" vertical="center"/>
    </xf>
    <xf borderId="0" fillId="30" fontId="39" numFmtId="0" xfId="0" applyAlignment="1" applyFont="1">
      <alignment horizontal="right" readingOrder="0" shrinkToFit="0" vertical="bottom" wrapText="1"/>
    </xf>
    <xf borderId="0" fillId="26" fontId="40" numFmtId="0" xfId="0" applyAlignment="1" applyFont="1">
      <alignment horizontal="center" readingOrder="0" shrinkToFit="0" vertical="bottom" wrapText="1"/>
    </xf>
    <xf borderId="10" fillId="30" fontId="41" numFmtId="168" xfId="0" applyAlignment="1" applyBorder="1" applyFont="1" applyNumberFormat="1">
      <alignment horizontal="center" readingOrder="0" shrinkToFit="0" vertical="center" wrapText="1"/>
    </xf>
    <xf borderId="10" fillId="36" fontId="31" numFmtId="168" xfId="0" applyAlignment="1" applyBorder="1" applyFont="1" applyNumberFormat="1">
      <alignment horizontal="center" readingOrder="0" shrinkToFit="0" vertical="center" wrapText="1"/>
    </xf>
    <xf borderId="5" fillId="0" fontId="42" numFmtId="0" xfId="0" applyAlignment="1" applyBorder="1" applyFont="1">
      <alignment horizontal="center" readingOrder="0" vertical="center"/>
    </xf>
    <xf borderId="5" fillId="26" fontId="30" numFmtId="168" xfId="0" applyAlignment="1" applyBorder="1" applyFont="1" applyNumberFormat="1">
      <alignment horizontal="center" readingOrder="0" vertical="center"/>
    </xf>
    <xf borderId="0" fillId="30" fontId="32" numFmtId="168" xfId="0" applyAlignment="1" applyFont="1" applyNumberFormat="1">
      <alignment horizontal="center" readingOrder="0" vertical="center"/>
    </xf>
    <xf borderId="32" fillId="0" fontId="32" numFmtId="168" xfId="0" applyAlignment="1" applyBorder="1" applyFont="1" applyNumberFormat="1">
      <alignment horizontal="center" readingOrder="0" vertical="center"/>
    </xf>
    <xf borderId="5" fillId="0" fontId="22" numFmtId="0" xfId="0" applyBorder="1" applyFont="1"/>
    <xf borderId="10" fillId="0" fontId="32" numFmtId="0" xfId="0" applyAlignment="1" applyBorder="1" applyFont="1">
      <alignment horizontal="right" readingOrder="0" vertical="center"/>
    </xf>
    <xf borderId="4" fillId="26" fontId="30" numFmtId="168" xfId="0" applyAlignment="1" applyBorder="1" applyFont="1" applyNumberFormat="1">
      <alignment horizontal="center" readingOrder="0" vertical="center"/>
    </xf>
    <xf borderId="10" fillId="30" fontId="32" numFmtId="168" xfId="0" applyAlignment="1" applyBorder="1" applyFont="1" applyNumberFormat="1">
      <alignment horizontal="center" readingOrder="0" vertical="center"/>
    </xf>
    <xf borderId="33" fillId="0" fontId="32" numFmtId="168" xfId="0" applyAlignment="1" applyBorder="1" applyFont="1" applyNumberFormat="1">
      <alignment horizontal="center" readingOrder="0" vertical="center"/>
    </xf>
    <xf borderId="10" fillId="0" fontId="32" numFmtId="168" xfId="0" applyAlignment="1" applyBorder="1" applyFont="1" applyNumberFormat="1">
      <alignment horizontal="center" readingOrder="0" vertical="center"/>
    </xf>
    <xf borderId="34" fillId="0" fontId="22" numFmtId="0" xfId="0" applyBorder="1" applyFont="1"/>
    <xf borderId="9" fillId="26" fontId="30" numFmtId="168" xfId="0" applyAlignment="1" applyBorder="1" applyFont="1" applyNumberFormat="1">
      <alignment horizontal="center" vertical="center"/>
    </xf>
    <xf borderId="8" fillId="30" fontId="30" numFmtId="168" xfId="0" applyAlignment="1" applyBorder="1" applyFont="1" applyNumberFormat="1">
      <alignment horizontal="center" readingOrder="0" vertical="center"/>
    </xf>
    <xf borderId="35" fillId="0" fontId="30" numFmtId="168" xfId="0" applyAlignment="1" applyBorder="1" applyFont="1" applyNumberFormat="1">
      <alignment horizontal="center" readingOrder="0" vertical="center"/>
    </xf>
    <xf borderId="0" fillId="41" fontId="32" numFmtId="168" xfId="0" applyAlignment="1" applyFont="1" applyNumberFormat="1">
      <alignment horizontal="center" readingOrder="0" vertical="center"/>
    </xf>
    <xf borderId="0" fillId="30" fontId="43" numFmtId="0" xfId="0" applyAlignment="1" applyFont="1">
      <alignment horizontal="center" shrinkToFit="0" vertical="center" wrapText="0"/>
    </xf>
    <xf borderId="0" fillId="30" fontId="44" numFmtId="0" xfId="0" applyAlignment="1" applyFont="1">
      <alignment horizontal="center" shrinkToFit="0" vertical="center" wrapText="0"/>
    </xf>
    <xf borderId="0" fillId="42" fontId="43" numFmtId="0" xfId="0" applyAlignment="1" applyFill="1" applyFont="1">
      <alignment horizontal="center" readingOrder="0" shrinkToFit="0" vertical="center" wrapText="0"/>
    </xf>
    <xf borderId="0" fillId="42" fontId="43" numFmtId="0" xfId="0" applyAlignment="1" applyFont="1">
      <alignment horizontal="center" shrinkToFit="0" vertical="center" wrapText="0"/>
    </xf>
    <xf borderId="0" fillId="0" fontId="28" numFmtId="0" xfId="0" applyAlignment="1" applyFont="1">
      <alignment shrinkToFit="0" wrapText="0"/>
    </xf>
    <xf borderId="0" fillId="42" fontId="25" numFmtId="168" xfId="0" applyAlignment="1" applyFont="1" applyNumberFormat="1">
      <alignment horizontal="center" shrinkToFit="0" vertical="center" wrapText="0"/>
    </xf>
    <xf borderId="0" fillId="0" fontId="28" numFmtId="168" xfId="0" applyAlignment="1" applyFont="1" applyNumberFormat="1">
      <alignment horizontal="center" readingOrder="0" shrinkToFit="0" vertical="center" wrapText="0"/>
    </xf>
    <xf borderId="0" fillId="43" fontId="43" numFmtId="0" xfId="0" applyAlignment="1" applyFill="1" applyFont="1">
      <alignment shrinkToFit="0" vertical="center" wrapText="0"/>
    </xf>
    <xf borderId="0" fillId="43" fontId="43" numFmtId="168" xfId="0" applyAlignment="1" applyFont="1" applyNumberFormat="1">
      <alignment horizontal="center" shrinkToFit="0" vertical="center" wrapText="0"/>
    </xf>
    <xf borderId="0" fillId="30" fontId="28" numFmtId="0" xfId="0" applyAlignment="1" applyFont="1">
      <alignment shrinkToFit="0" vertical="center" wrapText="0"/>
    </xf>
    <xf borderId="0" fillId="18" fontId="43" numFmtId="0" xfId="0" applyAlignment="1" applyFont="1">
      <alignment horizontal="center" readingOrder="0" shrinkToFit="0" vertical="center" wrapText="0"/>
    </xf>
    <xf borderId="0" fillId="18" fontId="43" numFmtId="0" xfId="0" applyAlignment="1" applyFont="1">
      <alignment horizontal="center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18" fontId="25" numFmtId="168" xfId="0" applyAlignment="1" applyFont="1" applyNumberFormat="1">
      <alignment horizontal="center" shrinkToFit="0" vertical="center" wrapText="0"/>
    </xf>
    <xf borderId="0" fillId="8" fontId="28" numFmtId="168" xfId="0" applyAlignment="1" applyFont="1" applyNumberFormat="1">
      <alignment horizontal="center" readingOrder="0" shrinkToFit="0" vertical="center" wrapText="0"/>
    </xf>
    <xf borderId="0" fillId="44" fontId="28" numFmtId="168" xfId="0" applyAlignment="1" applyFill="1" applyFont="1" applyNumberFormat="1">
      <alignment horizontal="center" readingOrder="0" shrinkToFit="0" vertical="center" wrapText="0"/>
    </xf>
    <xf borderId="0" fillId="44" fontId="33" numFmtId="168" xfId="0" applyAlignment="1" applyFont="1" applyNumberFormat="1">
      <alignment horizontal="center" readingOrder="0" shrinkToFit="0" vertical="center" wrapText="0"/>
    </xf>
    <xf borderId="0" fillId="9" fontId="27" numFmtId="0" xfId="0" applyAlignment="1" applyFont="1">
      <alignment readingOrder="0" shrinkToFit="0" vertical="center" wrapText="0"/>
    </xf>
    <xf borderId="0" fillId="9" fontId="45" numFmtId="168" xfId="0" applyAlignment="1" applyFont="1" applyNumberFormat="1">
      <alignment horizontal="center" shrinkToFit="0" vertical="center" wrapText="0"/>
    </xf>
    <xf borderId="0" fillId="9" fontId="45" numFmtId="168" xfId="0" applyAlignment="1" applyFont="1" applyNumberFormat="1">
      <alignment horizontal="center" readingOrder="0" shrinkToFit="0" vertical="center" wrapText="0"/>
    </xf>
    <xf borderId="0" fillId="9" fontId="27" numFmtId="168" xfId="0" applyAlignment="1" applyFont="1" applyNumberFormat="1">
      <alignment horizontal="center" readingOrder="0" shrinkToFit="0" vertical="center" wrapText="0"/>
    </xf>
    <xf borderId="0" fillId="38" fontId="43" numFmtId="0" xfId="0" applyAlignment="1" applyFont="1">
      <alignment horizontal="center" readingOrder="0" shrinkToFit="0" vertical="center" wrapText="0"/>
    </xf>
    <xf borderId="0" fillId="38" fontId="43" numFmtId="0" xfId="0" applyAlignment="1" applyFont="1">
      <alignment horizontal="center" shrinkToFit="0" vertical="center" wrapText="0"/>
    </xf>
    <xf borderId="0" fillId="38" fontId="43" numFmtId="168" xfId="0" applyAlignment="1" applyFont="1" applyNumberFormat="1">
      <alignment horizontal="center" shrinkToFit="0" vertical="center" wrapText="0"/>
    </xf>
    <xf borderId="0" fillId="9" fontId="45" numFmtId="0" xfId="0" applyAlignment="1" applyFont="1">
      <alignment readingOrder="0" shrinkToFit="0" vertical="center" wrapText="0"/>
    </xf>
    <xf borderId="0" fillId="33" fontId="43" numFmtId="0" xfId="0" applyAlignment="1" applyFont="1">
      <alignment horizontal="left" readingOrder="0" shrinkToFit="0" vertical="center" wrapText="0"/>
    </xf>
    <xf borderId="0" fillId="33" fontId="43" numFmtId="168" xfId="0" applyAlignment="1" applyFont="1" applyNumberFormat="1">
      <alignment horizontal="center" shrinkToFit="0" vertical="center" wrapText="0"/>
    </xf>
    <xf borderId="0" fillId="30" fontId="46" numFmtId="0" xfId="0" applyAlignment="1" applyFont="1">
      <alignment shrinkToFit="0" vertical="center" wrapText="0"/>
    </xf>
    <xf borderId="36" fillId="36" fontId="47" numFmtId="0" xfId="0" applyAlignment="1" applyBorder="1" applyFont="1">
      <alignment horizontal="center" readingOrder="0" shrinkToFit="0" vertical="center" wrapText="0"/>
    </xf>
    <xf borderId="36" fillId="36" fontId="44" numFmtId="0" xfId="0" applyAlignment="1" applyBorder="1" applyFont="1">
      <alignment horizontal="center" shrinkToFit="0" vertical="center" wrapText="0"/>
    </xf>
    <xf borderId="36" fillId="36" fontId="48" numFmtId="0" xfId="0" applyAlignment="1" applyBorder="1" applyFont="1">
      <alignment horizontal="center" shrinkToFit="0" vertical="center" wrapText="0"/>
    </xf>
    <xf borderId="36" fillId="0" fontId="46" numFmtId="0" xfId="0" applyAlignment="1" applyBorder="1" applyFont="1">
      <alignment readingOrder="0" shrinkToFit="0" vertical="center" wrapText="1"/>
    </xf>
    <xf borderId="36" fillId="0" fontId="49" numFmtId="168" xfId="0" applyAlignment="1" applyBorder="1" applyFont="1" applyNumberFormat="1">
      <alignment horizontal="center" shrinkToFit="0" vertical="center" wrapText="0"/>
    </xf>
    <xf borderId="36" fillId="8" fontId="50" numFmtId="168" xfId="0" applyAlignment="1" applyBorder="1" applyFont="1" applyNumberFormat="1">
      <alignment horizontal="center" readingOrder="0" shrinkToFit="0" vertical="center" wrapText="0"/>
    </xf>
    <xf borderId="36" fillId="45" fontId="44" numFmtId="0" xfId="0" applyAlignment="1" applyBorder="1" applyFill="1" applyFont="1">
      <alignment shrinkToFit="0" vertical="center" wrapText="0"/>
    </xf>
    <xf borderId="36" fillId="45" fontId="44" numFmtId="168" xfId="0" applyAlignment="1" applyBorder="1" applyFont="1" applyNumberFormat="1">
      <alignment horizontal="center" shrinkToFit="0" vertical="center" wrapText="0"/>
    </xf>
    <xf borderId="36" fillId="9" fontId="27" numFmtId="0" xfId="0" applyAlignment="1" applyBorder="1" applyFont="1">
      <alignment readingOrder="0" shrinkToFit="0" vertical="center" wrapText="0"/>
    </xf>
    <xf borderId="36" fillId="9" fontId="51" numFmtId="168" xfId="0" applyAlignment="1" applyBorder="1" applyFont="1" applyNumberFormat="1">
      <alignment horizontal="center" shrinkToFit="0" vertical="center" wrapText="0"/>
    </xf>
    <xf borderId="36" fillId="9" fontId="51" numFmtId="168" xfId="0" applyAlignment="1" applyBorder="1" applyFont="1" applyNumberFormat="1">
      <alignment horizontal="center" readingOrder="0" shrinkToFit="0" vertical="center" wrapText="0"/>
    </xf>
    <xf borderId="0" fillId="0" fontId="46" numFmtId="0" xfId="0" applyAlignment="1" applyFont="1">
      <alignment readingOrder="0" shrinkToFit="0" vertical="center" wrapText="0"/>
    </xf>
    <xf borderId="0" fillId="0" fontId="49" numFmtId="168" xfId="0" applyAlignment="1" applyFont="1" applyNumberFormat="1">
      <alignment horizontal="center" shrinkToFit="0" vertical="center" wrapText="0"/>
    </xf>
    <xf borderId="0" fillId="0" fontId="50" numFmtId="168" xfId="0" applyAlignment="1" applyFont="1" applyNumberFormat="1">
      <alignment horizontal="center" readingOrder="0" shrinkToFit="0" vertical="center" wrapText="0"/>
    </xf>
    <xf borderId="0" fillId="43" fontId="48" numFmtId="0" xfId="0" applyAlignment="1" applyFont="1">
      <alignment readingOrder="0" shrinkToFit="0" vertical="center" wrapText="0"/>
    </xf>
    <xf borderId="0" fillId="43" fontId="44" numFmtId="168" xfId="0" applyAlignment="1" applyFont="1" applyNumberFormat="1">
      <alignment horizontal="center" shrinkToFit="0" vertical="center" wrapText="0"/>
    </xf>
    <xf borderId="1" fillId="18" fontId="52" numFmtId="0" xfId="0" applyAlignment="1" applyBorder="1" applyFont="1">
      <alignment readingOrder="0" shrinkToFit="0" vertical="center" wrapText="0"/>
    </xf>
    <xf borderId="1" fillId="18" fontId="53" numFmtId="0" xfId="0" applyAlignment="1" applyBorder="1" applyFont="1">
      <alignment horizontal="center" shrinkToFit="0" vertical="center" wrapText="0"/>
    </xf>
    <xf borderId="1" fillId="18" fontId="53" numFmtId="0" xfId="0" applyAlignment="1" applyBorder="1" applyFont="1">
      <alignment horizontal="center" readingOrder="0" shrinkToFit="0" vertical="center" wrapText="0"/>
    </xf>
    <xf borderId="1" fillId="32" fontId="53" numFmtId="0" xfId="0" applyAlignment="1" applyBorder="1" applyFont="1">
      <alignment horizontal="center" shrinkToFit="0" vertical="center" wrapText="0"/>
    </xf>
    <xf borderId="1" fillId="32" fontId="53" numFmtId="0" xfId="0" applyAlignment="1" applyBorder="1" applyFont="1">
      <alignment horizontal="center" readingOrder="0" shrinkToFit="0" vertical="center" wrapText="0"/>
    </xf>
    <xf borderId="1" fillId="9" fontId="50" numFmtId="0" xfId="0" applyAlignment="1" applyBorder="1" applyFont="1">
      <alignment readingOrder="0" shrinkToFit="0" vertical="center" wrapText="1"/>
    </xf>
    <xf borderId="1" fillId="9" fontId="28" numFmtId="4" xfId="0" applyAlignment="1" applyBorder="1" applyFont="1" applyNumberFormat="1">
      <alignment horizontal="center" readingOrder="0" shrinkToFit="0" vertical="center" wrapText="0"/>
    </xf>
    <xf borderId="1" fillId="22" fontId="54" numFmtId="4" xfId="0" applyAlignment="1" applyBorder="1" applyFont="1" applyNumberFormat="1">
      <alignment horizontal="center" shrinkToFit="0" vertical="center" wrapText="0"/>
    </xf>
    <xf borderId="1" fillId="22" fontId="28" numFmtId="4" xfId="0" applyAlignment="1" applyBorder="1" applyFont="1" applyNumberFormat="1">
      <alignment horizontal="center" shrinkToFit="0" vertical="center" wrapText="0"/>
    </xf>
    <xf borderId="1" fillId="9" fontId="28" numFmtId="4" xfId="0" applyAlignment="1" applyBorder="1" applyFont="1" applyNumberFormat="1">
      <alignment horizontal="center" shrinkToFit="0" vertical="center" wrapText="0"/>
    </xf>
    <xf borderId="1" fillId="46" fontId="52" numFmtId="0" xfId="0" applyAlignment="1" applyBorder="1" applyFill="1" applyFont="1">
      <alignment readingOrder="0" shrinkToFit="0" vertical="center" wrapText="0"/>
    </xf>
    <xf borderId="1" fillId="46" fontId="25" numFmtId="164" xfId="0" applyAlignment="1" applyBorder="1" applyFont="1" applyNumberFormat="1">
      <alignment horizontal="center" shrinkToFit="0" vertical="center" wrapText="0"/>
    </xf>
    <xf borderId="1" fillId="18" fontId="48" numFmtId="164" xfId="0" applyAlignment="1" applyBorder="1" applyFont="1" applyNumberFormat="1">
      <alignment horizontal="center" shrinkToFit="0" vertical="center" wrapText="0"/>
    </xf>
    <xf borderId="1" fillId="18" fontId="43" numFmtId="164" xfId="0" applyAlignment="1" applyBorder="1" applyFont="1" applyNumberFormat="1">
      <alignment horizontal="center" shrinkToFit="0" vertical="center" wrapText="0"/>
    </xf>
    <xf borderId="1" fillId="13" fontId="55" numFmtId="0" xfId="0" applyAlignment="1" applyBorder="1" applyFont="1">
      <alignment readingOrder="0" shrinkToFit="0" vertical="center" wrapText="0"/>
    </xf>
    <xf borderId="1" fillId="13" fontId="33" numFmtId="4" xfId="0" applyAlignment="1" applyBorder="1" applyFont="1" applyNumberFormat="1">
      <alignment horizontal="center" shrinkToFit="0" vertical="center" wrapText="0"/>
    </xf>
    <xf borderId="1" fillId="47" fontId="56" numFmtId="164" xfId="0" applyAlignment="1" applyBorder="1" applyFill="1" applyFont="1" applyNumberFormat="1">
      <alignment horizontal="center" shrinkToFit="0" vertical="center" wrapText="0"/>
    </xf>
    <xf borderId="1" fillId="47" fontId="33" numFmtId="4" xfId="0" applyAlignment="1" applyBorder="1" applyFont="1" applyNumberFormat="1">
      <alignment horizontal="center" shrinkToFit="0" vertical="center" wrapText="0"/>
    </xf>
    <xf borderId="1" fillId="13" fontId="33" numFmtId="4" xfId="0" applyAlignment="1" applyBorder="1" applyFont="1" applyNumberFormat="1">
      <alignment horizontal="center" readingOrder="0" shrinkToFit="0" vertical="center" wrapText="0"/>
    </xf>
    <xf borderId="1" fillId="48" fontId="53" numFmtId="0" xfId="0" applyAlignment="1" applyBorder="1" applyFill="1" applyFont="1">
      <alignment readingOrder="0" shrinkToFit="0" vertical="center" wrapText="0"/>
    </xf>
    <xf borderId="1" fillId="48" fontId="43" numFmtId="4" xfId="0" applyAlignment="1" applyBorder="1" applyFont="1" applyNumberFormat="1">
      <alignment horizontal="center" readingOrder="0" shrinkToFit="0" vertical="center" wrapText="0"/>
    </xf>
    <xf borderId="1" fillId="48" fontId="48" numFmtId="164" xfId="0" applyAlignment="1" applyBorder="1" applyFont="1" applyNumberFormat="1">
      <alignment horizontal="center" shrinkToFit="0" vertical="center" wrapText="0"/>
    </xf>
    <xf borderId="1" fillId="48" fontId="43" numFmtId="164" xfId="0" applyAlignment="1" applyBorder="1" applyFont="1" applyNumberFormat="1">
      <alignment horizontal="center" shrinkToFit="0" vertical="center" wrapText="0"/>
    </xf>
    <xf borderId="1" fillId="21" fontId="54" numFmtId="0" xfId="0" applyAlignment="1" applyBorder="1" applyFont="1">
      <alignment readingOrder="0" shrinkToFit="0" vertical="center" wrapText="0"/>
    </xf>
    <xf borderId="1" fillId="21" fontId="45" numFmtId="4" xfId="0" applyAlignment="1" applyBorder="1" applyFont="1" applyNumberFormat="1">
      <alignment horizontal="center" readingOrder="0" shrinkToFit="0" vertical="center" wrapText="0"/>
    </xf>
    <xf borderId="1" fillId="21" fontId="54" numFmtId="164" xfId="0" applyAlignment="1" applyBorder="1" applyFont="1" applyNumberFormat="1">
      <alignment horizontal="center" shrinkToFit="0" vertical="center" wrapText="0"/>
    </xf>
    <xf borderId="1" fillId="21" fontId="28" numFmtId="4" xfId="0" applyAlignment="1" applyBorder="1" applyFont="1" applyNumberFormat="1">
      <alignment horizontal="center" shrinkToFit="0" vertical="center" wrapText="0"/>
    </xf>
    <xf borderId="1" fillId="21" fontId="45" numFmtId="164" xfId="0" applyAlignment="1" applyBorder="1" applyFont="1" applyNumberFormat="1">
      <alignment horizontal="center" shrinkToFit="0" vertical="center" wrapText="0"/>
    </xf>
    <xf borderId="37" fillId="30" fontId="57" numFmtId="0" xfId="0" applyAlignment="1" applyBorder="1" applyFont="1">
      <alignment readingOrder="0" shrinkToFit="0" vertical="center" wrapText="0"/>
    </xf>
    <xf borderId="37" fillId="30" fontId="48" numFmtId="0" xfId="0" applyAlignment="1" applyBorder="1" applyFont="1">
      <alignment horizontal="center" shrinkToFit="0" vertical="center" wrapText="0"/>
    </xf>
    <xf borderId="37" fillId="30" fontId="48" numFmtId="0" xfId="0" applyAlignment="1" applyBorder="1" applyFont="1">
      <alignment horizontal="center" readingOrder="0" shrinkToFit="0" vertical="center" wrapText="0"/>
    </xf>
    <xf borderId="1" fillId="38" fontId="52" numFmtId="0" xfId="0" applyAlignment="1" applyBorder="1" applyFont="1">
      <alignment readingOrder="0" shrinkToFit="0" vertical="center" wrapText="0"/>
    </xf>
    <xf borderId="1" fillId="38" fontId="53" numFmtId="0" xfId="0" applyAlignment="1" applyBorder="1" applyFont="1">
      <alignment horizontal="center" shrinkToFit="0" vertical="center" wrapText="0"/>
    </xf>
    <xf borderId="1" fillId="38" fontId="53" numFmtId="0" xfId="0" applyAlignment="1" applyBorder="1" applyFont="1">
      <alignment horizontal="center" readingOrder="0" shrinkToFit="0" vertical="center" wrapText="0"/>
    </xf>
    <xf borderId="1" fillId="34" fontId="53" numFmtId="0" xfId="0" applyAlignment="1" applyBorder="1" applyFont="1">
      <alignment horizontal="center" shrinkToFit="0" vertical="center" wrapText="0"/>
    </xf>
    <xf borderId="1" fillId="34" fontId="53" numFmtId="0" xfId="0" applyAlignment="1" applyBorder="1" applyFont="1">
      <alignment horizontal="center" readingOrder="0" shrinkToFit="0" vertical="center" wrapText="0"/>
    </xf>
    <xf borderId="1" fillId="49" fontId="50" numFmtId="0" xfId="0" applyAlignment="1" applyBorder="1" applyFill="1" applyFont="1">
      <alignment readingOrder="0" shrinkToFit="0" vertical="center" wrapText="1"/>
    </xf>
    <xf borderId="1" fillId="49" fontId="28" numFmtId="4" xfId="0" applyAlignment="1" applyBorder="1" applyFont="1" applyNumberFormat="1">
      <alignment horizontal="center" readingOrder="0" shrinkToFit="0" vertical="center" wrapText="0"/>
    </xf>
    <xf borderId="1" fillId="50" fontId="54" numFmtId="4" xfId="0" applyAlignment="1" applyBorder="1" applyFill="1" applyFont="1" applyNumberFormat="1">
      <alignment horizontal="center" shrinkToFit="0" vertical="center" wrapText="0"/>
    </xf>
    <xf borderId="1" fillId="50" fontId="28" numFmtId="4" xfId="0" applyAlignment="1" applyBorder="1" applyFont="1" applyNumberFormat="1">
      <alignment horizontal="center" shrinkToFit="0" vertical="center" wrapText="0"/>
    </xf>
    <xf borderId="1" fillId="49" fontId="28" numFmtId="0" xfId="0" applyAlignment="1" applyBorder="1" applyFont="1">
      <alignment readingOrder="0" shrinkToFit="0" vertical="center" wrapText="1"/>
    </xf>
    <xf borderId="1" fillId="49" fontId="28" numFmtId="4" xfId="0" applyAlignment="1" applyBorder="1" applyFont="1" applyNumberFormat="1">
      <alignment horizontal="center" shrinkToFit="0" vertical="center" wrapText="0"/>
    </xf>
    <xf borderId="1" fillId="38" fontId="53" numFmtId="0" xfId="0" applyAlignment="1" applyBorder="1" applyFont="1">
      <alignment readingOrder="0" shrinkToFit="0" vertical="center" wrapText="0"/>
    </xf>
    <xf borderId="1" fillId="38" fontId="43" numFmtId="164" xfId="0" applyAlignment="1" applyBorder="1" applyFont="1" applyNumberFormat="1">
      <alignment horizontal="center" shrinkToFit="0" vertical="center" wrapText="0"/>
    </xf>
    <xf borderId="1" fillId="34" fontId="48" numFmtId="164" xfId="0" applyAlignment="1" applyBorder="1" applyFont="1" applyNumberFormat="1">
      <alignment horizontal="center" shrinkToFit="0" vertical="center" wrapText="0"/>
    </xf>
    <xf borderId="1" fillId="34" fontId="43" numFmtId="164" xfId="0" applyAlignment="1" applyBorder="1" applyFont="1" applyNumberFormat="1">
      <alignment horizontal="center" shrinkToFit="0" vertical="center" wrapText="0"/>
    </xf>
    <xf borderId="38" fillId="30" fontId="46" numFmtId="0" xfId="0" applyAlignment="1" applyBorder="1" applyFont="1">
      <alignment shrinkToFit="0" wrapText="0"/>
    </xf>
    <xf borderId="39" fillId="0" fontId="22" numFmtId="0" xfId="0" applyBorder="1" applyFont="1"/>
    <xf borderId="40" fillId="9" fontId="50" numFmtId="0" xfId="0" applyAlignment="1" applyBorder="1" applyFont="1">
      <alignment readingOrder="0" shrinkToFit="0" vertical="center" wrapText="0"/>
    </xf>
    <xf borderId="40" fillId="9" fontId="50" numFmtId="164" xfId="0" applyAlignment="1" applyBorder="1" applyFont="1" applyNumberFormat="1">
      <alignment horizontal="center" readingOrder="0" shrinkToFit="0" vertical="center" wrapText="0"/>
    </xf>
    <xf borderId="40" fillId="22" fontId="54" numFmtId="164" xfId="0" applyAlignment="1" applyBorder="1" applyFont="1" applyNumberFormat="1">
      <alignment horizontal="center" shrinkToFit="0" vertical="center" wrapText="0"/>
    </xf>
    <xf borderId="40" fillId="22" fontId="50" numFmtId="4" xfId="0" applyAlignment="1" applyBorder="1" applyFont="1" applyNumberFormat="1">
      <alignment horizontal="center" shrinkToFit="0" vertical="center" wrapText="0"/>
    </xf>
    <xf borderId="40" fillId="49" fontId="50" numFmtId="0" xfId="0" applyAlignment="1" applyBorder="1" applyFont="1">
      <alignment readingOrder="0" shrinkToFit="0" vertical="center" wrapText="0"/>
    </xf>
    <xf borderId="40" fillId="49" fontId="50" numFmtId="164" xfId="0" applyAlignment="1" applyBorder="1" applyFont="1" applyNumberFormat="1">
      <alignment horizontal="center" readingOrder="0" shrinkToFit="0" vertical="center" wrapText="0"/>
    </xf>
    <xf borderId="40" fillId="50" fontId="54" numFmtId="164" xfId="0" applyAlignment="1" applyBorder="1" applyFont="1" applyNumberFormat="1">
      <alignment horizontal="center" shrinkToFit="0" vertical="center" wrapText="0"/>
    </xf>
    <xf borderId="40" fillId="50" fontId="50" numFmtId="4" xfId="0" applyAlignment="1" applyBorder="1" applyFont="1" applyNumberFormat="1">
      <alignment horizontal="center" shrinkToFit="0" vertical="center" wrapText="0"/>
    </xf>
    <xf borderId="40" fillId="21" fontId="54" numFmtId="0" xfId="0" applyAlignment="1" applyBorder="1" applyFont="1">
      <alignment readingOrder="0" shrinkToFit="0" vertical="center" wrapText="0"/>
    </xf>
    <xf borderId="40" fillId="21" fontId="54" numFmtId="164" xfId="0" applyAlignment="1" applyBorder="1" applyFont="1" applyNumberFormat="1">
      <alignment horizontal="center" readingOrder="0" shrinkToFit="0" vertical="center" wrapText="0"/>
    </xf>
    <xf borderId="40" fillId="21" fontId="54" numFmtId="164" xfId="0" applyAlignment="1" applyBorder="1" applyFont="1" applyNumberFormat="1">
      <alignment horizontal="center" shrinkToFit="0" vertical="center" wrapText="0"/>
    </xf>
    <xf borderId="40" fillId="21" fontId="54" numFmtId="4" xfId="0" applyAlignment="1" applyBorder="1" applyFont="1" applyNumberFormat="1">
      <alignment horizontal="center" shrinkToFit="0" vertical="center" wrapText="0"/>
    </xf>
    <xf borderId="0" fillId="30" fontId="58" numFmtId="0" xfId="0" applyAlignment="1" applyFont="1">
      <alignment readingOrder="0" shrinkToFit="0" vertical="center" wrapText="0"/>
    </xf>
    <xf borderId="0" fillId="30" fontId="58" numFmtId="164" xfId="0" applyAlignment="1" applyFont="1" applyNumberFormat="1">
      <alignment horizontal="center" readingOrder="0" shrinkToFit="0" vertical="center" wrapText="0"/>
    </xf>
    <xf borderId="0" fillId="30" fontId="58" numFmtId="164" xfId="0" applyAlignment="1" applyFont="1" applyNumberFormat="1">
      <alignment horizontal="center" shrinkToFit="0" vertical="center" wrapText="0"/>
    </xf>
    <xf borderId="0" fillId="30" fontId="58" numFmtId="4" xfId="0" applyAlignment="1" applyFont="1" applyNumberFormat="1">
      <alignment horizontal="center" shrinkToFit="0" vertical="center" wrapText="0"/>
    </xf>
    <xf borderId="0" fillId="30" fontId="59" numFmtId="0" xfId="0" applyAlignment="1" applyFont="1">
      <alignment readingOrder="0" shrinkToFit="0" vertical="center" wrapText="0"/>
    </xf>
    <xf borderId="0" fillId="30" fontId="59" numFmtId="164" xfId="0" applyAlignment="1" applyFont="1" applyNumberFormat="1">
      <alignment horizontal="center" readingOrder="0" shrinkToFit="0" vertical="center" wrapText="0"/>
    </xf>
    <xf borderId="0" fillId="30" fontId="59" numFmtId="164" xfId="0" applyAlignment="1" applyFont="1" applyNumberFormat="1">
      <alignment horizontal="center" shrinkToFit="0" vertical="center" wrapText="0"/>
    </xf>
    <xf borderId="0" fillId="30" fontId="59" numFmtId="4" xfId="0" applyAlignment="1" applyFont="1" applyNumberFormat="1">
      <alignment horizontal="center" shrinkToFit="0" vertical="center" wrapText="0"/>
    </xf>
    <xf borderId="0" fillId="51" fontId="54" numFmtId="0" xfId="0" applyAlignment="1" applyFill="1" applyFont="1">
      <alignment readingOrder="0" shrinkToFit="0" vertical="center" wrapText="0"/>
    </xf>
    <xf borderId="0" fillId="51" fontId="54" numFmtId="164" xfId="0" applyAlignment="1" applyFont="1" applyNumberFormat="1">
      <alignment horizontal="center" readingOrder="0" shrinkToFit="0" vertical="center" wrapText="0"/>
    </xf>
    <xf borderId="0" fillId="18" fontId="48" numFmtId="164" xfId="0" applyAlignment="1" applyFont="1" applyNumberFormat="1">
      <alignment horizontal="center" readingOrder="0" shrinkToFit="0" vertical="center" wrapText="0"/>
    </xf>
    <xf borderId="0" fillId="30" fontId="46" numFmtId="0" xfId="0" applyAlignment="1" applyFont="1">
      <alignment shrinkToFit="0" wrapText="0"/>
    </xf>
    <xf borderId="0" fillId="30" fontId="58" numFmtId="4" xfId="0" applyAlignment="1" applyFont="1" applyNumberFormat="1">
      <alignment horizontal="center" readingOrder="0" shrinkToFit="0" vertical="center" wrapText="0"/>
    </xf>
    <xf borderId="0" fillId="30" fontId="59" numFmtId="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right" vertical="center"/>
    </xf>
    <xf borderId="0" fillId="0" fontId="8" numFmtId="0" xfId="0" applyAlignment="1" applyFont="1">
      <alignment horizontal="center" readingOrder="0" vertical="center"/>
    </xf>
    <xf borderId="41" fillId="30" fontId="60" numFmtId="0" xfId="0" applyAlignment="1" applyBorder="1" applyFont="1">
      <alignment horizontal="right" readingOrder="0" vertical="center"/>
    </xf>
    <xf borderId="0" fillId="9" fontId="8" numFmtId="0" xfId="0" applyAlignment="1" applyFont="1">
      <alignment horizontal="right" readingOrder="0" vertical="center"/>
    </xf>
    <xf borderId="41" fillId="30" fontId="61" numFmtId="0" xfId="0" applyAlignment="1" applyBorder="1" applyFont="1">
      <alignment horizontal="right" vertical="center"/>
    </xf>
    <xf borderId="0" fillId="0" fontId="9" numFmtId="0" xfId="0" applyAlignment="1" applyFont="1">
      <alignment horizontal="right" readingOrder="0" vertical="center"/>
    </xf>
    <xf borderId="0" fillId="0" fontId="9" numFmtId="168" xfId="0" applyAlignment="1" applyFont="1" applyNumberFormat="1">
      <alignment horizontal="center" readingOrder="0" vertical="center"/>
    </xf>
    <xf borderId="0" fillId="0" fontId="9" numFmtId="168" xfId="0" applyAlignment="1" applyFont="1" applyNumberFormat="1">
      <alignment horizontal="center" vertical="center"/>
    </xf>
    <xf borderId="42" fillId="30" fontId="61" numFmtId="0" xfId="0" applyAlignment="1" applyBorder="1" applyFont="1">
      <alignment horizontal="right" vertical="center"/>
    </xf>
    <xf borderId="0" fillId="9" fontId="62" numFmtId="0" xfId="0" applyAlignment="1" applyFont="1">
      <alignment horizontal="right" readingOrder="0" vertical="center"/>
    </xf>
    <xf borderId="0" fillId="9" fontId="62" numFmtId="168" xfId="0" applyAlignment="1" applyFont="1" applyNumberFormat="1">
      <alignment horizontal="center" vertical="center"/>
    </xf>
    <xf borderId="0" fillId="9" fontId="63" numFmtId="168" xfId="0" applyAlignment="1" applyFont="1" applyNumberFormat="1">
      <alignment horizontal="right" vertical="center"/>
    </xf>
    <xf borderId="0" fillId="13" fontId="8" numFmtId="0" xfId="0" applyAlignment="1" applyFont="1">
      <alignment horizontal="right" readingOrder="0" vertical="center"/>
    </xf>
    <xf borderId="0" fillId="13" fontId="9" numFmtId="0" xfId="0" applyAlignment="1" applyFont="1">
      <alignment horizontal="center" vertical="center"/>
    </xf>
    <xf borderId="43" fillId="30" fontId="61" numFmtId="0" xfId="0" applyAlignment="1" applyBorder="1" applyFont="1">
      <alignment horizontal="right" vertical="center"/>
    </xf>
    <xf borderId="0" fillId="13" fontId="62" numFmtId="0" xfId="0" applyAlignment="1" applyFont="1">
      <alignment horizontal="right" readingOrder="0" vertical="center"/>
    </xf>
    <xf borderId="0" fillId="13" fontId="62" numFmtId="168" xfId="0" applyAlignment="1" applyFont="1" applyNumberFormat="1">
      <alignment horizontal="center" vertical="center"/>
    </xf>
    <xf borderId="0" fillId="13" fontId="63" numFmtId="168" xfId="0" applyAlignment="1" applyFont="1" applyNumberFormat="1">
      <alignment horizontal="right" vertical="center"/>
    </xf>
    <xf borderId="0" fillId="19" fontId="8" numFmtId="0" xfId="0" applyAlignment="1" applyFont="1">
      <alignment horizontal="right" readingOrder="0" vertical="center"/>
    </xf>
    <xf borderId="0" fillId="19" fontId="9" numFmtId="0" xfId="0" applyAlignment="1" applyFont="1">
      <alignment horizontal="center" vertical="center"/>
    </xf>
    <xf borderId="0" fillId="19" fontId="62" numFmtId="0" xfId="0" applyAlignment="1" applyFont="1">
      <alignment horizontal="right" readingOrder="0" vertical="center"/>
    </xf>
    <xf borderId="0" fillId="19" fontId="62" numFmtId="168" xfId="0" applyAlignment="1" applyFont="1" applyNumberFormat="1">
      <alignment horizontal="center" vertical="center"/>
    </xf>
    <xf borderId="0" fillId="19" fontId="63" numFmtId="168" xfId="0" applyAlignment="1" applyFont="1" applyNumberFormat="1">
      <alignment horizontal="right" vertical="center"/>
    </xf>
    <xf borderId="0" fillId="0" fontId="53" numFmtId="0" xfId="0" applyAlignment="1" applyFont="1">
      <alignment horizontal="right" shrinkToFit="0" vertical="center" wrapText="1"/>
    </xf>
    <xf borderId="0" fillId="0" fontId="54" numFmtId="0" xfId="0" applyAlignment="1" applyFont="1">
      <alignment horizontal="center" readingOrder="0" shrinkToFit="0" vertical="center" wrapText="1"/>
    </xf>
    <xf borderId="41" fillId="30" fontId="54" numFmtId="0" xfId="0" applyAlignment="1" applyBorder="1" applyFont="1">
      <alignment horizontal="center" readingOrder="0" shrinkToFit="0" vertical="center" wrapText="1"/>
    </xf>
    <xf borderId="0" fillId="9" fontId="54" numFmtId="0" xfId="0" applyAlignment="1" applyFont="1">
      <alignment horizontal="right" readingOrder="0" shrinkToFit="0" vertical="center" wrapText="0"/>
    </xf>
    <xf borderId="0" fillId="9" fontId="54" numFmtId="0" xfId="0" applyAlignment="1" applyFont="1">
      <alignment horizontal="center" shrinkToFit="0" vertical="center" wrapText="0"/>
    </xf>
    <xf borderId="41" fillId="30" fontId="54" numFmtId="0" xfId="0" applyAlignment="1" applyBorder="1" applyFont="1">
      <alignment horizontal="center" shrinkToFit="0" vertical="center" wrapText="0"/>
    </xf>
    <xf borderId="0" fillId="0" fontId="50" numFmtId="0" xfId="0" applyAlignment="1" applyFont="1">
      <alignment horizontal="right" readingOrder="0" shrinkToFit="0" vertical="center" wrapText="0"/>
    </xf>
    <xf borderId="0" fillId="0" fontId="50" numFmtId="169" xfId="0" applyAlignment="1" applyFont="1" applyNumberFormat="1">
      <alignment horizontal="center" readingOrder="0" shrinkToFit="0" vertical="center" wrapText="0"/>
    </xf>
    <xf borderId="41" fillId="30" fontId="50" numFmtId="169" xfId="0" applyAlignment="1" applyBorder="1" applyFont="1" applyNumberFormat="1">
      <alignment horizontal="center" readingOrder="0" shrinkToFit="0" vertical="center" wrapText="0"/>
    </xf>
    <xf borderId="42" fillId="30" fontId="50" numFmtId="169" xfId="0" applyAlignment="1" applyBorder="1" applyFont="1" applyNumberFormat="1">
      <alignment horizontal="center" readingOrder="0" shrinkToFit="0" vertical="center" wrapText="0"/>
    </xf>
    <xf borderId="0" fillId="9" fontId="64" numFmtId="0" xfId="0" applyAlignment="1" applyFont="1">
      <alignment horizontal="right" readingOrder="0" shrinkToFit="0" vertical="center" wrapText="0"/>
    </xf>
    <xf borderId="0" fillId="9" fontId="64" numFmtId="169" xfId="0" applyAlignment="1" applyFont="1" applyNumberFormat="1">
      <alignment horizontal="center" shrinkToFit="0" vertical="center" wrapText="0"/>
    </xf>
    <xf borderId="0" fillId="9" fontId="65" numFmtId="169" xfId="0" applyAlignment="1" applyFont="1" applyNumberFormat="1">
      <alignment horizontal="center" shrinkToFit="0" vertical="center" wrapText="0"/>
    </xf>
    <xf borderId="0" fillId="13" fontId="54" numFmtId="0" xfId="0" applyAlignment="1" applyFont="1">
      <alignment horizontal="right" readingOrder="0" shrinkToFit="0" vertical="center" wrapText="0"/>
    </xf>
    <xf borderId="0" fillId="13" fontId="54" numFmtId="0" xfId="0" applyAlignment="1" applyFont="1">
      <alignment horizontal="center" shrinkToFit="0" vertical="center" wrapText="0"/>
    </xf>
    <xf borderId="43" fillId="30" fontId="54" numFmtId="0" xfId="0" applyAlignment="1" applyBorder="1" applyFont="1">
      <alignment horizontal="center" shrinkToFit="0" vertical="center" wrapText="0"/>
    </xf>
    <xf borderId="0" fillId="0" fontId="50" numFmtId="0" xfId="0" applyAlignment="1" applyFont="1">
      <alignment horizontal="right" shrinkToFit="0" vertical="center" wrapText="0"/>
    </xf>
    <xf borderId="0" fillId="0" fontId="50" numFmtId="169" xfId="0" applyAlignment="1" applyFont="1" applyNumberFormat="1">
      <alignment horizontal="center" readingOrder="0" shrinkToFit="0" vertical="center" wrapText="0"/>
    </xf>
    <xf borderId="0" fillId="13" fontId="64" numFmtId="0" xfId="0" applyAlignment="1" applyFont="1">
      <alignment horizontal="right" readingOrder="0" shrinkToFit="0" vertical="center" wrapText="0"/>
    </xf>
    <xf borderId="0" fillId="13" fontId="64" numFmtId="169" xfId="0" applyAlignment="1" applyFont="1" applyNumberFormat="1">
      <alignment horizontal="center" shrinkToFit="0" vertical="center" wrapText="0"/>
    </xf>
    <xf borderId="0" fillId="13" fontId="65" numFmtId="169" xfId="0" applyAlignment="1" applyFont="1" applyNumberFormat="1">
      <alignment horizontal="center" shrinkToFit="0" vertical="center" wrapText="0"/>
    </xf>
    <xf borderId="37" fillId="30" fontId="64" numFmtId="0" xfId="0" applyAlignment="1" applyBorder="1" applyFont="1">
      <alignment horizontal="right" readingOrder="0" shrinkToFit="0" vertical="center" wrapText="0"/>
    </xf>
    <xf borderId="37" fillId="30" fontId="64" numFmtId="169" xfId="0" applyAlignment="1" applyBorder="1" applyFont="1" applyNumberFormat="1">
      <alignment horizontal="center" shrinkToFit="0" vertical="center" wrapText="0"/>
    </xf>
    <xf borderId="0" fillId="49" fontId="64" numFmtId="169" xfId="0" applyAlignment="1" applyFont="1" applyNumberFormat="1">
      <alignment horizontal="right" readingOrder="0" shrinkToFit="0" vertical="center" wrapText="0"/>
    </xf>
    <xf borderId="0" fillId="49" fontId="65" numFmtId="169" xfId="0" applyAlignment="1" applyFont="1" applyNumberFormat="1">
      <alignment horizontal="right" shrinkToFit="0" vertical="center" wrapText="0"/>
    </xf>
    <xf borderId="0" fillId="49" fontId="64" numFmtId="169" xfId="0" applyAlignment="1" applyFont="1" applyNumberFormat="1">
      <alignment horizontal="right" readingOrder="0" shrinkToFit="0" vertical="center" wrapText="1"/>
    </xf>
    <xf borderId="44" fillId="30" fontId="66" numFmtId="0" xfId="0" applyAlignment="1" applyBorder="1" applyFont="1">
      <alignment shrinkToFit="0" vertical="center" wrapText="0"/>
    </xf>
    <xf borderId="45" fillId="52" fontId="67" numFmtId="0" xfId="0" applyAlignment="1" applyBorder="1" applyFill="1" applyFont="1">
      <alignment horizontal="center" shrinkToFit="0" vertical="center" wrapText="0"/>
    </xf>
    <xf borderId="46" fillId="0" fontId="22" numFmtId="0" xfId="0" applyBorder="1" applyFont="1"/>
    <xf borderId="46" fillId="53" fontId="67" numFmtId="0" xfId="0" applyAlignment="1" applyBorder="1" applyFill="1" applyFont="1">
      <alignment horizontal="center" shrinkToFit="0" vertical="center" wrapText="0"/>
    </xf>
    <xf borderId="45" fillId="54" fontId="67" numFmtId="0" xfId="0" applyAlignment="1" applyBorder="1" applyFill="1" applyFont="1">
      <alignment horizontal="center" shrinkToFit="0" vertical="center" wrapText="0"/>
    </xf>
    <xf borderId="47" fillId="0" fontId="22" numFmtId="0" xfId="0" applyBorder="1" applyFont="1"/>
    <xf borderId="0" fillId="55" fontId="67" numFmtId="0" xfId="0" applyAlignment="1" applyFill="1" applyFont="1">
      <alignment horizontal="center" readingOrder="0" shrinkToFit="0" vertical="center" wrapText="0"/>
    </xf>
    <xf borderId="45" fillId="53" fontId="67" numFmtId="0" xfId="0" applyAlignment="1" applyBorder="1" applyFont="1">
      <alignment horizontal="center" readingOrder="0" shrinkToFit="0" vertical="center" wrapText="0"/>
    </xf>
    <xf borderId="0" fillId="52" fontId="67" numFmtId="0" xfId="0" applyAlignment="1" applyFont="1">
      <alignment horizontal="center" readingOrder="0" shrinkToFit="0" vertical="center" wrapText="0"/>
    </xf>
    <xf borderId="45" fillId="52" fontId="67" numFmtId="0" xfId="0" applyAlignment="1" applyBorder="1" applyFont="1">
      <alignment horizontal="center" readingOrder="0" shrinkToFit="0" vertical="center" wrapText="0"/>
    </xf>
    <xf borderId="48" fillId="56" fontId="68" numFmtId="0" xfId="0" applyAlignment="1" applyBorder="1" applyFill="1" applyFont="1">
      <alignment horizontal="center" shrinkToFit="0" vertical="center" wrapText="0"/>
    </xf>
    <xf borderId="49" fillId="56" fontId="68" numFmtId="0" xfId="0" applyAlignment="1" applyBorder="1" applyFont="1">
      <alignment horizontal="center" shrinkToFit="0" vertical="center" wrapText="0"/>
    </xf>
    <xf borderId="50" fillId="57" fontId="68" numFmtId="0" xfId="0" applyAlignment="1" applyBorder="1" applyFill="1" applyFont="1">
      <alignment horizontal="center" shrinkToFit="0" vertical="center" wrapText="0"/>
    </xf>
    <xf borderId="48" fillId="57" fontId="68" numFmtId="0" xfId="0" applyAlignment="1" applyBorder="1" applyFont="1">
      <alignment horizontal="center" shrinkToFit="0" vertical="center" wrapText="0"/>
    </xf>
    <xf borderId="48" fillId="58" fontId="68" numFmtId="0" xfId="0" applyAlignment="1" applyBorder="1" applyFill="1" applyFont="1">
      <alignment horizontal="center" shrinkToFit="0" vertical="center" wrapText="0"/>
    </xf>
    <xf borderId="48" fillId="56" fontId="69" numFmtId="0" xfId="0" applyAlignment="1" applyBorder="1" applyFont="1">
      <alignment horizontal="center" shrinkToFit="0" vertical="center" wrapText="0"/>
    </xf>
    <xf borderId="48" fillId="57" fontId="69" numFmtId="0" xfId="0" applyAlignment="1" applyBorder="1" applyFont="1">
      <alignment horizontal="center" shrinkToFit="0" vertical="center" wrapText="0"/>
    </xf>
    <xf borderId="0" fillId="41" fontId="70" numFmtId="0" xfId="0" applyAlignment="1" applyFont="1">
      <alignment horizontal="left" readingOrder="0" shrinkToFit="0" vertical="center" wrapText="0"/>
    </xf>
    <xf borderId="0" fillId="41" fontId="71" numFmtId="170" xfId="0" applyAlignment="1" applyFont="1" applyNumberFormat="1">
      <alignment horizontal="center" readingOrder="0" shrinkToFit="0" vertical="center" wrapText="0"/>
    </xf>
    <xf borderId="0" fillId="41" fontId="70" numFmtId="171" xfId="0" applyAlignment="1" applyFont="1" applyNumberFormat="1">
      <alignment horizontal="left" readingOrder="0" shrinkToFit="0" vertical="center" wrapText="0"/>
    </xf>
    <xf borderId="0" fillId="41" fontId="70" numFmtId="171" xfId="0" applyAlignment="1" applyFont="1" applyNumberFormat="1">
      <alignment horizontal="left" readingOrder="0" shrinkToFit="0" vertical="center" wrapText="0"/>
    </xf>
    <xf borderId="0" fillId="41" fontId="71" numFmtId="170" xfId="0" applyAlignment="1" applyFont="1" applyNumberFormat="1">
      <alignment horizontal="center" shrinkToFit="0" vertical="center" wrapText="0"/>
    </xf>
    <xf borderId="0" fillId="0" fontId="46" numFmtId="172" xfId="0" applyAlignment="1" applyFont="1" applyNumberFormat="1">
      <alignment horizontal="center" readingOrder="0" shrinkToFit="0" vertical="center" wrapText="0"/>
    </xf>
    <xf borderId="0" fillId="0" fontId="46" numFmtId="172" xfId="0" applyAlignment="1" applyFont="1" applyNumberFormat="1">
      <alignment horizontal="center" shrinkToFit="0" vertical="center" wrapText="0"/>
    </xf>
    <xf borderId="37" fillId="30" fontId="22" numFmtId="0" xfId="0" applyBorder="1" applyFont="1"/>
    <xf borderId="0" fillId="41" fontId="2" numFmtId="0" xfId="0" applyAlignment="1" applyFont="1">
      <alignment horizontal="left" readingOrder="0" shrinkToFit="0" vertical="center" wrapText="0"/>
    </xf>
    <xf borderId="0" fillId="41" fontId="70" numFmtId="171" xfId="0" applyAlignment="1" applyFont="1" applyNumberFormat="1">
      <alignment horizontal="left" shrinkToFit="0" vertical="center" wrapText="0"/>
    </xf>
    <xf borderId="0" fillId="0" fontId="66" numFmtId="10" xfId="0" applyAlignment="1" applyFont="1" applyNumberFormat="1">
      <alignment horizontal="center" readingOrder="0" shrinkToFit="0" vertical="center" wrapText="0"/>
    </xf>
    <xf borderId="0" fillId="0" fontId="72" numFmtId="10" xfId="0" applyAlignment="1" applyFont="1" applyNumberFormat="1">
      <alignment horizontal="center" readingOrder="0" vertical="center"/>
    </xf>
    <xf borderId="0" fillId="0" fontId="66" numFmtId="10" xfId="0" applyAlignment="1" applyFont="1" applyNumberFormat="1">
      <alignment horizontal="center" shrinkToFit="0" vertical="center" wrapText="0"/>
    </xf>
    <xf borderId="0" fillId="41" fontId="70" numFmtId="172" xfId="0" applyAlignment="1" applyFont="1" applyNumberFormat="1">
      <alignment horizontal="left" shrinkToFit="0" vertical="center" wrapText="0"/>
    </xf>
    <xf borderId="48" fillId="57" fontId="69" numFmtId="0" xfId="0" applyAlignment="1" applyBorder="1" applyFont="1">
      <alignment horizontal="center" readingOrder="0" shrinkToFit="0" vertical="center" wrapText="0"/>
    </xf>
    <xf borderId="0" fillId="0" fontId="66" numFmtId="0" xfId="0" applyAlignment="1" applyFont="1">
      <alignment horizontal="center" readingOrder="0" shrinkToFit="0" vertical="center" wrapText="0"/>
    </xf>
    <xf borderId="0" fillId="0" fontId="66" numFmtId="0" xfId="0" applyAlignment="1" applyFont="1">
      <alignment horizontal="center" shrinkToFit="0" vertical="center" wrapText="0"/>
    </xf>
    <xf borderId="0" fillId="24" fontId="67" numFmtId="170" xfId="0" applyAlignment="1" applyFont="1" applyNumberFormat="1">
      <alignment horizontal="center" readingOrder="0" shrinkToFit="0" vertical="center" wrapText="0"/>
    </xf>
    <xf borderId="48" fillId="56" fontId="69" numFmtId="0" xfId="0" applyAlignment="1" applyBorder="1" applyFont="1">
      <alignment horizontal="center" readingOrder="0" shrinkToFit="0" vertical="center" wrapText="0"/>
    </xf>
    <xf borderId="0" fillId="0" fontId="70" numFmtId="172" xfId="0" applyAlignment="1" applyFont="1" applyNumberFormat="1">
      <alignment horizontal="left" readingOrder="0" shrinkToFit="0" vertical="center" wrapText="0"/>
    </xf>
    <xf borderId="0" fillId="0" fontId="71" numFmtId="170" xfId="0" applyAlignment="1" applyFont="1" applyNumberFormat="1">
      <alignment horizontal="center" readingOrder="0" shrinkToFit="0" vertical="center" wrapText="0"/>
    </xf>
    <xf borderId="0" fillId="0" fontId="70" numFmtId="171" xfId="0" applyAlignment="1" applyFont="1" applyNumberFormat="1">
      <alignment horizontal="left" shrinkToFit="0" vertical="center" wrapText="0"/>
    </xf>
    <xf borderId="0" fillId="0" fontId="71" numFmtId="170" xfId="0" applyAlignment="1" applyFont="1" applyNumberFormat="1">
      <alignment horizontal="center" shrinkToFit="0" vertical="center" wrapText="0"/>
    </xf>
    <xf borderId="0" fillId="0" fontId="70" numFmtId="171" xfId="0" applyAlignment="1" applyFont="1" applyNumberFormat="1">
      <alignment horizontal="left" shrinkToFit="0" vertical="center" wrapText="0"/>
    </xf>
    <xf borderId="0" fillId="0" fontId="66" numFmtId="170" xfId="0" applyAlignment="1" applyFont="1" applyNumberFormat="1">
      <alignment horizontal="center" shrinkToFit="0" vertical="center" wrapText="0"/>
    </xf>
    <xf borderId="44" fillId="30" fontId="22" numFmtId="0" xfId="0" applyAlignment="1" applyBorder="1" applyFont="1">
      <alignment vertical="center"/>
    </xf>
    <xf borderId="0" fillId="8" fontId="70" numFmtId="172" xfId="0" applyAlignment="1" applyFont="1" applyNumberFormat="1">
      <alignment horizontal="left" readingOrder="0" shrinkToFit="0" vertical="center" wrapText="0"/>
    </xf>
    <xf borderId="0" fillId="8" fontId="71" numFmtId="170" xfId="0" applyAlignment="1" applyFont="1" applyNumberFormat="1">
      <alignment horizontal="center" readingOrder="0" shrinkToFit="0" vertical="center" wrapText="0"/>
    </xf>
    <xf borderId="0" fillId="8" fontId="70" numFmtId="171" xfId="0" applyAlignment="1" applyFont="1" applyNumberFormat="1">
      <alignment horizontal="left" readingOrder="0" shrinkToFit="0" vertical="center" wrapText="0"/>
    </xf>
    <xf borderId="0" fillId="8" fontId="70" numFmtId="171" xfId="0" applyAlignment="1" applyFont="1" applyNumberFormat="1">
      <alignment horizontal="left" readingOrder="0" shrinkToFit="0" vertical="center" wrapText="0"/>
    </xf>
    <xf borderId="0" fillId="8" fontId="71" numFmtId="170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8" fontId="71" numFmtId="173" xfId="0" applyAlignment="1" applyFont="1" applyNumberFormat="1">
      <alignment horizontal="center" readingOrder="0" shrinkToFit="0" vertical="center" wrapText="0"/>
    </xf>
    <xf borderId="0" fillId="0" fontId="66" numFmtId="0" xfId="0" applyAlignment="1" applyFont="1">
      <alignment shrinkToFit="0" vertical="center" wrapText="0"/>
    </xf>
    <xf borderId="0" fillId="0" fontId="73" numFmtId="0" xfId="0" applyAlignment="1" applyFont="1">
      <alignment horizontal="center" readingOrder="0" vertical="center"/>
    </xf>
    <xf borderId="0" fillId="0" fontId="66" numFmtId="0" xfId="0" applyAlignment="1" applyFont="1">
      <alignment readingOrder="0" shrinkToFit="0" vertical="center" wrapText="0"/>
    </xf>
    <xf borderId="0" fillId="0" fontId="22" numFmtId="174" xfId="0" applyAlignment="1" applyFont="1" applyNumberFormat="1">
      <alignment vertical="center"/>
    </xf>
    <xf borderId="0" fillId="0" fontId="54" numFmtId="0" xfId="0" applyAlignment="1" applyFont="1">
      <alignment horizontal="left" readingOrder="0" shrinkToFit="0" vertical="center" wrapText="0"/>
    </xf>
    <xf borderId="0" fillId="0" fontId="70" numFmtId="171" xfId="0" applyAlignment="1" applyFont="1" applyNumberFormat="1">
      <alignment shrinkToFit="0" vertical="center" wrapText="0"/>
    </xf>
    <xf borderId="0" fillId="0" fontId="70" numFmtId="171" xfId="0" applyAlignment="1" applyFont="1" applyNumberFormat="1">
      <alignment shrinkToFit="0" vertical="center" wrapText="0"/>
    </xf>
    <xf borderId="51" fillId="4" fontId="54" numFmtId="0" xfId="0" applyAlignment="1" applyBorder="1" applyFont="1">
      <alignment horizontal="center" shrinkToFit="0" vertical="center" wrapText="0"/>
    </xf>
    <xf borderId="51" fillId="16" fontId="43" numFmtId="0" xfId="0" applyAlignment="1" applyBorder="1" applyFont="1">
      <alignment horizontal="center" shrinkToFit="0" vertical="center" wrapText="0"/>
    </xf>
    <xf borderId="51" fillId="4" fontId="2" numFmtId="0" xfId="0" applyAlignment="1" applyBorder="1" applyFont="1">
      <alignment horizontal="center" shrinkToFit="0" vertical="center" wrapText="0"/>
    </xf>
    <xf borderId="51" fillId="5" fontId="1" numFmtId="0" xfId="0" applyAlignment="1" applyBorder="1" applyFont="1">
      <alignment horizontal="center" readingOrder="0" shrinkToFit="0" vertical="center" wrapText="0"/>
    </xf>
    <xf borderId="51" fillId="6" fontId="1" numFmtId="0" xfId="0" applyAlignment="1" applyBorder="1" applyFont="1">
      <alignment horizontal="center" readingOrder="0" shrinkToFit="0" vertical="center" wrapText="0"/>
    </xf>
    <xf borderId="51" fillId="7" fontId="1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horizontal="center" shrinkToFit="0" vertical="center" wrapText="0"/>
    </xf>
    <xf borderId="51" fillId="0" fontId="28" numFmtId="0" xfId="0" applyAlignment="1" applyBorder="1" applyFont="1">
      <alignment shrinkToFit="0" vertical="center" wrapText="0"/>
    </xf>
    <xf borderId="52" fillId="59" fontId="28" numFmtId="0" xfId="0" applyAlignment="1" applyBorder="1" applyFill="1" applyFont="1">
      <alignment horizontal="left" shrinkToFit="0" vertical="center" wrapText="0"/>
    </xf>
    <xf borderId="53" fillId="59" fontId="28" numFmtId="169" xfId="0" applyAlignment="1" applyBorder="1" applyFont="1" applyNumberFormat="1">
      <alignment horizontal="center" shrinkToFit="0" vertical="center" wrapText="0"/>
    </xf>
    <xf borderId="52" fillId="59" fontId="28" numFmtId="169" xfId="0" applyAlignment="1" applyBorder="1" applyFont="1" applyNumberFormat="1">
      <alignment horizontal="center" shrinkToFit="0" vertical="center" wrapText="0"/>
    </xf>
    <xf borderId="52" fillId="59" fontId="28" numFmtId="169" xfId="0" applyAlignment="1" applyBorder="1" applyFont="1" applyNumberFormat="1">
      <alignment horizontal="center" readingOrder="0" shrinkToFit="0" vertical="center" wrapText="0"/>
    </xf>
    <xf borderId="0" fillId="0" fontId="28" numFmtId="169" xfId="0" applyAlignment="1" applyFont="1" applyNumberFormat="1">
      <alignment horizontal="center" shrinkToFit="0" vertical="center" wrapText="0"/>
    </xf>
    <xf borderId="54" fillId="0" fontId="28" numFmtId="0" xfId="0" applyAlignment="1" applyBorder="1" applyFont="1">
      <alignment shrinkToFit="0" vertical="center" wrapText="0"/>
    </xf>
    <xf borderId="55" fillId="59" fontId="28" numFmtId="0" xfId="0" applyAlignment="1" applyBorder="1" applyFont="1">
      <alignment horizontal="left" shrinkToFit="0" vertical="center" wrapText="0"/>
    </xf>
    <xf borderId="56" fillId="59" fontId="28" numFmtId="169" xfId="0" applyAlignment="1" applyBorder="1" applyFont="1" applyNumberFormat="1">
      <alignment horizontal="center" shrinkToFit="0" vertical="center" wrapText="0"/>
    </xf>
    <xf borderId="55" fillId="59" fontId="28" numFmtId="169" xfId="0" applyAlignment="1" applyBorder="1" applyFont="1" applyNumberFormat="1">
      <alignment horizontal="center" readingOrder="0" shrinkToFit="0" vertical="center" wrapText="0"/>
    </xf>
    <xf borderId="0" fillId="0" fontId="28" numFmtId="169" xfId="0" applyAlignment="1" applyFont="1" applyNumberFormat="1">
      <alignment horizontal="center" readingOrder="0" shrinkToFit="0" vertical="center" wrapText="0"/>
    </xf>
    <xf borderId="52" fillId="59" fontId="74" numFmtId="0" xfId="0" applyAlignment="1" applyBorder="1" applyFont="1">
      <alignment horizontal="left" shrinkToFit="0" vertical="center" wrapText="0"/>
    </xf>
    <xf borderId="53" fillId="59" fontId="74" numFmtId="169" xfId="0" applyAlignment="1" applyBorder="1" applyFont="1" applyNumberFormat="1">
      <alignment horizontal="center" shrinkToFit="0" vertical="center" wrapText="0"/>
    </xf>
    <xf borderId="52" fillId="59" fontId="74" numFmtId="169" xfId="0" applyAlignment="1" applyBorder="1" applyFont="1" applyNumberFormat="1">
      <alignment horizontal="center" shrinkToFit="0" vertical="center" wrapText="0"/>
    </xf>
    <xf borderId="57" fillId="0" fontId="45" numFmtId="0" xfId="0" applyAlignment="1" applyBorder="1" applyFont="1">
      <alignment shrinkToFit="0" vertical="center" wrapText="0"/>
    </xf>
    <xf borderId="52" fillId="59" fontId="45" numFmtId="169" xfId="0" applyAlignment="1" applyBorder="1" applyFont="1" applyNumberFormat="1">
      <alignment horizontal="center" shrinkToFit="0" vertical="center" wrapText="0"/>
    </xf>
    <xf borderId="58" fillId="16" fontId="43" numFmtId="0" xfId="0" applyAlignment="1" applyBorder="1" applyFont="1">
      <alignment horizontal="center" shrinkToFit="0" vertical="center" wrapText="0"/>
    </xf>
    <xf borderId="52" fillId="30" fontId="28" numFmtId="0" xfId="0" applyAlignment="1" applyBorder="1" applyFont="1">
      <alignment horizontal="left" shrinkToFit="0" vertical="center" wrapText="0"/>
    </xf>
    <xf borderId="53" fillId="30" fontId="28" numFmtId="169" xfId="0" applyAlignment="1" applyBorder="1" applyFont="1" applyNumberFormat="1">
      <alignment horizontal="center" shrinkToFit="0" vertical="center" wrapText="0"/>
    </xf>
    <xf borderId="52" fillId="30" fontId="28" numFmtId="169" xfId="0" applyAlignment="1" applyBorder="1" applyFont="1" applyNumberFormat="1">
      <alignment horizontal="center" shrinkToFit="0" vertical="center" wrapText="0"/>
    </xf>
    <xf borderId="55" fillId="30" fontId="28" numFmtId="0" xfId="0" applyAlignment="1" applyBorder="1" applyFont="1">
      <alignment horizontal="left" shrinkToFit="0" vertical="center" wrapText="0"/>
    </xf>
    <xf borderId="59" fillId="30" fontId="28" numFmtId="0" xfId="0" applyAlignment="1" applyBorder="1" applyFont="1">
      <alignment horizontal="left" shrinkToFit="0" vertical="center" wrapText="0"/>
    </xf>
    <xf borderId="56" fillId="30" fontId="28" numFmtId="169" xfId="0" applyAlignment="1" applyBorder="1" applyFont="1" applyNumberFormat="1">
      <alignment horizontal="center" shrinkToFit="0" vertical="center" wrapText="0"/>
    </xf>
    <xf borderId="53" fillId="30" fontId="74" numFmtId="169" xfId="0" applyAlignment="1" applyBorder="1" applyFont="1" applyNumberFormat="1">
      <alignment horizontal="center" shrinkToFit="0" vertical="center" wrapText="0"/>
    </xf>
    <xf borderId="52" fillId="30" fontId="74" numFmtId="169" xfId="0" applyAlignment="1" applyBorder="1" applyFont="1" applyNumberFormat="1">
      <alignment horizontal="center" shrinkToFit="0" vertical="center" wrapText="0"/>
    </xf>
    <xf borderId="51" fillId="30" fontId="28" numFmtId="0" xfId="0" applyAlignment="1" applyBorder="1" applyFont="1">
      <alignment horizontal="left" shrinkToFit="0" vertical="center" wrapText="0"/>
    </xf>
    <xf borderId="53" fillId="30" fontId="45" numFmtId="169" xfId="0" applyAlignment="1" applyBorder="1" applyFont="1" applyNumberFormat="1">
      <alignment horizontal="center" shrinkToFit="0" vertical="center" wrapText="0"/>
    </xf>
    <xf borderId="52" fillId="30" fontId="45" numFmtId="169" xfId="0" applyAlignment="1" applyBorder="1" applyFont="1" applyNumberFormat="1">
      <alignment horizontal="center" shrinkToFit="0" vertical="center" wrapText="0"/>
    </xf>
    <xf borderId="0" fillId="0" fontId="22" numFmtId="0" xfId="0" applyAlignment="1" applyFont="1">
      <alignment horizontal="center" vertical="center"/>
    </xf>
    <xf borderId="0" fillId="21" fontId="23" numFmtId="0" xfId="0" applyAlignment="1" applyFont="1">
      <alignment horizontal="center" readingOrder="0" vertical="center"/>
    </xf>
    <xf borderId="0" fillId="0" fontId="22" numFmtId="0" xfId="0" applyAlignment="1" applyFont="1">
      <alignment readingOrder="0"/>
    </xf>
    <xf borderId="60" fillId="41" fontId="75" numFmtId="0" xfId="0" applyAlignment="1" applyBorder="1" applyFont="1">
      <alignment readingOrder="0" vertical="top"/>
    </xf>
    <xf borderId="60" fillId="0" fontId="16" numFmtId="168" xfId="0" applyAlignment="1" applyBorder="1" applyFont="1" applyNumberFormat="1">
      <alignment horizontal="center" readingOrder="0" vertical="center"/>
    </xf>
    <xf borderId="60" fillId="41" fontId="16" numFmtId="168" xfId="0" applyAlignment="1" applyBorder="1" applyFont="1" applyNumberFormat="1">
      <alignment horizontal="center" readingOrder="0" vertical="center"/>
    </xf>
    <xf borderId="60" fillId="31" fontId="16" numFmtId="168" xfId="0" applyAlignment="1" applyBorder="1" applyFont="1" applyNumberFormat="1">
      <alignment horizontal="center" readingOrder="0" vertical="center"/>
    </xf>
    <xf borderId="60" fillId="0" fontId="19" numFmtId="168" xfId="0" applyAlignment="1" applyBorder="1" applyFont="1" applyNumberFormat="1">
      <alignment horizontal="center" readingOrder="0" vertical="center"/>
    </xf>
    <xf borderId="60" fillId="41" fontId="18" numFmtId="168" xfId="0" applyAlignment="1" applyBorder="1" applyFont="1" applyNumberFormat="1">
      <alignment horizontal="center" readingOrder="0" vertical="center"/>
    </xf>
    <xf borderId="60" fillId="0" fontId="18" numFmtId="168" xfId="0" applyAlignment="1" applyBorder="1" applyFont="1" applyNumberFormat="1">
      <alignment horizontal="center" readingOrder="0" vertical="center"/>
    </xf>
    <xf borderId="60" fillId="31" fontId="13" numFmtId="168" xfId="0" applyAlignment="1" applyBorder="1" applyFont="1" applyNumberFormat="1">
      <alignment horizontal="center" readingOrder="0" vertical="center"/>
    </xf>
    <xf borderId="60" fillId="0" fontId="18" numFmtId="168" xfId="0" applyAlignment="1" applyBorder="1" applyFont="1" applyNumberFormat="1">
      <alignment horizontal="center" vertical="center"/>
    </xf>
    <xf borderId="60" fillId="41" fontId="18" numFmtId="168" xfId="0" applyAlignment="1" applyBorder="1" applyFont="1" applyNumberFormat="1">
      <alignment horizontal="center" vertical="center"/>
    </xf>
    <xf borderId="61" fillId="31" fontId="13" numFmtId="168" xfId="0" applyAlignment="1" applyBorder="1" applyFont="1" applyNumberFormat="1">
      <alignment horizontal="center" readingOrder="0" vertical="center"/>
    </xf>
    <xf borderId="60" fillId="31" fontId="75" numFmtId="0" xfId="0" applyAlignment="1" applyBorder="1" applyFont="1">
      <alignment readingOrder="0" vertical="top"/>
    </xf>
    <xf borderId="62" fillId="31" fontId="60" numFmtId="168" xfId="0" applyAlignment="1" applyBorder="1" applyFont="1" applyNumberFormat="1">
      <alignment horizontal="center" vertical="center"/>
    </xf>
    <xf borderId="63" fillId="0" fontId="22" numFmtId="0" xfId="0" applyBorder="1" applyFont="1"/>
    <xf borderId="64" fillId="0" fontId="22" numFmtId="0" xfId="0" applyBorder="1" applyFont="1"/>
    <xf borderId="60" fillId="31" fontId="23" numFmtId="168" xfId="0" applyAlignment="1" applyBorder="1" applyFont="1" applyNumberFormat="1">
      <alignment horizontal="center" vertical="center"/>
    </xf>
    <xf borderId="0" fillId="46" fontId="23" numFmtId="0" xfId="0" applyAlignment="1" applyFont="1">
      <alignment horizontal="center" readingOrder="0" vertical="center"/>
    </xf>
    <xf borderId="60" fillId="9" fontId="75" numFmtId="0" xfId="0" applyAlignment="1" applyBorder="1" applyFont="1">
      <alignment readingOrder="0" vertical="top"/>
    </xf>
    <xf borderId="60" fillId="9" fontId="16" numFmtId="168" xfId="0" applyAlignment="1" applyBorder="1" applyFont="1" applyNumberFormat="1">
      <alignment horizontal="center" readingOrder="0" vertical="center"/>
    </xf>
    <xf borderId="60" fillId="9" fontId="13" numFmtId="168" xfId="0" applyAlignment="1" applyBorder="1" applyFont="1" applyNumberFormat="1">
      <alignment horizontal="center" readingOrder="0" vertical="center"/>
    </xf>
    <xf borderId="60" fillId="22" fontId="75" numFmtId="0" xfId="0" applyAlignment="1" applyBorder="1" applyFont="1">
      <alignment readingOrder="0" vertical="top"/>
    </xf>
    <xf borderId="62" fillId="22" fontId="60" numFmtId="168" xfId="0" applyAlignment="1" applyBorder="1" applyFont="1" applyNumberFormat="1">
      <alignment horizontal="center" vertical="center"/>
    </xf>
    <xf borderId="60" fillId="22" fontId="23" numFmtId="168" xfId="0" applyAlignment="1" applyBorder="1" applyFont="1" applyNumberFormat="1">
      <alignment horizontal="center" vertical="center"/>
    </xf>
    <xf borderId="0" fillId="0" fontId="75" numFmtId="0" xfId="0" applyAlignment="1" applyFont="1">
      <alignment readingOrder="0" vertical="top"/>
    </xf>
    <xf borderId="0" fillId="0" fontId="75" numFmtId="175" xfId="0" applyAlignment="1" applyFont="1" applyNumberFormat="1">
      <alignment horizontal="center" readingOrder="0" vertical="center"/>
    </xf>
    <xf borderId="0" fillId="0" fontId="75" numFmtId="166" xfId="0" applyAlignment="1" applyFont="1" applyNumberFormat="1">
      <alignment horizontal="center" readingOrder="0" vertical="center"/>
    </xf>
    <xf borderId="0" fillId="33" fontId="76" numFmtId="0" xfId="0" applyAlignment="1" applyFont="1">
      <alignment horizontal="right" readingOrder="0" vertical="center"/>
    </xf>
    <xf borderId="0" fillId="33" fontId="77" numFmtId="0" xfId="0" applyAlignment="1" applyFont="1">
      <alignment horizontal="center" readingOrder="0" vertical="center"/>
    </xf>
    <xf borderId="65" fillId="60" fontId="78" numFmtId="0" xfId="0" applyAlignment="1" applyBorder="1" applyFill="1" applyFont="1">
      <alignment horizontal="right" readingOrder="0" vertical="center"/>
    </xf>
    <xf borderId="65" fillId="60" fontId="79" numFmtId="0" xfId="0" applyAlignment="1" applyBorder="1" applyFont="1">
      <alignment horizontal="center" readingOrder="0" vertical="center"/>
    </xf>
    <xf borderId="65" fillId="60" fontId="80" numFmtId="168" xfId="0" applyAlignment="1" applyBorder="1" applyFont="1" applyNumberFormat="1">
      <alignment horizontal="center" readingOrder="0" vertical="center"/>
    </xf>
    <xf borderId="65" fillId="60" fontId="80" numFmtId="0" xfId="0" applyBorder="1" applyFont="1"/>
    <xf borderId="65" fillId="60" fontId="80" numFmtId="168" xfId="0" applyAlignment="1" applyBorder="1" applyFont="1" applyNumberFormat="1">
      <alignment horizontal="center" vertical="center"/>
    </xf>
    <xf borderId="0" fillId="33" fontId="80" numFmtId="168" xfId="0" applyAlignment="1" applyFont="1" applyNumberFormat="1">
      <alignment horizontal="center" readingOrder="0" vertical="center"/>
    </xf>
    <xf borderId="0" fillId="33" fontId="80" numFmtId="168" xfId="0" applyAlignment="1" applyFont="1" applyNumberFormat="1">
      <alignment horizontal="center" vertical="center"/>
    </xf>
    <xf borderId="0" fillId="33" fontId="76" numFmtId="0" xfId="0" applyAlignment="1" applyFont="1">
      <alignment horizontal="right" vertical="center"/>
    </xf>
    <xf borderId="0" fillId="33" fontId="81" numFmtId="168" xfId="0" applyAlignment="1" applyFont="1" applyNumberFormat="1">
      <alignment horizontal="center" vertical="center"/>
    </xf>
    <xf borderId="0" fillId="61" fontId="82" numFmtId="168" xfId="0" applyAlignment="1" applyFill="1" applyFont="1" applyNumberFormat="1">
      <alignment horizontal="center" readingOrder="0" vertical="center"/>
    </xf>
    <xf borderId="0" fillId="0" fontId="45" numFmtId="0" xfId="0" applyAlignment="1" applyFont="1">
      <alignment horizontal="center" shrinkToFit="0" vertical="center" wrapText="1"/>
    </xf>
    <xf borderId="0" fillId="0" fontId="45" numFmtId="168" xfId="0" applyAlignment="1" applyFont="1" applyNumberFormat="1">
      <alignment horizontal="center" shrinkToFit="0" vertical="center" wrapText="1"/>
    </xf>
    <xf borderId="0" fillId="0" fontId="28" numFmtId="0" xfId="0" applyAlignment="1" applyFont="1">
      <alignment vertical="center"/>
    </xf>
    <xf borderId="0" fillId="0" fontId="28" numFmtId="168" xfId="0" applyAlignment="1" applyFont="1" applyNumberFormat="1">
      <alignment vertical="center"/>
    </xf>
    <xf borderId="0" fillId="0" fontId="28" numFmtId="168" xfId="0" applyAlignment="1" applyFont="1" applyNumberFormat="1">
      <alignment shrinkToFit="0" vertical="center" wrapText="1"/>
    </xf>
    <xf borderId="0" fillId="0" fontId="28" numFmtId="176" xfId="0" applyAlignment="1" applyFont="1" applyNumberFormat="1">
      <alignment horizontal="center" vertical="center"/>
    </xf>
    <xf borderId="0" fillId="8" fontId="28" numFmtId="168" xfId="0" applyAlignment="1" applyFont="1" applyNumberFormat="1">
      <alignment horizontal="center" vertical="center"/>
    </xf>
    <xf borderId="0" fillId="0" fontId="28" numFmtId="168" xfId="0" applyAlignment="1" applyFont="1" applyNumberFormat="1">
      <alignment readingOrder="0" vertical="center"/>
    </xf>
    <xf borderId="0" fillId="19" fontId="28" numFmtId="0" xfId="0" applyAlignment="1" applyFont="1">
      <alignment horizontal="left" readingOrder="0" vertical="center"/>
    </xf>
    <xf borderId="0" fillId="19" fontId="28" numFmtId="168" xfId="0" applyAlignment="1" applyFont="1" applyNumberFormat="1">
      <alignment horizontal="left" readingOrder="0" vertical="center"/>
    </xf>
    <xf borderId="0" fillId="19" fontId="28" numFmtId="168" xfId="0" applyAlignment="1" applyFont="1" applyNumberFormat="1">
      <alignment horizontal="center" readingOrder="0" shrinkToFit="0" vertical="center" wrapText="1"/>
    </xf>
    <xf borderId="0" fillId="19" fontId="28" numFmtId="168" xfId="0" applyAlignment="1" applyFont="1" applyNumberFormat="1">
      <alignment horizontal="center" readingOrder="0" vertical="center"/>
    </xf>
    <xf borderId="0" fillId="19" fontId="28" numFmtId="168" xfId="0" applyAlignment="1" applyFont="1" applyNumberFormat="1">
      <alignment horizontal="center" vertical="center"/>
    </xf>
    <xf borderId="0" fillId="8" fontId="28" numFmtId="0" xfId="0" applyAlignment="1" applyFont="1">
      <alignment horizontal="left" readingOrder="0" vertical="center"/>
    </xf>
    <xf borderId="0" fillId="8" fontId="28" numFmtId="168" xfId="0" applyAlignment="1" applyFont="1" applyNumberFormat="1">
      <alignment horizontal="center" readingOrder="0" vertical="center"/>
    </xf>
    <xf borderId="0" fillId="0" fontId="28" numFmtId="168" xfId="0" applyAlignment="1" applyFont="1" applyNumberFormat="1">
      <alignment horizontal="center" readingOrder="0" shrinkToFit="0" vertical="center" wrapText="1"/>
    </xf>
    <xf borderId="0" fillId="0" fontId="28" numFmtId="168" xfId="0" applyAlignment="1" applyFont="1" applyNumberFormat="1">
      <alignment horizontal="left" readingOrder="0" vertical="center"/>
    </xf>
    <xf borderId="0" fillId="8" fontId="28" numFmtId="168" xfId="0" applyAlignment="1" applyFont="1" applyNumberFormat="1">
      <alignment horizontal="center" readingOrder="0" shrinkToFit="0" vertical="center" wrapText="1"/>
    </xf>
    <xf borderId="0" fillId="13" fontId="28" numFmtId="0" xfId="0" applyAlignment="1" applyFont="1">
      <alignment horizontal="left" readingOrder="0" vertical="center"/>
    </xf>
    <xf borderId="0" fillId="13" fontId="28" numFmtId="168" xfId="0" applyAlignment="1" applyFont="1" applyNumberFormat="1">
      <alignment horizontal="center" readingOrder="0" vertical="center"/>
    </xf>
    <xf borderId="0" fillId="13" fontId="28" numFmtId="168" xfId="0" applyAlignment="1" applyFont="1" applyNumberFormat="1">
      <alignment horizontal="center" readingOrder="0" shrinkToFit="0" vertical="center" wrapText="1"/>
    </xf>
    <xf borderId="0" fillId="13" fontId="28" numFmtId="168" xfId="0" applyAlignment="1" applyFont="1" applyNumberFormat="1">
      <alignment horizontal="center" vertical="center"/>
    </xf>
    <xf borderId="0" fillId="19" fontId="28" numFmtId="177" xfId="0" applyAlignment="1" applyFont="1" applyNumberFormat="1">
      <alignment horizontal="center" readingOrder="0" vertical="center"/>
    </xf>
    <xf borderId="0" fillId="24" fontId="28" numFmtId="0" xfId="0" applyAlignment="1" applyFont="1">
      <alignment horizontal="center" readingOrder="0" vertical="center"/>
    </xf>
    <xf borderId="0" fillId="24" fontId="83" numFmtId="178" xfId="0" applyAlignment="1" applyFont="1" applyNumberFormat="1">
      <alignment horizontal="right" readingOrder="0" shrinkToFit="0" vertical="bottom" wrapText="0"/>
    </xf>
    <xf borderId="0" fillId="24" fontId="28" numFmtId="168" xfId="0" applyAlignment="1" applyFont="1" applyNumberFormat="1">
      <alignment horizontal="center" readingOrder="0" vertical="center"/>
    </xf>
    <xf borderId="0" fillId="24" fontId="83" numFmtId="168" xfId="0" applyAlignment="1" applyFont="1" applyNumberFormat="1">
      <alignment readingOrder="0" shrinkToFit="0" vertical="bottom" wrapText="0"/>
    </xf>
    <xf borderId="0" fillId="8" fontId="28" numFmtId="0" xfId="0" applyAlignment="1" applyFont="1">
      <alignment horizontal="center" readingOrder="0" vertical="center"/>
    </xf>
    <xf borderId="0" fillId="0" fontId="83" numFmtId="178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horizontal="center"/>
    </xf>
    <xf borderId="0" fillId="0" fontId="83" numFmtId="168" xfId="0" applyAlignment="1" applyFont="1" applyNumberFormat="1">
      <alignment readingOrder="0" shrinkToFit="0" vertical="bottom" wrapText="0"/>
    </xf>
    <xf borderId="0" fillId="19" fontId="28" numFmtId="0" xfId="0" applyAlignment="1" applyFont="1">
      <alignment vertical="center"/>
    </xf>
    <xf borderId="0" fillId="19" fontId="28" numFmtId="168" xfId="0" applyAlignment="1" applyFont="1" applyNumberFormat="1">
      <alignment vertical="center"/>
    </xf>
    <xf borderId="0" fillId="19" fontId="28" numFmtId="168" xfId="0" applyAlignment="1" applyFont="1" applyNumberFormat="1">
      <alignment shrinkToFit="0" vertical="center" wrapText="1"/>
    </xf>
    <xf borderId="0" fillId="19" fontId="28" numFmtId="168" xfId="0" applyAlignment="1" applyFont="1" applyNumberFormat="1">
      <alignment readingOrder="0" vertical="center"/>
    </xf>
    <xf borderId="0" fillId="0" fontId="28" numFmtId="168" xfId="0" applyAlignment="1" applyFont="1" applyNumberFormat="1">
      <alignment shrinkToFit="0" vertical="center" wrapText="0"/>
    </xf>
    <xf borderId="0" fillId="19" fontId="28" numFmtId="0" xfId="0" applyAlignment="1" applyFont="1">
      <alignment readingOrder="0" vertical="center"/>
    </xf>
    <xf borderId="0" fillId="19" fontId="28" numFmtId="168" xfId="0" applyAlignment="1" applyFont="1" applyNumberFormat="1">
      <alignment readingOrder="0" shrinkToFit="0" vertical="center" wrapText="1"/>
    </xf>
    <xf borderId="0" fillId="19" fontId="28" numFmtId="176" xfId="0" applyAlignment="1" applyFont="1" applyNumberFormat="1">
      <alignment horizontal="center" readingOrder="0" vertical="center"/>
    </xf>
    <xf borderId="0" fillId="0" fontId="22" numFmtId="168" xfId="0" applyAlignment="1" applyFont="1" applyNumberFormat="1">
      <alignment readingOrder="0"/>
    </xf>
    <xf borderId="0" fillId="0" fontId="83" numFmtId="0" xfId="0" applyAlignment="1" applyFont="1">
      <alignment horizontal="right" readingOrder="0" shrinkToFit="0" vertical="bottom" wrapText="0"/>
    </xf>
    <xf borderId="0" fillId="33" fontId="22" numFmtId="168" xfId="0" applyFont="1" applyNumberFormat="1"/>
    <xf borderId="0" fillId="0" fontId="22" numFmtId="168" xfId="0" applyFont="1" applyNumberFormat="1"/>
    <xf borderId="0" fillId="0" fontId="81" numFmtId="168" xfId="0" applyAlignment="1" applyFont="1" applyNumberFormat="1">
      <alignment horizontal="center" vertical="center"/>
    </xf>
    <xf borderId="0" fillId="0" fontId="84" numFmtId="0" xfId="0" applyAlignment="1" applyFont="1">
      <alignment horizontal="center" readingOrder="0" vertical="center"/>
    </xf>
    <xf borderId="0" fillId="0" fontId="81" numFmtId="168" xfId="0" applyAlignment="1" applyFont="1" applyNumberFormat="1">
      <alignment horizontal="center" readingOrder="0" vertical="center"/>
    </xf>
    <xf borderId="0" fillId="0" fontId="85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83" numFmtId="179" xfId="0" applyAlignment="1" applyFont="1" applyNumberFormat="1">
      <alignment horizontal="right" readingOrder="0" shrinkToFit="0" vertical="bottom" wrapText="0"/>
    </xf>
    <xf borderId="0" fillId="0" fontId="85" numFmtId="0" xfId="0" applyAlignment="1" applyFont="1">
      <alignment horizontal="right" readingOrder="0" vertical="center"/>
    </xf>
    <xf borderId="0" fillId="0" fontId="86" numFmtId="0" xfId="0" applyAlignment="1" applyFont="1">
      <alignment horizontal="right" readingOrder="0" vertical="center"/>
    </xf>
    <xf borderId="0" fillId="0" fontId="83" numFmtId="168" xfId="0" applyAlignment="1" applyFont="1" applyNumberFormat="1">
      <alignment shrinkToFit="0" vertical="bottom" wrapText="0"/>
    </xf>
    <xf borderId="0" fillId="0" fontId="81" numFmtId="0" xfId="0" applyAlignment="1" applyFont="1">
      <alignment horizontal="center" vertical="center"/>
    </xf>
    <xf borderId="0" fillId="33" fontId="85" numFmtId="0" xfId="0" applyAlignment="1" applyFont="1">
      <alignment horizontal="right" readingOrder="0" vertical="center"/>
    </xf>
    <xf borderId="0" fillId="33" fontId="86" numFmtId="0" xfId="0" applyAlignment="1" applyFont="1">
      <alignment horizontal="right" readingOrder="0" vertical="center"/>
    </xf>
  </cellXfs>
  <cellStyles count="1">
    <cellStyle xfId="0" name="Normal" builtinId="0"/>
  </cellStyles>
  <dxfs count="1">
    <dxf>
      <font>
        <color rgb="FF91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gel Luis" id="{f73e4aed-4cda-4c03-9136-0b764016a6a2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6-08-19T16:30:29.00" personId="{f73e4aed-4cda-4c03-9136-0b764016a6a2}" id="{47795c2a-5387-4d1d-b2db-a291873c2d47}" done="1">
    <x18tc:text xml:space="preserve">FALTA COM. CONTRACTUAL EN TODA LA COLUMNA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V123" dT="2017-05-26T16:14:40.00" personId="{f73e4aed-4cda-4c03-9136-0b764016a6a2}" id="{3a79fb14-a7f9-41b9-9d49-25270cfacf8e}" done="0">
    <x18tc:text xml:space="preserve">Esperando ISML</x18tc:text>
  </x18tc:threadedComment>
  <x18tc:threadedComment ref="AA101" dT="2016-12-24T10:10:46.00" personId="{f73e4aed-4cda-4c03-9136-0b764016a6a2}" id="{61592e74-da33-49b0-a1d9-93f72952ab39}" done="1">
    <x18tc:text xml:space="preserve">Esperando ISML</x18tc:text>
  </x18tc:threadedComment>
  <x18tc:threadedComment ref="AA112" dT="2017-03-23T10:20:16.00" personId="{f73e4aed-4cda-4c03-9136-0b764016a6a2}" id="{18e13972-74b8-4b1e-9175-2c65a5eb94a4}" done="1">
    <x18tc:text xml:space="preserve">Esperando ISML</x18tc:text>
  </x18tc:threadedComment>
  <x18tc:threadedComment ref="AR112" dT="2017-03-30T10:28:30.00" personId="{f73e4aed-4cda-4c03-9136-0b764016a6a2}" id="{bfed0ecc-bd0d-4b2d-9c68-a51d3859ded0}" done="1">
    <x18tc:text xml:space="preserve">No coincide fact Assurant</x18tc:text>
  </x18tc:threadedComment>
  <x18tc:threadedComment ref="L3" dT="2016-08-22T17:00:05.00" personId="{f73e4aed-4cda-4c03-9136-0b764016a6a2}" id="{e68d5ee5-d284-4a6d-9ff5-46a5369685b4}" done="1">
    <x18tc:text xml:space="preserve">HAY QUE SUMAR TODAS LAS TVS (PALANCAS)</x18tc:text>
  </x18tc:threadedComment>
  <x18tc:threadedComment ref="AV90" dT="2017-01-04T18:41:09.00" personId="{f73e4aed-4cda-4c03-9136-0b764016a6a2}" id="{1ad8c393-5d3b-4db3-856a-edb0f8bcc893}" done="1">
    <x18tc:text xml:space="preserve">Esperando ISML</x18tc:text>
  </x18tc:threadedComment>
  <x18tc:threadedComment ref="F3" dT="2016-08-20T08:28:35.00" personId="{f73e4aed-4cda-4c03-9136-0b764016a6a2}" id="{68fb0c45-ce5e-4d67-b4d7-d0a1f0947627}" done="1">
    <x18tc:text xml:space="preserve">FALTA LA NACIONAL</x18tc:text>
  </x18tc:threadedComment>
  <x18tc:threadedComment ref="AV101" dT="2017-01-04T18:40:59.00" personId="{f73e4aed-4cda-4c03-9136-0b764016a6a2}" id="{0366df74-d1c5-4253-8883-e03aa468c920}" done="1">
    <x18tc:text xml:space="preserve">Esperando ISML</x18tc:text>
  </x18tc:threadedComment>
  <x18tc:threadedComment ref="AV112" dT="2017-03-25T12:22:51.00" personId="{f73e4aed-4cda-4c03-9136-0b764016a6a2}" id="{ce247343-af5f-4f66-8cb0-647e5feb0530}" done="0">
    <x18tc:text xml:space="preserve">Esperando ISML</x18tc:text>
  </x18tc:threadedComment>
  <x18tc:threadedComment ref="G3" dT="2016-08-20T08:28:42.00" personId="{f73e4aed-4cda-4c03-9136-0b764016a6a2}" id="{fc93455a-ba3b-4b8e-8a65-76352e530c3b}" done="1">
    <x18tc:text xml:space="preserve">FALTA LA NACIONAL</x18tc:text>
  </x18tc:threadedComment>
  <x18tc:threadedComment ref="AV79" dT="2017-01-04T18:41:34.00" personId="{f73e4aed-4cda-4c03-9136-0b764016a6a2}" id="{cd6c70af-e30d-43a8-adae-13712ebfdf52}" done="1">
    <x18tc:text xml:space="preserve">Esperando ISML</x18tc:text>
  </x18tc:threadedComment>
  <x18tc:threadedComment ref="D14" dT="2016-09-14T15:22:00.00" personId="{f73e4aed-4cda-4c03-9136-0b764016a6a2}" id="{0191558b-1708-4bcb-8a34-143009152fc8}" done="1">
    <x18tc:text xml:space="preserve">Falta Contractual ADSL</x18tc:text>
  </x18tc:threadedComment>
  <x18tc:threadedComment ref="AA90" dT="2016-12-16T10:56:39.00" personId="{f73e4aed-4cda-4c03-9136-0b764016a6a2}" id="{3bd7876c-a84c-45e4-b31d-e89485aa9dfa}" done="1">
    <x18tc:text xml:space="preserve">Esperando ISML</x18tc:text>
  </x18tc:threadedComment>
  <x18tc:threadedComment ref="AV134" dT="2017-06-06T09:09:10.00" personId="{f73e4aed-4cda-4c03-9136-0b764016a6a2}" id="{9b16dc5c-5cd1-4a31-9173-d4d80c185e2d}" done="0">
    <x18tc:text xml:space="preserve">ESPERANDO ISML</x18tc:text>
  </x18tc:threadedComment>
  <x18tc:threadedComment ref="D3" dT="2016-08-19T15:39:40.00" personId="{f73e4aed-4cda-4c03-9136-0b764016a6a2}" id="{976e86d6-c8c3-4978-b7f0-810c5df2829b}" done="1">
    <x18tc:text xml:space="preserve">FALTAN TODAS LAS CONTRACTUALES DE FIJA, AVERIGUAR COMO CRUZAR</x18tc:text>
  </x18tc:threadedComment>
  <x18tc:threadedComment ref="AR112" dT="2017-03-30T10:29:13.00" personId="{f73e4aed-4cda-4c03-9136-0b764016a6a2}" id="{b40d57ac-6878-47cd-b3ca-0a6392587407}" done="1">
    <x18tc:text xml:space="preserve">No coincide Assurant con EXcel</x18tc:text>
  </x18tc:threadedComment>
  <x18tc:threadedComment ref="E3" dT="2016-08-19T17:16:17.00" personId="{f73e4aed-4cda-4c03-9136-0b764016a6a2}" id="{60c4b25d-a0b0-474e-8203-3d4ab3ad216b}" done="1">
    <x18tc:text xml:space="preserve">FALTA COM. CONTRACTUAL EN TODA LA COLUMNA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iberdrola.es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vistar.es/mi-movista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9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0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9.0" topLeftCell="J1" activePane="topRight" state="frozen"/>
      <selection activeCell="K2" sqref="K2" pane="topRight"/>
    </sheetView>
  </sheetViews>
  <sheetFormatPr customHeight="1" defaultColWidth="15.13" defaultRowHeight="15.0"/>
  <cols>
    <col customWidth="1" min="1" max="1" width="6.5"/>
    <col customWidth="1" min="2" max="2" width="6.75"/>
    <col customWidth="1" min="3" max="4" width="6.5"/>
    <col customWidth="1" min="5" max="5" width="16.5"/>
    <col customWidth="1" min="6" max="6" width="8.0"/>
    <col customWidth="1" min="7" max="7" width="7.88"/>
    <col customWidth="1" min="8" max="8" width="8.13"/>
    <col customWidth="1" min="9" max="9" width="7.38"/>
    <col customWidth="1" min="10" max="11" width="5.88"/>
    <col customWidth="1" min="12" max="12" width="5.38"/>
    <col customWidth="1" min="13" max="13" width="7.13"/>
    <col customWidth="1" min="14" max="14" width="6.25"/>
    <col customWidth="1" min="15" max="15" width="6.13"/>
    <col customWidth="1" min="16" max="16" width="6.38"/>
    <col customWidth="1" min="17" max="17" width="8.13"/>
    <col customWidth="1" min="18" max="19" width="5.88"/>
    <col customWidth="1" min="20" max="20" width="5.38"/>
    <col customWidth="1" min="21" max="21" width="7.25"/>
    <col customWidth="1" min="22" max="23" width="5.88"/>
    <col customWidth="1" min="24" max="24" width="5.25"/>
    <col customWidth="1" min="25" max="25" width="7.0"/>
    <col customWidth="1" min="26" max="27" width="5.88"/>
    <col customWidth="1" min="28" max="28" width="5.25"/>
    <col customWidth="1" min="29" max="29" width="8.0"/>
    <col customWidth="1" min="30" max="31" width="5.88"/>
    <col customWidth="1" min="32" max="32" width="5.25"/>
    <col customWidth="1" min="33" max="33" width="7.0"/>
    <col customWidth="1" min="34" max="35" width="5.88"/>
    <col customWidth="1" min="36" max="36" width="5.25"/>
    <col customWidth="1" min="37" max="37" width="6.63"/>
    <col customWidth="1" min="38" max="40" width="6.25"/>
    <col customWidth="1" min="41" max="41" width="7.25"/>
    <col customWidth="1" min="42" max="42" width="6.13"/>
    <col customWidth="1" min="43" max="44" width="6.75"/>
    <col customWidth="1" min="45" max="45" width="8.88"/>
    <col customWidth="1" min="46" max="48" width="6.88"/>
    <col customWidth="1" min="49" max="49" width="8.63"/>
    <col customWidth="1" min="50" max="52" width="6.88"/>
    <col customWidth="1" min="53" max="53" width="8.63"/>
    <col customWidth="1" min="54" max="56" width="6.75"/>
    <col customWidth="1" min="57" max="57" width="7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5" t="s">
        <v>10</v>
      </c>
      <c r="L1" s="7" t="s">
        <v>11</v>
      </c>
      <c r="M1" s="3" t="s">
        <v>12</v>
      </c>
      <c r="N1" s="4" t="s">
        <v>13</v>
      </c>
      <c r="O1" s="5" t="s">
        <v>14</v>
      </c>
      <c r="P1" s="7" t="s">
        <v>15</v>
      </c>
      <c r="Q1" s="3" t="s">
        <v>16</v>
      </c>
      <c r="R1" s="4" t="s">
        <v>17</v>
      </c>
      <c r="S1" s="5" t="s">
        <v>18</v>
      </c>
      <c r="T1" s="7" t="s">
        <v>19</v>
      </c>
      <c r="U1" s="3" t="s">
        <v>20</v>
      </c>
      <c r="V1" s="4" t="s">
        <v>21</v>
      </c>
      <c r="W1" s="5" t="s">
        <v>22</v>
      </c>
      <c r="X1" s="7" t="s">
        <v>23</v>
      </c>
      <c r="Y1" s="3" t="s">
        <v>24</v>
      </c>
      <c r="Z1" s="4" t="s">
        <v>25</v>
      </c>
      <c r="AA1" s="5" t="s">
        <v>26</v>
      </c>
      <c r="AB1" s="7" t="s">
        <v>27</v>
      </c>
      <c r="AC1" s="3" t="s">
        <v>28</v>
      </c>
      <c r="AD1" s="4" t="s">
        <v>29</v>
      </c>
      <c r="AE1" s="5" t="s">
        <v>30</v>
      </c>
      <c r="AF1" s="7" t="s">
        <v>31</v>
      </c>
      <c r="AG1" s="3" t="s">
        <v>32</v>
      </c>
      <c r="AH1" s="4" t="s">
        <v>33</v>
      </c>
      <c r="AI1" s="5" t="s">
        <v>34</v>
      </c>
      <c r="AJ1" s="7" t="s">
        <v>35</v>
      </c>
      <c r="AK1" s="3" t="s">
        <v>36</v>
      </c>
      <c r="AL1" s="4" t="s">
        <v>37</v>
      </c>
      <c r="AM1" s="5" t="s">
        <v>38</v>
      </c>
      <c r="AN1" s="7" t="s">
        <v>39</v>
      </c>
      <c r="AO1" s="3" t="s">
        <v>40</v>
      </c>
      <c r="AP1" s="4" t="s">
        <v>41</v>
      </c>
      <c r="AQ1" s="5" t="s">
        <v>42</v>
      </c>
      <c r="AR1" s="6" t="s">
        <v>43</v>
      </c>
      <c r="AS1" s="3" t="s">
        <v>44</v>
      </c>
      <c r="AT1" s="4" t="s">
        <v>45</v>
      </c>
      <c r="AU1" s="5" t="s">
        <v>46</v>
      </c>
      <c r="AV1" s="7" t="s">
        <v>47</v>
      </c>
      <c r="AW1" s="3" t="s">
        <v>48</v>
      </c>
      <c r="AX1" s="4" t="s">
        <v>49</v>
      </c>
      <c r="AY1" s="5" t="s">
        <v>50</v>
      </c>
      <c r="AZ1" s="7" t="s">
        <v>51</v>
      </c>
      <c r="BA1" s="3" t="s">
        <v>52</v>
      </c>
      <c r="BB1" s="4" t="s">
        <v>53</v>
      </c>
      <c r="BC1" s="5" t="s">
        <v>54</v>
      </c>
      <c r="BD1" s="7" t="s">
        <v>55</v>
      </c>
      <c r="BE1" s="3" t="s">
        <v>56</v>
      </c>
    </row>
    <row r="2" ht="12.0" customHeight="1">
      <c r="A2" s="8">
        <v>30502.2</v>
      </c>
      <c r="B2" s="8">
        <v>30428.2</v>
      </c>
      <c r="C2" s="8">
        <v>30416.98</v>
      </c>
      <c r="D2" s="9">
        <f t="shared" ref="D2:D17" si="2">F2/12</f>
        <v>30763.15333</v>
      </c>
      <c r="E2" s="10" t="s">
        <v>57</v>
      </c>
      <c r="F2" s="11">
        <f t="shared" ref="F2:F18" si="3">M2+Q2+U2+Y2+AC2+AG2+AK2+AO2+AS2+AW2+BA2+BE2</f>
        <v>369157.84</v>
      </c>
      <c r="G2" s="12">
        <f t="shared" ref="G2:I2" si="1">J2+N2+R2+V2+Z2+AD2+AH2+AL2+AP2+AT2+AX2+BB2</f>
        <v>152592.93</v>
      </c>
      <c r="H2" s="13">
        <f t="shared" si="1"/>
        <v>197536.09</v>
      </c>
      <c r="I2" s="14">
        <f t="shared" si="1"/>
        <v>19028.82</v>
      </c>
      <c r="J2" s="15">
        <v>9500.61</v>
      </c>
      <c r="K2" s="15">
        <v>14095.83</v>
      </c>
      <c r="L2" s="15">
        <v>1355.27</v>
      </c>
      <c r="M2" s="16">
        <f t="shared" ref="M2:M15" si="5">J2+K2+L2</f>
        <v>24951.71</v>
      </c>
      <c r="N2" s="15">
        <v>9500.61</v>
      </c>
      <c r="O2" s="15">
        <v>13859.62</v>
      </c>
      <c r="P2" s="15">
        <v>1355.27</v>
      </c>
      <c r="Q2" s="16">
        <f t="shared" ref="Q2:Q15" si="6">N2+O2+P2</f>
        <v>24715.5</v>
      </c>
      <c r="R2" s="15">
        <v>9500.61</v>
      </c>
      <c r="S2" s="15">
        <v>14139.46</v>
      </c>
      <c r="T2" s="15">
        <v>1355.27</v>
      </c>
      <c r="U2" s="16">
        <f t="shared" ref="U2:U15" si="7">R2+S2+T2</f>
        <v>24995.34</v>
      </c>
      <c r="V2" s="15">
        <v>11679.22</v>
      </c>
      <c r="W2" s="15">
        <v>14143.96</v>
      </c>
      <c r="X2" s="15">
        <v>1347.83</v>
      </c>
      <c r="Y2" s="16">
        <f t="shared" ref="Y2:Y15" si="8">V2+W2+X2</f>
        <v>27171.01</v>
      </c>
      <c r="Z2" s="15">
        <v>10872.77</v>
      </c>
      <c r="AA2" s="15">
        <v>14735.03</v>
      </c>
      <c r="AB2" s="15">
        <v>1347.83</v>
      </c>
      <c r="AC2" s="16">
        <f t="shared" ref="AC2:AC15" si="9">Z2+AA2+AB2</f>
        <v>26955.63</v>
      </c>
      <c r="AD2" s="15">
        <v>11190.01</v>
      </c>
      <c r="AE2" s="15">
        <v>13768.93</v>
      </c>
      <c r="AF2" s="15">
        <v>1398.44</v>
      </c>
      <c r="AG2" s="16">
        <f t="shared" ref="AG2:AG15" si="10">AD2+AE2+AF2</f>
        <v>26357.38</v>
      </c>
      <c r="AH2" s="15">
        <v>20581.33</v>
      </c>
      <c r="AI2" s="15">
        <v>26313.48</v>
      </c>
      <c r="AJ2" s="15">
        <v>2705.52</v>
      </c>
      <c r="AK2" s="16">
        <f t="shared" ref="AK2:AK15" si="11">AH2+AI2+AJ2</f>
        <v>49600.33</v>
      </c>
      <c r="AL2" s="15">
        <v>12234.82</v>
      </c>
      <c r="AM2" s="15">
        <v>15830.22</v>
      </c>
      <c r="AN2" s="15">
        <v>1371.16</v>
      </c>
      <c r="AO2" s="16">
        <f t="shared" ref="AO2:AO15" si="12">AL2+AM2+AN2</f>
        <v>29436.2</v>
      </c>
      <c r="AP2" s="15">
        <v>11705.18</v>
      </c>
      <c r="AQ2" s="15">
        <v>15647.33</v>
      </c>
      <c r="AR2" s="15">
        <v>1371.16</v>
      </c>
      <c r="AS2" s="16">
        <f t="shared" ref="AS2:AS15" si="13">AP2+AQ2+AR2</f>
        <v>28723.67</v>
      </c>
      <c r="AT2" s="15">
        <v>12079.18</v>
      </c>
      <c r="AU2" s="15">
        <v>14218.68</v>
      </c>
      <c r="AV2" s="15">
        <v>1371.16</v>
      </c>
      <c r="AW2" s="16">
        <f t="shared" ref="AW2:AW15" si="14">AT2+AU2+AV2</f>
        <v>27669.02</v>
      </c>
      <c r="AX2" s="15">
        <v>12983.3</v>
      </c>
      <c r="AY2" s="15">
        <v>15133.08</v>
      </c>
      <c r="AZ2" s="15">
        <v>1371.16</v>
      </c>
      <c r="BA2" s="16">
        <f t="shared" ref="BA2:BA15" si="15">AX2+AY2+AZ2</f>
        <v>29487.54</v>
      </c>
      <c r="BB2" s="15">
        <v>20765.29</v>
      </c>
      <c r="BC2" s="15">
        <v>25650.47</v>
      </c>
      <c r="BD2" s="15">
        <v>2678.75</v>
      </c>
      <c r="BE2" s="16">
        <f t="shared" ref="BE2:BE15" si="16">BB2+BC2+BD2</f>
        <v>49094.51</v>
      </c>
    </row>
    <row r="3" ht="12.0" customHeight="1">
      <c r="A3" s="8">
        <v>8379.53</v>
      </c>
      <c r="B3" s="8">
        <v>8988.94</v>
      </c>
      <c r="C3" s="8">
        <v>8590.61</v>
      </c>
      <c r="D3" s="17">
        <f t="shared" si="2"/>
        <v>9028.574167</v>
      </c>
      <c r="E3" s="18" t="s">
        <v>58</v>
      </c>
      <c r="F3" s="11">
        <f t="shared" si="3"/>
        <v>108342.89</v>
      </c>
      <c r="G3" s="12">
        <f t="shared" ref="G3:I3" si="4">J3+N3+R3+V3+Z3+AD3+AH3+AL3+AP3+AT3+AX3+BB3</f>
        <v>47913.59</v>
      </c>
      <c r="H3" s="13">
        <f t="shared" si="4"/>
        <v>59942.75</v>
      </c>
      <c r="I3" s="14">
        <f t="shared" si="4"/>
        <v>486.55</v>
      </c>
      <c r="J3" s="15">
        <v>3430.85</v>
      </c>
      <c r="K3" s="15">
        <v>4995.31</v>
      </c>
      <c r="L3" s="15">
        <v>34.26</v>
      </c>
      <c r="M3" s="16">
        <f t="shared" si="5"/>
        <v>8460.42</v>
      </c>
      <c r="N3" s="15">
        <v>3430.85</v>
      </c>
      <c r="O3" s="15">
        <v>4863.6</v>
      </c>
      <c r="P3" s="15">
        <v>34.26</v>
      </c>
      <c r="Q3" s="16">
        <f t="shared" si="6"/>
        <v>8328.71</v>
      </c>
      <c r="R3" s="15">
        <v>3430.85</v>
      </c>
      <c r="S3" s="15">
        <v>5008.95</v>
      </c>
      <c r="T3" s="15">
        <v>34.26</v>
      </c>
      <c r="U3" s="16">
        <f t="shared" si="7"/>
        <v>8474.06</v>
      </c>
      <c r="V3" s="15">
        <v>3793.47</v>
      </c>
      <c r="W3" s="15">
        <v>5004.96</v>
      </c>
      <c r="X3" s="15">
        <v>32.63</v>
      </c>
      <c r="Y3" s="16">
        <f t="shared" si="8"/>
        <v>8831.06</v>
      </c>
      <c r="Z3" s="15">
        <v>3635.76</v>
      </c>
      <c r="AA3" s="15">
        <v>5004.96</v>
      </c>
      <c r="AB3" s="15">
        <v>32.63</v>
      </c>
      <c r="AC3" s="16">
        <f t="shared" si="9"/>
        <v>8673.35</v>
      </c>
      <c r="AD3" s="15">
        <v>4032.28</v>
      </c>
      <c r="AE3" s="15">
        <v>4955.0</v>
      </c>
      <c r="AF3" s="15">
        <v>50.18</v>
      </c>
      <c r="AG3" s="16">
        <f t="shared" si="10"/>
        <v>9037.46</v>
      </c>
      <c r="AH3" s="15">
        <v>4032.28</v>
      </c>
      <c r="AI3" s="15">
        <v>4973.0</v>
      </c>
      <c r="AJ3" s="15">
        <v>50.18</v>
      </c>
      <c r="AK3" s="16">
        <f t="shared" si="11"/>
        <v>9055.46</v>
      </c>
      <c r="AL3" s="15">
        <v>4382.61</v>
      </c>
      <c r="AM3" s="15">
        <v>5621.42</v>
      </c>
      <c r="AN3" s="15">
        <v>43.63</v>
      </c>
      <c r="AO3" s="16">
        <f t="shared" si="12"/>
        <v>10047.66</v>
      </c>
      <c r="AP3" s="15">
        <v>4382.61</v>
      </c>
      <c r="AQ3" s="15">
        <v>5203.03</v>
      </c>
      <c r="AR3" s="15">
        <v>43.63</v>
      </c>
      <c r="AS3" s="16">
        <f t="shared" si="13"/>
        <v>9629.27</v>
      </c>
      <c r="AT3" s="15">
        <v>4312.61</v>
      </c>
      <c r="AU3" s="15">
        <v>4756.84</v>
      </c>
      <c r="AV3" s="15">
        <v>43.63</v>
      </c>
      <c r="AW3" s="16">
        <f t="shared" si="14"/>
        <v>9113.08</v>
      </c>
      <c r="AX3" s="15">
        <v>4501.21</v>
      </c>
      <c r="AY3" s="15">
        <v>4756.84</v>
      </c>
      <c r="AZ3" s="15">
        <v>43.63</v>
      </c>
      <c r="BA3" s="16">
        <f t="shared" si="15"/>
        <v>9301.68</v>
      </c>
      <c r="BB3" s="15">
        <v>4548.21</v>
      </c>
      <c r="BC3" s="15">
        <v>4798.84</v>
      </c>
      <c r="BD3" s="15">
        <v>43.63</v>
      </c>
      <c r="BE3" s="16">
        <f t="shared" si="16"/>
        <v>9390.68</v>
      </c>
    </row>
    <row r="4" ht="12.0" customHeight="1">
      <c r="A4" s="8">
        <v>7078.55</v>
      </c>
      <c r="B4" s="8">
        <v>5971.87</v>
      </c>
      <c r="C4" s="8">
        <v>5292.21</v>
      </c>
      <c r="D4" s="19">
        <f t="shared" si="2"/>
        <v>5349.911667</v>
      </c>
      <c r="E4" s="20" t="s">
        <v>59</v>
      </c>
      <c r="F4" s="11">
        <f t="shared" si="3"/>
        <v>64198.94</v>
      </c>
      <c r="G4" s="12">
        <f t="shared" ref="G4:I4" si="17">J4+N4+R4+V4+Z4+AD4+AH4+AL4+AP4+AT4+AX4+BB4</f>
        <v>10485.6</v>
      </c>
      <c r="H4" s="13">
        <f t="shared" si="17"/>
        <v>42913.34</v>
      </c>
      <c r="I4" s="14">
        <f t="shared" si="17"/>
        <v>10800</v>
      </c>
      <c r="J4" s="21">
        <v>873.8</v>
      </c>
      <c r="K4" s="22">
        <v>3540.9</v>
      </c>
      <c r="L4" s="22">
        <v>900.0</v>
      </c>
      <c r="M4" s="23">
        <f t="shared" si="5"/>
        <v>5314.7</v>
      </c>
      <c r="N4" s="21">
        <v>873.8</v>
      </c>
      <c r="O4" s="22">
        <v>3540.9</v>
      </c>
      <c r="P4" s="22">
        <v>900.0</v>
      </c>
      <c r="Q4" s="23">
        <f t="shared" si="6"/>
        <v>5314.7</v>
      </c>
      <c r="R4" s="21">
        <v>873.8</v>
      </c>
      <c r="S4" s="22">
        <v>3540.9</v>
      </c>
      <c r="T4" s="22">
        <v>900.0</v>
      </c>
      <c r="U4" s="23">
        <f t="shared" si="7"/>
        <v>5314.7</v>
      </c>
      <c r="V4" s="21">
        <v>873.8</v>
      </c>
      <c r="W4" s="22">
        <v>3540.9</v>
      </c>
      <c r="X4" s="22">
        <v>900.0</v>
      </c>
      <c r="Y4" s="23">
        <f t="shared" si="8"/>
        <v>5314.7</v>
      </c>
      <c r="Z4" s="21">
        <v>873.8</v>
      </c>
      <c r="AA4" s="22">
        <v>3540.9</v>
      </c>
      <c r="AB4" s="22">
        <v>900.0</v>
      </c>
      <c r="AC4" s="23">
        <f t="shared" si="9"/>
        <v>5314.7</v>
      </c>
      <c r="AD4" s="21">
        <v>873.8</v>
      </c>
      <c r="AE4" s="22">
        <v>3540.9</v>
      </c>
      <c r="AF4" s="22">
        <v>900.0</v>
      </c>
      <c r="AG4" s="23">
        <f t="shared" si="10"/>
        <v>5314.7</v>
      </c>
      <c r="AH4" s="21">
        <v>873.8</v>
      </c>
      <c r="AI4" s="22">
        <v>3540.9</v>
      </c>
      <c r="AJ4" s="22">
        <v>900.0</v>
      </c>
      <c r="AK4" s="23">
        <f t="shared" si="11"/>
        <v>5314.7</v>
      </c>
      <c r="AL4" s="15">
        <v>873.8</v>
      </c>
      <c r="AM4" s="15">
        <v>3623.8</v>
      </c>
      <c r="AN4" s="15">
        <v>900.0</v>
      </c>
      <c r="AO4" s="16">
        <f t="shared" si="12"/>
        <v>5397.6</v>
      </c>
      <c r="AP4" s="15">
        <v>873.8</v>
      </c>
      <c r="AQ4" s="15">
        <v>3623.8</v>
      </c>
      <c r="AR4" s="15">
        <v>900.0</v>
      </c>
      <c r="AS4" s="16">
        <f t="shared" si="13"/>
        <v>5397.6</v>
      </c>
      <c r="AT4" s="15">
        <v>873.8</v>
      </c>
      <c r="AU4" s="15">
        <v>3623.8</v>
      </c>
      <c r="AV4" s="15">
        <v>900.0</v>
      </c>
      <c r="AW4" s="16">
        <f t="shared" si="14"/>
        <v>5397.6</v>
      </c>
      <c r="AX4" s="15">
        <v>873.8</v>
      </c>
      <c r="AY4" s="15">
        <v>3627.82</v>
      </c>
      <c r="AZ4" s="15">
        <v>900.0</v>
      </c>
      <c r="BA4" s="16">
        <f t="shared" si="15"/>
        <v>5401.62</v>
      </c>
      <c r="BB4" s="15">
        <v>873.8</v>
      </c>
      <c r="BC4" s="15">
        <v>3627.82</v>
      </c>
      <c r="BD4" s="15">
        <v>900.0</v>
      </c>
      <c r="BE4" s="16">
        <f t="shared" si="16"/>
        <v>5401.62</v>
      </c>
    </row>
    <row r="5" ht="12.0" customHeight="1">
      <c r="A5" s="8">
        <v>849.29</v>
      </c>
      <c r="B5" s="8">
        <v>579.41</v>
      </c>
      <c r="C5" s="8">
        <v>655.73</v>
      </c>
      <c r="D5" s="17">
        <f t="shared" si="2"/>
        <v>660.0566667</v>
      </c>
      <c r="E5" s="18" t="s">
        <v>60</v>
      </c>
      <c r="F5" s="11">
        <f t="shared" si="3"/>
        <v>7920.68</v>
      </c>
      <c r="G5" s="12">
        <f t="shared" ref="G5:I5" si="18">J5+N5+R5+V5+Z5+AD5+AH5+AL5+AP5+AT5+AX5+BB5</f>
        <v>1207.22</v>
      </c>
      <c r="H5" s="13">
        <f t="shared" si="18"/>
        <v>5856.34</v>
      </c>
      <c r="I5" s="14">
        <f t="shared" si="18"/>
        <v>857.12</v>
      </c>
      <c r="J5" s="15">
        <v>120.25</v>
      </c>
      <c r="K5" s="15">
        <v>484.99</v>
      </c>
      <c r="L5" s="15">
        <v>0.0</v>
      </c>
      <c r="M5" s="16">
        <f t="shared" si="5"/>
        <v>605.24</v>
      </c>
      <c r="N5" s="15">
        <v>128.86</v>
      </c>
      <c r="O5" s="15">
        <v>493.96</v>
      </c>
      <c r="P5" s="15">
        <v>114.09</v>
      </c>
      <c r="Q5" s="16">
        <f t="shared" si="6"/>
        <v>736.91</v>
      </c>
      <c r="R5" s="15">
        <v>86.9</v>
      </c>
      <c r="S5" s="15">
        <v>687.96</v>
      </c>
      <c r="T5" s="15">
        <v>74.87</v>
      </c>
      <c r="U5" s="16">
        <f t="shared" si="7"/>
        <v>849.73</v>
      </c>
      <c r="V5" s="15">
        <v>131.62</v>
      </c>
      <c r="W5" s="15">
        <v>397.35</v>
      </c>
      <c r="X5" s="15">
        <v>77.82</v>
      </c>
      <c r="Y5" s="16">
        <f t="shared" si="8"/>
        <v>606.79</v>
      </c>
      <c r="Z5" s="15">
        <v>80.42</v>
      </c>
      <c r="AA5" s="15">
        <v>520.66</v>
      </c>
      <c r="AB5" s="15">
        <v>74.58</v>
      </c>
      <c r="AC5" s="16">
        <f t="shared" si="9"/>
        <v>675.66</v>
      </c>
      <c r="AD5" s="15">
        <v>76.34</v>
      </c>
      <c r="AE5" s="15">
        <v>299.51</v>
      </c>
      <c r="AF5" s="15">
        <v>79.43</v>
      </c>
      <c r="AG5" s="16">
        <f t="shared" si="10"/>
        <v>455.28</v>
      </c>
      <c r="AH5" s="15">
        <v>88.12</v>
      </c>
      <c r="AI5" s="15">
        <v>617.71</v>
      </c>
      <c r="AJ5" s="15">
        <v>84.01</v>
      </c>
      <c r="AK5" s="16">
        <f t="shared" si="11"/>
        <v>789.84</v>
      </c>
      <c r="AL5" s="15">
        <v>109.9</v>
      </c>
      <c r="AM5" s="15">
        <v>377.54</v>
      </c>
      <c r="AN5" s="15">
        <v>73.61</v>
      </c>
      <c r="AO5" s="16">
        <f t="shared" si="12"/>
        <v>561.05</v>
      </c>
      <c r="AP5" s="15">
        <v>109.69</v>
      </c>
      <c r="AQ5" s="15">
        <v>640.21</v>
      </c>
      <c r="AR5" s="15">
        <v>147.56</v>
      </c>
      <c r="AS5" s="16">
        <f t="shared" si="13"/>
        <v>897.46</v>
      </c>
      <c r="AT5" s="15">
        <v>84.28</v>
      </c>
      <c r="AU5" s="15">
        <v>383.8</v>
      </c>
      <c r="AV5" s="15">
        <v>0.0</v>
      </c>
      <c r="AW5" s="16">
        <f t="shared" si="14"/>
        <v>468.08</v>
      </c>
      <c r="AX5" s="15">
        <v>79.21</v>
      </c>
      <c r="AY5" s="15">
        <v>754.75</v>
      </c>
      <c r="AZ5" s="15">
        <v>115.89</v>
      </c>
      <c r="BA5" s="16">
        <f t="shared" si="15"/>
        <v>949.85</v>
      </c>
      <c r="BB5" s="15">
        <v>111.63</v>
      </c>
      <c r="BC5" s="15">
        <v>197.9</v>
      </c>
      <c r="BD5" s="15">
        <v>15.26</v>
      </c>
      <c r="BE5" s="16">
        <f t="shared" si="16"/>
        <v>324.79</v>
      </c>
    </row>
    <row r="6" ht="12.0" customHeight="1">
      <c r="A6" s="8">
        <v>837.9</v>
      </c>
      <c r="B6" s="8">
        <v>796.42</v>
      </c>
      <c r="C6" s="8">
        <v>667.77</v>
      </c>
      <c r="D6" s="17">
        <f t="shared" si="2"/>
        <v>693.7108333</v>
      </c>
      <c r="E6" s="18" t="s">
        <v>61</v>
      </c>
      <c r="F6" s="11">
        <f t="shared" si="3"/>
        <v>8324.53</v>
      </c>
      <c r="G6" s="12">
        <f t="shared" ref="G6:I6" si="19">J6+N6+R6+V6+Z6+AD6+AH6+AL6+AP6+AT6+AX6+BB6</f>
        <v>7547.64</v>
      </c>
      <c r="H6" s="13">
        <f t="shared" si="19"/>
        <v>776.89</v>
      </c>
      <c r="I6" s="14">
        <f t="shared" si="19"/>
        <v>0</v>
      </c>
      <c r="J6" s="15">
        <v>541.94</v>
      </c>
      <c r="K6" s="15">
        <v>0.0</v>
      </c>
      <c r="L6" s="15">
        <v>0.0</v>
      </c>
      <c r="M6" s="16">
        <f t="shared" si="5"/>
        <v>541.94</v>
      </c>
      <c r="N6" s="15">
        <v>660.64</v>
      </c>
      <c r="O6" s="15">
        <v>0.0</v>
      </c>
      <c r="P6" s="15">
        <v>0.0</v>
      </c>
      <c r="Q6" s="16">
        <f t="shared" si="6"/>
        <v>660.64</v>
      </c>
      <c r="R6" s="15">
        <v>658.5</v>
      </c>
      <c r="S6" s="15">
        <v>0.0</v>
      </c>
      <c r="T6" s="15">
        <v>0.0</v>
      </c>
      <c r="U6" s="16">
        <f t="shared" si="7"/>
        <v>658.5</v>
      </c>
      <c r="V6" s="15">
        <v>498.73</v>
      </c>
      <c r="W6" s="15">
        <v>0.0</v>
      </c>
      <c r="X6" s="15">
        <v>0.0</v>
      </c>
      <c r="Y6" s="16">
        <f t="shared" si="8"/>
        <v>498.73</v>
      </c>
      <c r="Z6" s="15">
        <v>882.27</v>
      </c>
      <c r="AA6" s="15">
        <v>0.0</v>
      </c>
      <c r="AB6" s="15">
        <v>0.0</v>
      </c>
      <c r="AC6" s="16">
        <f t="shared" si="9"/>
        <v>882.27</v>
      </c>
      <c r="AD6" s="15">
        <v>990.69</v>
      </c>
      <c r="AE6" s="15">
        <v>0.0</v>
      </c>
      <c r="AF6" s="15">
        <v>0.0</v>
      </c>
      <c r="AG6" s="16">
        <f t="shared" si="10"/>
        <v>990.69</v>
      </c>
      <c r="AH6" s="15">
        <v>628.46</v>
      </c>
      <c r="AI6" s="15">
        <v>0.0</v>
      </c>
      <c r="AJ6" s="15">
        <v>0.0</v>
      </c>
      <c r="AK6" s="16">
        <f t="shared" si="11"/>
        <v>628.46</v>
      </c>
      <c r="AL6" s="15">
        <v>706.77</v>
      </c>
      <c r="AM6" s="15">
        <v>0.0</v>
      </c>
      <c r="AN6" s="15">
        <v>0.0</v>
      </c>
      <c r="AO6" s="16">
        <f t="shared" si="12"/>
        <v>706.77</v>
      </c>
      <c r="AP6" s="15">
        <v>0.0</v>
      </c>
      <c r="AQ6" s="15">
        <v>776.89</v>
      </c>
      <c r="AR6" s="15">
        <v>0.0</v>
      </c>
      <c r="AS6" s="16">
        <f t="shared" si="13"/>
        <v>776.89</v>
      </c>
      <c r="AT6" s="15">
        <v>763.29</v>
      </c>
      <c r="AU6" s="15">
        <v>0.0</v>
      </c>
      <c r="AV6" s="15">
        <v>0.0</v>
      </c>
      <c r="AW6" s="16">
        <f t="shared" si="14"/>
        <v>763.29</v>
      </c>
      <c r="AX6" s="15">
        <v>775.09</v>
      </c>
      <c r="AY6" s="15">
        <v>0.0</v>
      </c>
      <c r="AZ6" s="15">
        <v>0.0</v>
      </c>
      <c r="BA6" s="16">
        <f t="shared" si="15"/>
        <v>775.09</v>
      </c>
      <c r="BB6" s="15">
        <v>441.26</v>
      </c>
      <c r="BC6" s="15">
        <v>0.0</v>
      </c>
      <c r="BD6" s="15">
        <v>0.0</v>
      </c>
      <c r="BE6" s="16">
        <f t="shared" si="16"/>
        <v>441.26</v>
      </c>
    </row>
    <row r="7" ht="12.0" customHeight="1">
      <c r="A7" s="8">
        <v>471.21</v>
      </c>
      <c r="B7" s="8">
        <v>394.88</v>
      </c>
      <c r="C7" s="8">
        <v>427.96</v>
      </c>
      <c r="D7" s="9">
        <f t="shared" si="2"/>
        <v>433.0758333</v>
      </c>
      <c r="E7" s="10" t="s">
        <v>62</v>
      </c>
      <c r="F7" s="11">
        <f t="shared" si="3"/>
        <v>5196.91</v>
      </c>
      <c r="G7" s="12">
        <f t="shared" ref="G7:I7" si="20">J7+N7+R7+V7+Z7+AD7+AH7+AL7+AP7+AT7+AX7+BB7</f>
        <v>1636.4</v>
      </c>
      <c r="H7" s="13">
        <f t="shared" si="20"/>
        <v>3176.98</v>
      </c>
      <c r="I7" s="14">
        <f t="shared" si="20"/>
        <v>383.53</v>
      </c>
      <c r="J7" s="15">
        <v>145.1</v>
      </c>
      <c r="K7" s="15">
        <v>301.02</v>
      </c>
      <c r="L7" s="15">
        <v>31.03</v>
      </c>
      <c r="M7" s="16">
        <f t="shared" si="5"/>
        <v>477.15</v>
      </c>
      <c r="N7" s="15">
        <v>139.92</v>
      </c>
      <c r="O7" s="15">
        <v>213.19</v>
      </c>
      <c r="P7" s="15">
        <v>32.52</v>
      </c>
      <c r="Q7" s="16">
        <f t="shared" si="6"/>
        <v>385.63</v>
      </c>
      <c r="R7" s="15">
        <v>148.92</v>
      </c>
      <c r="S7" s="15">
        <v>278.59</v>
      </c>
      <c r="T7" s="15">
        <v>34.4</v>
      </c>
      <c r="U7" s="16">
        <f t="shared" si="7"/>
        <v>461.91</v>
      </c>
      <c r="V7" s="15">
        <v>124.31</v>
      </c>
      <c r="W7" s="15">
        <v>282.15</v>
      </c>
      <c r="X7" s="15">
        <v>37.13</v>
      </c>
      <c r="Y7" s="16">
        <f t="shared" si="8"/>
        <v>443.59</v>
      </c>
      <c r="Z7" s="15">
        <v>145.92</v>
      </c>
      <c r="AA7" s="15">
        <v>214.09</v>
      </c>
      <c r="AB7" s="15">
        <v>23.94</v>
      </c>
      <c r="AC7" s="16">
        <f t="shared" si="9"/>
        <v>383.95</v>
      </c>
      <c r="AD7" s="15">
        <v>122.07</v>
      </c>
      <c r="AE7" s="15">
        <v>244.32</v>
      </c>
      <c r="AF7" s="15">
        <v>29.86</v>
      </c>
      <c r="AG7" s="16">
        <f t="shared" si="10"/>
        <v>396.25</v>
      </c>
      <c r="AH7" s="15">
        <v>119.45</v>
      </c>
      <c r="AI7" s="15">
        <v>241.92</v>
      </c>
      <c r="AJ7" s="15">
        <v>28.68</v>
      </c>
      <c r="AK7" s="16">
        <f t="shared" si="11"/>
        <v>390.05</v>
      </c>
      <c r="AL7" s="15">
        <v>126.85</v>
      </c>
      <c r="AM7" s="15">
        <v>269.27</v>
      </c>
      <c r="AN7" s="15">
        <v>28.68</v>
      </c>
      <c r="AO7" s="16">
        <f t="shared" si="12"/>
        <v>424.8</v>
      </c>
      <c r="AP7" s="15">
        <v>151.89</v>
      </c>
      <c r="AQ7" s="15">
        <v>273.75</v>
      </c>
      <c r="AR7" s="15">
        <v>29.69</v>
      </c>
      <c r="AS7" s="16">
        <f t="shared" si="13"/>
        <v>455.33</v>
      </c>
      <c r="AT7" s="15">
        <v>151.99</v>
      </c>
      <c r="AU7" s="15">
        <v>324.77</v>
      </c>
      <c r="AV7" s="15">
        <v>35.87</v>
      </c>
      <c r="AW7" s="16">
        <f t="shared" si="14"/>
        <v>512.63</v>
      </c>
      <c r="AX7" s="15">
        <v>128.81</v>
      </c>
      <c r="AY7" s="15">
        <v>265.94</v>
      </c>
      <c r="AZ7" s="15">
        <v>35.87</v>
      </c>
      <c r="BA7" s="16">
        <f t="shared" si="15"/>
        <v>430.62</v>
      </c>
      <c r="BB7" s="15">
        <v>131.17</v>
      </c>
      <c r="BC7" s="15">
        <v>267.97</v>
      </c>
      <c r="BD7" s="15">
        <v>35.86</v>
      </c>
      <c r="BE7" s="16">
        <f t="shared" si="16"/>
        <v>435</v>
      </c>
    </row>
    <row r="8" ht="12.0" customHeight="1">
      <c r="A8" s="8">
        <v>445.93</v>
      </c>
      <c r="B8" s="8">
        <v>306.98</v>
      </c>
      <c r="C8" s="8">
        <v>330.28</v>
      </c>
      <c r="D8" s="9">
        <f t="shared" si="2"/>
        <v>323.8583333</v>
      </c>
      <c r="E8" s="10" t="s">
        <v>63</v>
      </c>
      <c r="F8" s="11">
        <f t="shared" si="3"/>
        <v>3886.3</v>
      </c>
      <c r="G8" s="12">
        <f t="shared" ref="G8:I8" si="21">J8+N8+R8+V8+Z8+AD8+AH8+AL8+AP8+AT8+AX8+BB8</f>
        <v>2178.12</v>
      </c>
      <c r="H8" s="13">
        <f t="shared" si="21"/>
        <v>1415.18</v>
      </c>
      <c r="I8" s="14">
        <f t="shared" si="21"/>
        <v>293</v>
      </c>
      <c r="J8" s="24">
        <v>167.65</v>
      </c>
      <c r="K8" s="25">
        <v>104.64</v>
      </c>
      <c r="L8" s="22">
        <v>22.65</v>
      </c>
      <c r="M8" s="23">
        <f t="shared" si="5"/>
        <v>294.94</v>
      </c>
      <c r="N8" s="24">
        <v>172.65</v>
      </c>
      <c r="O8" s="25">
        <v>109.64</v>
      </c>
      <c r="P8" s="22">
        <v>22.65</v>
      </c>
      <c r="Q8" s="23">
        <f t="shared" si="6"/>
        <v>304.94</v>
      </c>
      <c r="R8" s="24">
        <v>173.15</v>
      </c>
      <c r="S8" s="25">
        <v>113.44</v>
      </c>
      <c r="T8" s="22">
        <v>22.65</v>
      </c>
      <c r="U8" s="23">
        <f t="shared" si="7"/>
        <v>309.24</v>
      </c>
      <c r="V8" s="24">
        <v>183.15</v>
      </c>
      <c r="W8" s="25">
        <v>123.44</v>
      </c>
      <c r="X8" s="25">
        <v>24.65</v>
      </c>
      <c r="Y8" s="23">
        <f t="shared" si="8"/>
        <v>331.24</v>
      </c>
      <c r="Z8" s="24">
        <v>186.15</v>
      </c>
      <c r="AA8" s="25">
        <v>126.94</v>
      </c>
      <c r="AB8" s="25">
        <v>24.65</v>
      </c>
      <c r="AC8" s="23">
        <f t="shared" si="9"/>
        <v>337.74</v>
      </c>
      <c r="AD8" s="24">
        <v>186.15</v>
      </c>
      <c r="AE8" s="25">
        <v>126.04</v>
      </c>
      <c r="AF8" s="25">
        <v>24.25</v>
      </c>
      <c r="AG8" s="23">
        <f t="shared" si="10"/>
        <v>336.44</v>
      </c>
      <c r="AH8" s="24">
        <v>219.08</v>
      </c>
      <c r="AI8" s="25">
        <v>126.04</v>
      </c>
      <c r="AJ8" s="25">
        <v>24.25</v>
      </c>
      <c r="AK8" s="23">
        <f t="shared" si="11"/>
        <v>369.37</v>
      </c>
      <c r="AL8" s="24">
        <v>193.15</v>
      </c>
      <c r="AM8" s="25">
        <v>132.04</v>
      </c>
      <c r="AN8" s="25">
        <v>24.25</v>
      </c>
      <c r="AO8" s="23">
        <f t="shared" si="12"/>
        <v>349.44</v>
      </c>
      <c r="AP8" s="24">
        <v>168.15</v>
      </c>
      <c r="AQ8" s="25">
        <v>107.04</v>
      </c>
      <c r="AR8" s="25">
        <v>24.25</v>
      </c>
      <c r="AS8" s="23">
        <f t="shared" si="13"/>
        <v>299.44</v>
      </c>
      <c r="AT8" s="24">
        <v>175.15</v>
      </c>
      <c r="AU8" s="25">
        <v>114.04</v>
      </c>
      <c r="AV8" s="25">
        <v>26.25</v>
      </c>
      <c r="AW8" s="23">
        <f t="shared" si="14"/>
        <v>315.44</v>
      </c>
      <c r="AX8" s="24">
        <v>180.17</v>
      </c>
      <c r="AY8" s="25">
        <v>119.24</v>
      </c>
      <c r="AZ8" s="25">
        <v>26.25</v>
      </c>
      <c r="BA8" s="23">
        <f t="shared" si="15"/>
        <v>325.66</v>
      </c>
      <c r="BB8" s="24">
        <v>173.52</v>
      </c>
      <c r="BC8" s="25">
        <v>112.64</v>
      </c>
      <c r="BD8" s="25">
        <v>26.25</v>
      </c>
      <c r="BE8" s="23">
        <f t="shared" si="16"/>
        <v>312.41</v>
      </c>
    </row>
    <row r="9" ht="12.0" customHeight="1">
      <c r="A9" s="8">
        <v>382.5</v>
      </c>
      <c r="B9" s="8">
        <v>390.84</v>
      </c>
      <c r="C9" s="8">
        <v>390.83</v>
      </c>
      <c r="D9" s="9">
        <f t="shared" si="2"/>
        <v>378.3333333</v>
      </c>
      <c r="E9" s="10" t="s">
        <v>64</v>
      </c>
      <c r="F9" s="11">
        <f t="shared" si="3"/>
        <v>4540</v>
      </c>
      <c r="G9" s="12">
        <f t="shared" ref="G9:I9" si="22">J9+N9+R9+V9+Z9+AD9+AH9+AL9+AP9+AT9+AX9+BB9</f>
        <v>1587.1</v>
      </c>
      <c r="H9" s="13">
        <f t="shared" si="22"/>
        <v>2697.53</v>
      </c>
      <c r="I9" s="14">
        <f t="shared" si="22"/>
        <v>255.37</v>
      </c>
      <c r="J9" s="21">
        <v>129.5</v>
      </c>
      <c r="K9" s="22">
        <v>222.0</v>
      </c>
      <c r="L9" s="22">
        <v>18.5</v>
      </c>
      <c r="M9" s="23">
        <f t="shared" si="5"/>
        <v>370</v>
      </c>
      <c r="N9" s="21">
        <v>129.5</v>
      </c>
      <c r="O9" s="22">
        <v>222.0</v>
      </c>
      <c r="P9" s="22">
        <v>18.5</v>
      </c>
      <c r="Q9" s="23">
        <f t="shared" si="6"/>
        <v>370</v>
      </c>
      <c r="R9" s="21">
        <v>129.5</v>
      </c>
      <c r="S9" s="22">
        <v>222.0</v>
      </c>
      <c r="T9" s="22">
        <v>18.5</v>
      </c>
      <c r="U9" s="23">
        <f t="shared" si="7"/>
        <v>370</v>
      </c>
      <c r="V9" s="21">
        <v>129.5</v>
      </c>
      <c r="W9" s="22">
        <v>222.0</v>
      </c>
      <c r="X9" s="22">
        <v>18.5</v>
      </c>
      <c r="Y9" s="23">
        <f t="shared" si="8"/>
        <v>370</v>
      </c>
      <c r="Z9" s="21">
        <v>129.5</v>
      </c>
      <c r="AA9" s="22">
        <v>222.0</v>
      </c>
      <c r="AB9" s="22">
        <v>18.5</v>
      </c>
      <c r="AC9" s="23">
        <f t="shared" si="9"/>
        <v>370</v>
      </c>
      <c r="AD9" s="15">
        <v>162.6</v>
      </c>
      <c r="AE9" s="15">
        <v>255.53</v>
      </c>
      <c r="AF9" s="15">
        <v>51.87</v>
      </c>
      <c r="AG9" s="16">
        <f t="shared" si="10"/>
        <v>470</v>
      </c>
      <c r="AH9" s="21">
        <v>129.5</v>
      </c>
      <c r="AI9" s="22">
        <v>222.0</v>
      </c>
      <c r="AJ9" s="22">
        <v>18.5</v>
      </c>
      <c r="AK9" s="23">
        <f t="shared" si="11"/>
        <v>370</v>
      </c>
      <c r="AL9" s="21">
        <v>129.5</v>
      </c>
      <c r="AM9" s="22">
        <v>222.0</v>
      </c>
      <c r="AN9" s="22">
        <v>18.5</v>
      </c>
      <c r="AO9" s="23">
        <f t="shared" si="12"/>
        <v>370</v>
      </c>
      <c r="AP9" s="21">
        <v>129.5</v>
      </c>
      <c r="AQ9" s="22">
        <v>222.0</v>
      </c>
      <c r="AR9" s="22">
        <v>18.5</v>
      </c>
      <c r="AS9" s="23">
        <f t="shared" si="13"/>
        <v>370</v>
      </c>
      <c r="AT9" s="21">
        <v>129.5</v>
      </c>
      <c r="AU9" s="22">
        <v>222.0</v>
      </c>
      <c r="AV9" s="22">
        <v>18.5</v>
      </c>
      <c r="AW9" s="23">
        <f t="shared" si="14"/>
        <v>370</v>
      </c>
      <c r="AX9" s="21">
        <v>129.5</v>
      </c>
      <c r="AY9" s="22">
        <v>222.0</v>
      </c>
      <c r="AZ9" s="22">
        <v>18.5</v>
      </c>
      <c r="BA9" s="23">
        <f t="shared" si="15"/>
        <v>370</v>
      </c>
      <c r="BB9" s="21">
        <v>129.5</v>
      </c>
      <c r="BC9" s="22">
        <v>222.0</v>
      </c>
      <c r="BD9" s="22">
        <v>18.5</v>
      </c>
      <c r="BE9" s="23">
        <f t="shared" si="16"/>
        <v>370</v>
      </c>
    </row>
    <row r="10" ht="12.0" customHeight="1">
      <c r="A10" s="19">
        <v>175.0</v>
      </c>
      <c r="B10" s="8">
        <v>175.0</v>
      </c>
      <c r="C10" s="8">
        <v>170.0</v>
      </c>
      <c r="D10" s="9">
        <f t="shared" si="2"/>
        <v>170</v>
      </c>
      <c r="E10" s="10" t="s">
        <v>65</v>
      </c>
      <c r="F10" s="11">
        <f t="shared" si="3"/>
        <v>2040</v>
      </c>
      <c r="G10" s="12">
        <f t="shared" ref="G10:I10" si="23">J10+N10+R10+V10+Z10+AD10+AH10+AL10+AP10+AT10+AX10+BB10</f>
        <v>714</v>
      </c>
      <c r="H10" s="13">
        <f t="shared" si="23"/>
        <v>1224</v>
      </c>
      <c r="I10" s="14">
        <f t="shared" si="23"/>
        <v>102</v>
      </c>
      <c r="J10" s="26">
        <v>59.5</v>
      </c>
      <c r="K10" s="27">
        <v>102.0</v>
      </c>
      <c r="L10" s="27">
        <v>8.5</v>
      </c>
      <c r="M10" s="28">
        <f t="shared" si="5"/>
        <v>170</v>
      </c>
      <c r="N10" s="26">
        <v>59.5</v>
      </c>
      <c r="O10" s="27">
        <v>102.0</v>
      </c>
      <c r="P10" s="27">
        <v>8.5</v>
      </c>
      <c r="Q10" s="28">
        <f t="shared" si="6"/>
        <v>170</v>
      </c>
      <c r="R10" s="26">
        <v>59.5</v>
      </c>
      <c r="S10" s="27">
        <v>102.0</v>
      </c>
      <c r="T10" s="27">
        <v>8.5</v>
      </c>
      <c r="U10" s="16">
        <f t="shared" si="7"/>
        <v>170</v>
      </c>
      <c r="V10" s="26">
        <v>59.5</v>
      </c>
      <c r="W10" s="27">
        <v>102.0</v>
      </c>
      <c r="X10" s="27">
        <v>8.5</v>
      </c>
      <c r="Y10" s="16">
        <f t="shared" si="8"/>
        <v>170</v>
      </c>
      <c r="Z10" s="26">
        <v>59.5</v>
      </c>
      <c r="AA10" s="27">
        <v>102.0</v>
      </c>
      <c r="AB10" s="27">
        <v>8.5</v>
      </c>
      <c r="AC10" s="16">
        <f t="shared" si="9"/>
        <v>170</v>
      </c>
      <c r="AD10" s="26">
        <v>59.5</v>
      </c>
      <c r="AE10" s="27">
        <v>102.0</v>
      </c>
      <c r="AF10" s="27">
        <v>8.5</v>
      </c>
      <c r="AG10" s="16">
        <f t="shared" si="10"/>
        <v>170</v>
      </c>
      <c r="AH10" s="26">
        <v>59.5</v>
      </c>
      <c r="AI10" s="27">
        <v>102.0</v>
      </c>
      <c r="AJ10" s="27">
        <v>8.5</v>
      </c>
      <c r="AK10" s="16">
        <f t="shared" si="11"/>
        <v>170</v>
      </c>
      <c r="AL10" s="26">
        <v>59.5</v>
      </c>
      <c r="AM10" s="27">
        <v>102.0</v>
      </c>
      <c r="AN10" s="27">
        <v>8.5</v>
      </c>
      <c r="AO10" s="16">
        <f t="shared" si="12"/>
        <v>170</v>
      </c>
      <c r="AP10" s="26">
        <v>59.5</v>
      </c>
      <c r="AQ10" s="27">
        <v>102.0</v>
      </c>
      <c r="AR10" s="27">
        <v>8.5</v>
      </c>
      <c r="AS10" s="16">
        <f t="shared" si="13"/>
        <v>170</v>
      </c>
      <c r="AT10" s="26">
        <v>59.5</v>
      </c>
      <c r="AU10" s="27">
        <v>102.0</v>
      </c>
      <c r="AV10" s="27">
        <v>8.5</v>
      </c>
      <c r="AW10" s="16">
        <f t="shared" si="14"/>
        <v>170</v>
      </c>
      <c r="AX10" s="26">
        <v>59.5</v>
      </c>
      <c r="AY10" s="27">
        <v>102.0</v>
      </c>
      <c r="AZ10" s="27">
        <v>8.5</v>
      </c>
      <c r="BA10" s="16">
        <f t="shared" si="15"/>
        <v>170</v>
      </c>
      <c r="BB10" s="26">
        <v>59.5</v>
      </c>
      <c r="BC10" s="27">
        <v>102.0</v>
      </c>
      <c r="BD10" s="27">
        <v>8.5</v>
      </c>
      <c r="BE10" s="16">
        <f t="shared" si="16"/>
        <v>170</v>
      </c>
    </row>
    <row r="11" ht="12.0" customHeight="1">
      <c r="A11" s="19">
        <v>115.38</v>
      </c>
      <c r="B11" s="8">
        <v>161.16</v>
      </c>
      <c r="C11" s="8">
        <v>277.69</v>
      </c>
      <c r="D11" s="9">
        <f t="shared" si="2"/>
        <v>216.2941667</v>
      </c>
      <c r="E11" s="29" t="s">
        <v>66</v>
      </c>
      <c r="F11" s="11">
        <f t="shared" si="3"/>
        <v>2595.53</v>
      </c>
      <c r="G11" s="12">
        <f t="shared" ref="G11:I11" si="24">J11+N11+R11+V11+Z11+AD11+AH11+AL11+AP11+AT11+AX11+BB11</f>
        <v>1030.24</v>
      </c>
      <c r="H11" s="13">
        <f t="shared" si="24"/>
        <v>1565.29</v>
      </c>
      <c r="I11" s="14">
        <f t="shared" si="24"/>
        <v>0</v>
      </c>
      <c r="J11" s="15">
        <v>0.0</v>
      </c>
      <c r="K11" s="15">
        <v>200.5</v>
      </c>
      <c r="L11" s="15">
        <v>0.0</v>
      </c>
      <c r="M11" s="16">
        <f t="shared" si="5"/>
        <v>200.5</v>
      </c>
      <c r="N11" s="15">
        <v>0.0</v>
      </c>
      <c r="O11" s="15">
        <v>140.3</v>
      </c>
      <c r="P11" s="15">
        <v>0.0</v>
      </c>
      <c r="Q11" s="16">
        <f t="shared" si="6"/>
        <v>140.3</v>
      </c>
      <c r="R11" s="15">
        <v>0.0</v>
      </c>
      <c r="S11" s="15">
        <v>121.3</v>
      </c>
      <c r="T11" s="15">
        <v>0.0</v>
      </c>
      <c r="U11" s="16">
        <f t="shared" si="7"/>
        <v>121.3</v>
      </c>
      <c r="V11" s="15">
        <v>87.75</v>
      </c>
      <c r="W11" s="15">
        <v>84.4</v>
      </c>
      <c r="X11" s="15">
        <v>0.0</v>
      </c>
      <c r="Y11" s="16">
        <f t="shared" si="8"/>
        <v>172.15</v>
      </c>
      <c r="Z11" s="15">
        <v>96.55</v>
      </c>
      <c r="AA11" s="15">
        <v>122.8</v>
      </c>
      <c r="AB11" s="15">
        <v>0.0</v>
      </c>
      <c r="AC11" s="16">
        <f t="shared" si="9"/>
        <v>219.35</v>
      </c>
      <c r="AD11" s="15">
        <v>105.15</v>
      </c>
      <c r="AE11" s="15">
        <v>111.5</v>
      </c>
      <c r="AF11" s="15">
        <v>0.0</v>
      </c>
      <c r="AG11" s="16">
        <f t="shared" si="10"/>
        <v>216.65</v>
      </c>
      <c r="AH11" s="15">
        <v>30.0</v>
      </c>
      <c r="AI11" s="15">
        <v>203.4</v>
      </c>
      <c r="AJ11" s="15">
        <v>0.0</v>
      </c>
      <c r="AK11" s="16">
        <f t="shared" si="11"/>
        <v>233.4</v>
      </c>
      <c r="AL11" s="15">
        <v>20.0</v>
      </c>
      <c r="AM11" s="15">
        <v>0.0</v>
      </c>
      <c r="AN11" s="15">
        <v>0.0</v>
      </c>
      <c r="AO11" s="16">
        <f t="shared" si="12"/>
        <v>20</v>
      </c>
      <c r="AP11" s="15">
        <v>255.0</v>
      </c>
      <c r="AQ11" s="15">
        <v>0.0</v>
      </c>
      <c r="AR11" s="15">
        <v>0.0</v>
      </c>
      <c r="AS11" s="16">
        <f t="shared" si="13"/>
        <v>255</v>
      </c>
      <c r="AT11" s="15">
        <v>254.85</v>
      </c>
      <c r="AU11" s="15">
        <v>210.03</v>
      </c>
      <c r="AV11" s="15">
        <v>0.0</v>
      </c>
      <c r="AW11" s="16">
        <f t="shared" si="14"/>
        <v>464.88</v>
      </c>
      <c r="AX11" s="15">
        <v>88.94</v>
      </c>
      <c r="AY11" s="15">
        <v>150.23</v>
      </c>
      <c r="AZ11" s="15">
        <v>0.0</v>
      </c>
      <c r="BA11" s="16">
        <f t="shared" si="15"/>
        <v>239.17</v>
      </c>
      <c r="BB11" s="15">
        <v>92.0</v>
      </c>
      <c r="BC11" s="15">
        <v>220.83</v>
      </c>
      <c r="BD11" s="15">
        <v>0.0</v>
      </c>
      <c r="BE11" s="16">
        <f t="shared" si="16"/>
        <v>312.83</v>
      </c>
    </row>
    <row r="12" ht="12.0" customHeight="1">
      <c r="A12" s="30">
        <v>80.42</v>
      </c>
      <c r="B12" s="31">
        <v>83.03</v>
      </c>
      <c r="C12" s="8">
        <v>62.0</v>
      </c>
      <c r="D12" s="9">
        <f t="shared" si="2"/>
        <v>62</v>
      </c>
      <c r="E12" s="10" t="s">
        <v>67</v>
      </c>
      <c r="F12" s="11">
        <f t="shared" si="3"/>
        <v>744</v>
      </c>
      <c r="G12" s="12">
        <f t="shared" ref="G12:I12" si="25">J12+N12+R12+V12+Z12+AD12+AH12+AL12+AP12+AT12+AX12+BB12</f>
        <v>0</v>
      </c>
      <c r="H12" s="13">
        <f t="shared" si="25"/>
        <v>562.56</v>
      </c>
      <c r="I12" s="14">
        <f t="shared" si="25"/>
        <v>181.44</v>
      </c>
      <c r="J12" s="21">
        <v>0.0</v>
      </c>
      <c r="K12" s="22">
        <v>46.88</v>
      </c>
      <c r="L12" s="22">
        <v>15.12</v>
      </c>
      <c r="M12" s="23">
        <f t="shared" si="5"/>
        <v>62</v>
      </c>
      <c r="N12" s="21">
        <v>0.0</v>
      </c>
      <c r="O12" s="22">
        <v>46.88</v>
      </c>
      <c r="P12" s="22">
        <v>15.12</v>
      </c>
      <c r="Q12" s="23">
        <f t="shared" si="6"/>
        <v>62</v>
      </c>
      <c r="R12" s="21">
        <v>0.0</v>
      </c>
      <c r="S12" s="22">
        <v>46.88</v>
      </c>
      <c r="T12" s="22">
        <v>15.12</v>
      </c>
      <c r="U12" s="23">
        <f t="shared" si="7"/>
        <v>62</v>
      </c>
      <c r="V12" s="21">
        <v>0.0</v>
      </c>
      <c r="W12" s="22">
        <v>46.88</v>
      </c>
      <c r="X12" s="22">
        <v>15.12</v>
      </c>
      <c r="Y12" s="23">
        <f t="shared" si="8"/>
        <v>62</v>
      </c>
      <c r="Z12" s="21">
        <v>0.0</v>
      </c>
      <c r="AA12" s="22">
        <v>46.88</v>
      </c>
      <c r="AB12" s="22">
        <v>15.12</v>
      </c>
      <c r="AC12" s="23">
        <f t="shared" si="9"/>
        <v>62</v>
      </c>
      <c r="AD12" s="21">
        <v>0.0</v>
      </c>
      <c r="AE12" s="22">
        <v>46.88</v>
      </c>
      <c r="AF12" s="22">
        <v>15.12</v>
      </c>
      <c r="AG12" s="23">
        <f t="shared" si="10"/>
        <v>62</v>
      </c>
      <c r="AH12" s="21">
        <v>0.0</v>
      </c>
      <c r="AI12" s="22">
        <v>46.88</v>
      </c>
      <c r="AJ12" s="22">
        <v>15.12</v>
      </c>
      <c r="AK12" s="23">
        <f t="shared" si="11"/>
        <v>62</v>
      </c>
      <c r="AL12" s="21">
        <v>0.0</v>
      </c>
      <c r="AM12" s="22">
        <v>46.88</v>
      </c>
      <c r="AN12" s="22">
        <v>15.12</v>
      </c>
      <c r="AO12" s="23">
        <f t="shared" si="12"/>
        <v>62</v>
      </c>
      <c r="AP12" s="21">
        <v>0.0</v>
      </c>
      <c r="AQ12" s="22">
        <v>46.88</v>
      </c>
      <c r="AR12" s="22">
        <v>15.12</v>
      </c>
      <c r="AS12" s="23">
        <f t="shared" si="13"/>
        <v>62</v>
      </c>
      <c r="AT12" s="21">
        <v>0.0</v>
      </c>
      <c r="AU12" s="22">
        <v>46.88</v>
      </c>
      <c r="AV12" s="22">
        <v>15.12</v>
      </c>
      <c r="AW12" s="23">
        <f t="shared" si="14"/>
        <v>62</v>
      </c>
      <c r="AX12" s="21">
        <v>0.0</v>
      </c>
      <c r="AY12" s="22">
        <v>46.88</v>
      </c>
      <c r="AZ12" s="22">
        <v>15.12</v>
      </c>
      <c r="BA12" s="23">
        <f t="shared" si="15"/>
        <v>62</v>
      </c>
      <c r="BB12" s="21">
        <v>0.0</v>
      </c>
      <c r="BC12" s="22">
        <v>46.88</v>
      </c>
      <c r="BD12" s="22">
        <v>15.12</v>
      </c>
      <c r="BE12" s="23">
        <f t="shared" si="16"/>
        <v>62</v>
      </c>
    </row>
    <row r="13" ht="12.0" customHeight="1">
      <c r="A13" s="30">
        <v>79.25</v>
      </c>
      <c r="B13" s="8">
        <v>314.34</v>
      </c>
      <c r="C13" s="8">
        <v>301.01</v>
      </c>
      <c r="D13" s="17">
        <f t="shared" si="2"/>
        <v>334.7175</v>
      </c>
      <c r="E13" s="18" t="s">
        <v>68</v>
      </c>
      <c r="F13" s="11">
        <f t="shared" si="3"/>
        <v>4016.61</v>
      </c>
      <c r="G13" s="12">
        <f t="shared" ref="G13:I13" si="26">J13+N13+R13+V13+Z13+AD13+AH13+AL13+AP13+AT13+AX13+BB13</f>
        <v>0</v>
      </c>
      <c r="H13" s="13">
        <f t="shared" si="26"/>
        <v>3931.41</v>
      </c>
      <c r="I13" s="14">
        <f t="shared" si="26"/>
        <v>85.2</v>
      </c>
      <c r="J13" s="15">
        <v>0.0</v>
      </c>
      <c r="K13" s="15">
        <v>261.97</v>
      </c>
      <c r="L13" s="15">
        <v>5.8</v>
      </c>
      <c r="M13" s="16">
        <f t="shared" si="5"/>
        <v>267.77</v>
      </c>
      <c r="N13" s="15">
        <v>0.0</v>
      </c>
      <c r="O13" s="15">
        <v>292.16</v>
      </c>
      <c r="P13" s="15">
        <v>5.8</v>
      </c>
      <c r="Q13" s="16">
        <f t="shared" si="6"/>
        <v>297.96</v>
      </c>
      <c r="R13" s="15">
        <v>0.0</v>
      </c>
      <c r="S13" s="15">
        <v>239.1</v>
      </c>
      <c r="T13" s="15">
        <v>0.0</v>
      </c>
      <c r="U13" s="16">
        <f t="shared" si="7"/>
        <v>239.1</v>
      </c>
      <c r="V13" s="15">
        <v>0.0</v>
      </c>
      <c r="W13" s="15">
        <v>524.2</v>
      </c>
      <c r="X13" s="15">
        <v>11.6</v>
      </c>
      <c r="Y13" s="16">
        <f t="shared" si="8"/>
        <v>535.8</v>
      </c>
      <c r="Z13" s="15">
        <v>0.0</v>
      </c>
      <c r="AA13" s="15">
        <v>208.15</v>
      </c>
      <c r="AB13" s="15">
        <v>17.4</v>
      </c>
      <c r="AC13" s="16">
        <f t="shared" si="9"/>
        <v>225.55</v>
      </c>
      <c r="AD13" s="15">
        <v>0.0</v>
      </c>
      <c r="AE13" s="15">
        <v>291.33</v>
      </c>
      <c r="AF13" s="15">
        <v>0.0</v>
      </c>
      <c r="AG13" s="16">
        <f t="shared" si="10"/>
        <v>291.33</v>
      </c>
      <c r="AH13" s="15">
        <v>0.0</v>
      </c>
      <c r="AI13" s="15">
        <v>324.56</v>
      </c>
      <c r="AJ13" s="15">
        <v>0.0</v>
      </c>
      <c r="AK13" s="16">
        <f t="shared" si="11"/>
        <v>324.56</v>
      </c>
      <c r="AL13" s="15">
        <v>0.0</v>
      </c>
      <c r="AM13" s="15">
        <v>320.37</v>
      </c>
      <c r="AN13" s="15">
        <v>11.6</v>
      </c>
      <c r="AO13" s="16">
        <f t="shared" si="12"/>
        <v>331.97</v>
      </c>
      <c r="AP13" s="15">
        <v>0.0</v>
      </c>
      <c r="AQ13" s="15">
        <v>277.43</v>
      </c>
      <c r="AR13" s="15">
        <v>0.0</v>
      </c>
      <c r="AS13" s="16">
        <f t="shared" si="13"/>
        <v>277.43</v>
      </c>
      <c r="AT13" s="15">
        <v>0.0</v>
      </c>
      <c r="AU13" s="15">
        <v>515.07</v>
      </c>
      <c r="AV13" s="15">
        <v>11.6</v>
      </c>
      <c r="AW13" s="16">
        <f t="shared" si="14"/>
        <v>526.67</v>
      </c>
      <c r="AX13" s="15">
        <v>0.0</v>
      </c>
      <c r="AY13" s="15">
        <v>386.15</v>
      </c>
      <c r="AZ13" s="15">
        <v>11.6</v>
      </c>
      <c r="BA13" s="16">
        <f t="shared" si="15"/>
        <v>397.75</v>
      </c>
      <c r="BB13" s="15">
        <v>0.0</v>
      </c>
      <c r="BC13" s="15">
        <v>290.92</v>
      </c>
      <c r="BD13" s="15">
        <v>9.8</v>
      </c>
      <c r="BE13" s="16">
        <f t="shared" si="16"/>
        <v>300.72</v>
      </c>
    </row>
    <row r="14" ht="12.0" customHeight="1">
      <c r="A14" s="31">
        <v>61.43</v>
      </c>
      <c r="B14" s="31">
        <v>28.14</v>
      </c>
      <c r="C14" s="32">
        <v>23.69</v>
      </c>
      <c r="D14" s="33">
        <f t="shared" si="2"/>
        <v>23.55333333</v>
      </c>
      <c r="E14" s="10" t="s">
        <v>69</v>
      </c>
      <c r="F14" s="11">
        <f t="shared" si="3"/>
        <v>282.64</v>
      </c>
      <c r="G14" s="12">
        <f t="shared" ref="G14:I14" si="27">J14+N14+R14+V14+Z14+AD14+AH14+AL14+AP14+AT14+AX14+BB14</f>
        <v>6.36</v>
      </c>
      <c r="H14" s="13">
        <f t="shared" si="27"/>
        <v>276.28</v>
      </c>
      <c r="I14" s="14">
        <f t="shared" si="27"/>
        <v>0</v>
      </c>
      <c r="J14" s="15">
        <v>6.36</v>
      </c>
      <c r="K14" s="15">
        <v>29.62</v>
      </c>
      <c r="L14" s="15">
        <v>0.0</v>
      </c>
      <c r="M14" s="16">
        <f t="shared" si="5"/>
        <v>35.98</v>
      </c>
      <c r="N14" s="15">
        <v>0.0</v>
      </c>
      <c r="O14" s="15">
        <v>30.7</v>
      </c>
      <c r="P14" s="15">
        <v>0.0</v>
      </c>
      <c r="Q14" s="16">
        <f t="shared" si="6"/>
        <v>30.7</v>
      </c>
      <c r="R14" s="15">
        <v>0.0</v>
      </c>
      <c r="S14" s="15">
        <v>0.0</v>
      </c>
      <c r="T14" s="15">
        <v>0.0</v>
      </c>
      <c r="U14" s="16">
        <f t="shared" si="7"/>
        <v>0</v>
      </c>
      <c r="V14" s="15">
        <v>0.0</v>
      </c>
      <c r="W14" s="15">
        <v>34.14</v>
      </c>
      <c r="X14" s="15">
        <v>0.0</v>
      </c>
      <c r="Y14" s="16">
        <f t="shared" si="8"/>
        <v>34.14</v>
      </c>
      <c r="Z14" s="15">
        <v>0.0</v>
      </c>
      <c r="AA14" s="15">
        <v>43.99</v>
      </c>
      <c r="AB14" s="15">
        <v>0.0</v>
      </c>
      <c r="AC14" s="16">
        <f t="shared" si="9"/>
        <v>43.99</v>
      </c>
      <c r="AD14" s="15">
        <v>0.0</v>
      </c>
      <c r="AE14" s="15">
        <v>0.0</v>
      </c>
      <c r="AF14" s="15">
        <v>0.0</v>
      </c>
      <c r="AG14" s="16">
        <f t="shared" si="10"/>
        <v>0</v>
      </c>
      <c r="AH14" s="15">
        <v>0.0</v>
      </c>
      <c r="AI14" s="15">
        <v>37.74</v>
      </c>
      <c r="AJ14" s="15">
        <v>0.0</v>
      </c>
      <c r="AK14" s="16">
        <f t="shared" si="11"/>
        <v>37.74</v>
      </c>
      <c r="AL14" s="15">
        <v>0.0</v>
      </c>
      <c r="AM14" s="15">
        <v>29.27</v>
      </c>
      <c r="AN14" s="15">
        <v>0.0</v>
      </c>
      <c r="AO14" s="16">
        <f t="shared" si="12"/>
        <v>29.27</v>
      </c>
      <c r="AP14" s="15">
        <v>0.0</v>
      </c>
      <c r="AQ14" s="15">
        <v>3.88</v>
      </c>
      <c r="AR14" s="15">
        <v>0.0</v>
      </c>
      <c r="AS14" s="16">
        <f t="shared" si="13"/>
        <v>3.88</v>
      </c>
      <c r="AT14" s="15">
        <v>0.0</v>
      </c>
      <c r="AU14" s="15">
        <v>31.4</v>
      </c>
      <c r="AV14" s="15">
        <v>0.0</v>
      </c>
      <c r="AW14" s="16">
        <f t="shared" si="14"/>
        <v>31.4</v>
      </c>
      <c r="AX14" s="15">
        <v>0.0</v>
      </c>
      <c r="AY14" s="15">
        <v>31.66</v>
      </c>
      <c r="AZ14" s="15">
        <v>0.0</v>
      </c>
      <c r="BA14" s="16">
        <f t="shared" si="15"/>
        <v>31.66</v>
      </c>
      <c r="BB14" s="15">
        <v>0.0</v>
      </c>
      <c r="BC14" s="15">
        <v>3.88</v>
      </c>
      <c r="BD14" s="15">
        <v>0.0</v>
      </c>
      <c r="BE14" s="16">
        <f t="shared" si="16"/>
        <v>3.88</v>
      </c>
    </row>
    <row r="15" ht="12.0" customHeight="1">
      <c r="A15" s="31">
        <v>40.0</v>
      </c>
      <c r="B15" s="31">
        <v>29.92</v>
      </c>
      <c r="C15" s="32">
        <v>21.0</v>
      </c>
      <c r="D15" s="33">
        <f t="shared" si="2"/>
        <v>21</v>
      </c>
      <c r="E15" s="10" t="s">
        <v>70</v>
      </c>
      <c r="F15" s="11">
        <f t="shared" si="3"/>
        <v>252</v>
      </c>
      <c r="G15" s="12">
        <f t="shared" ref="G15:I15" si="28">J15+N15+R15+V15+Z15+AD15+AH15+AL15+AP15+AT15+AX15+BB15</f>
        <v>0</v>
      </c>
      <c r="H15" s="13">
        <f t="shared" si="28"/>
        <v>0</v>
      </c>
      <c r="I15" s="14">
        <f t="shared" si="28"/>
        <v>252</v>
      </c>
      <c r="J15" s="21">
        <v>0.0</v>
      </c>
      <c r="K15" s="22">
        <v>0.0</v>
      </c>
      <c r="L15" s="22">
        <v>21.0</v>
      </c>
      <c r="M15" s="23">
        <f t="shared" si="5"/>
        <v>21</v>
      </c>
      <c r="N15" s="21">
        <v>0.0</v>
      </c>
      <c r="O15" s="22">
        <v>0.0</v>
      </c>
      <c r="P15" s="22">
        <v>21.0</v>
      </c>
      <c r="Q15" s="23">
        <f t="shared" si="6"/>
        <v>21</v>
      </c>
      <c r="R15" s="21">
        <v>0.0</v>
      </c>
      <c r="S15" s="22">
        <v>0.0</v>
      </c>
      <c r="T15" s="22">
        <v>21.0</v>
      </c>
      <c r="U15" s="23">
        <f t="shared" si="7"/>
        <v>21</v>
      </c>
      <c r="V15" s="21">
        <v>0.0</v>
      </c>
      <c r="W15" s="22">
        <v>0.0</v>
      </c>
      <c r="X15" s="22">
        <v>21.0</v>
      </c>
      <c r="Y15" s="23">
        <f t="shared" si="8"/>
        <v>21</v>
      </c>
      <c r="Z15" s="21">
        <v>0.0</v>
      </c>
      <c r="AA15" s="22">
        <v>0.0</v>
      </c>
      <c r="AB15" s="22">
        <v>21.0</v>
      </c>
      <c r="AC15" s="23">
        <f t="shared" si="9"/>
        <v>21</v>
      </c>
      <c r="AD15" s="21">
        <v>0.0</v>
      </c>
      <c r="AE15" s="22">
        <v>0.0</v>
      </c>
      <c r="AF15" s="22">
        <v>21.0</v>
      </c>
      <c r="AG15" s="23">
        <f t="shared" si="10"/>
        <v>21</v>
      </c>
      <c r="AH15" s="21">
        <v>0.0</v>
      </c>
      <c r="AI15" s="22">
        <v>0.0</v>
      </c>
      <c r="AJ15" s="22">
        <v>21.0</v>
      </c>
      <c r="AK15" s="23">
        <f t="shared" si="11"/>
        <v>21</v>
      </c>
      <c r="AL15" s="21">
        <v>0.0</v>
      </c>
      <c r="AM15" s="22">
        <v>0.0</v>
      </c>
      <c r="AN15" s="22">
        <v>21.0</v>
      </c>
      <c r="AO15" s="23">
        <f t="shared" si="12"/>
        <v>21</v>
      </c>
      <c r="AP15" s="21">
        <v>0.0</v>
      </c>
      <c r="AQ15" s="22">
        <v>0.0</v>
      </c>
      <c r="AR15" s="22">
        <v>21.0</v>
      </c>
      <c r="AS15" s="23">
        <f t="shared" si="13"/>
        <v>21</v>
      </c>
      <c r="AT15" s="21">
        <v>0.0</v>
      </c>
      <c r="AU15" s="22">
        <v>0.0</v>
      </c>
      <c r="AV15" s="22">
        <v>21.0</v>
      </c>
      <c r="AW15" s="23">
        <f t="shared" si="14"/>
        <v>21</v>
      </c>
      <c r="AX15" s="21">
        <v>0.0</v>
      </c>
      <c r="AY15" s="22">
        <v>0.0</v>
      </c>
      <c r="AZ15" s="22">
        <v>21.0</v>
      </c>
      <c r="BA15" s="23">
        <f t="shared" si="15"/>
        <v>21</v>
      </c>
      <c r="BB15" s="21">
        <v>0.0</v>
      </c>
      <c r="BC15" s="22">
        <v>0.0</v>
      </c>
      <c r="BD15" s="22">
        <v>21.0</v>
      </c>
      <c r="BE15" s="23">
        <f t="shared" si="16"/>
        <v>21</v>
      </c>
    </row>
    <row r="16" ht="12.0" customHeight="1">
      <c r="A16" s="34">
        <v>1082.71</v>
      </c>
      <c r="B16" s="34">
        <v>1082.72</v>
      </c>
      <c r="C16" s="34">
        <v>1029.01</v>
      </c>
      <c r="D16" s="34">
        <f t="shared" si="2"/>
        <v>956.0966667</v>
      </c>
      <c r="E16" s="35" t="s">
        <v>71</v>
      </c>
      <c r="F16" s="11">
        <f t="shared" si="3"/>
        <v>11473.16</v>
      </c>
      <c r="G16" s="12">
        <f t="shared" ref="G16:I16" si="29">J16+N16+R16+V16+Z16+AD16+AH16+AL16+AP16+AT16+AX16+BB16</f>
        <v>0</v>
      </c>
      <c r="H16" s="13">
        <f t="shared" si="29"/>
        <v>0</v>
      </c>
      <c r="I16" s="14">
        <f t="shared" si="29"/>
        <v>0</v>
      </c>
      <c r="J16" s="15">
        <v>0.0</v>
      </c>
      <c r="K16" s="15">
        <v>0.0</v>
      </c>
      <c r="L16" s="15">
        <v>0.0</v>
      </c>
      <c r="M16" s="36">
        <v>975.99</v>
      </c>
      <c r="N16" s="15">
        <v>0.0</v>
      </c>
      <c r="O16" s="15">
        <v>0.0</v>
      </c>
      <c r="P16" s="15">
        <v>0.0</v>
      </c>
      <c r="Q16" s="36">
        <v>975.99</v>
      </c>
      <c r="R16" s="15">
        <v>0.0</v>
      </c>
      <c r="S16" s="15">
        <v>0.0</v>
      </c>
      <c r="T16" s="15">
        <v>0.0</v>
      </c>
      <c r="U16" s="36">
        <v>975.99</v>
      </c>
      <c r="V16" s="15">
        <v>0.0</v>
      </c>
      <c r="W16" s="15">
        <v>0.0</v>
      </c>
      <c r="X16" s="15">
        <v>0.0</v>
      </c>
      <c r="Y16" s="36">
        <v>975.99</v>
      </c>
      <c r="Z16" s="15">
        <v>0.0</v>
      </c>
      <c r="AA16" s="15">
        <v>0.0</v>
      </c>
      <c r="AB16" s="15">
        <v>0.0</v>
      </c>
      <c r="AC16" s="36">
        <v>975.99</v>
      </c>
      <c r="AD16" s="15">
        <v>0.0</v>
      </c>
      <c r="AE16" s="15">
        <v>0.0</v>
      </c>
      <c r="AF16" s="15">
        <v>0.0</v>
      </c>
      <c r="AG16" s="36">
        <v>975.99</v>
      </c>
      <c r="AH16" s="15">
        <v>0.0</v>
      </c>
      <c r="AI16" s="15">
        <v>0.0</v>
      </c>
      <c r="AJ16" s="15">
        <v>0.0</v>
      </c>
      <c r="AK16" s="36">
        <v>975.99</v>
      </c>
      <c r="AL16" s="15">
        <v>0.0</v>
      </c>
      <c r="AM16" s="15">
        <v>0.0</v>
      </c>
      <c r="AN16" s="15">
        <v>0.0</v>
      </c>
      <c r="AO16" s="36">
        <v>928.68</v>
      </c>
      <c r="AP16" s="15">
        <v>0.0</v>
      </c>
      <c r="AQ16" s="15">
        <v>0.0</v>
      </c>
      <c r="AR16" s="15">
        <v>0.0</v>
      </c>
      <c r="AS16" s="36">
        <v>928.68</v>
      </c>
      <c r="AT16" s="15">
        <v>0.0</v>
      </c>
      <c r="AU16" s="15">
        <v>0.0</v>
      </c>
      <c r="AV16" s="15">
        <v>0.0</v>
      </c>
      <c r="AW16" s="36">
        <v>928.68</v>
      </c>
      <c r="AX16" s="15">
        <v>0.0</v>
      </c>
      <c r="AY16" s="15">
        <v>0.0</v>
      </c>
      <c r="AZ16" s="15">
        <v>0.0</v>
      </c>
      <c r="BA16" s="36">
        <v>928.68</v>
      </c>
      <c r="BB16" s="15">
        <v>0.0</v>
      </c>
      <c r="BC16" s="15">
        <v>0.0</v>
      </c>
      <c r="BD16" s="15">
        <v>0.0</v>
      </c>
      <c r="BE16" s="36">
        <v>926.51</v>
      </c>
    </row>
    <row r="17" ht="12.0" customHeight="1">
      <c r="A17" s="34">
        <v>339.06</v>
      </c>
      <c r="B17" s="34">
        <v>186.85</v>
      </c>
      <c r="C17" s="34">
        <v>206.82</v>
      </c>
      <c r="D17" s="34">
        <f t="shared" si="2"/>
        <v>250.4833333</v>
      </c>
      <c r="E17" s="37" t="s">
        <v>72</v>
      </c>
      <c r="F17" s="11">
        <f t="shared" si="3"/>
        <v>3005.8</v>
      </c>
      <c r="G17" s="12">
        <f t="shared" ref="G17:I17" si="30">J17+N17+R17+V17+Z17+AD17+AH17+AL17+AP17+AT17+AX17+BB17</f>
        <v>0</v>
      </c>
      <c r="H17" s="13">
        <f t="shared" si="30"/>
        <v>0</v>
      </c>
      <c r="I17" s="14">
        <f t="shared" si="30"/>
        <v>0</v>
      </c>
      <c r="J17" s="15">
        <v>0.0</v>
      </c>
      <c r="K17" s="15">
        <v>0.0</v>
      </c>
      <c r="L17" s="15">
        <v>0.0</v>
      </c>
      <c r="M17" s="36">
        <v>254.15</v>
      </c>
      <c r="N17" s="15">
        <v>0.0</v>
      </c>
      <c r="O17" s="15">
        <v>0.0</v>
      </c>
      <c r="P17" s="15">
        <v>0.0</v>
      </c>
      <c r="Q17" s="36">
        <v>250.15</v>
      </c>
      <c r="R17" s="15">
        <v>0.0</v>
      </c>
      <c r="S17" s="15">
        <v>0.0</v>
      </c>
      <c r="T17" s="15">
        <v>0.0</v>
      </c>
      <c r="U17" s="36">
        <v>250.15</v>
      </c>
      <c r="V17" s="15">
        <v>0.0</v>
      </c>
      <c r="W17" s="15">
        <v>0.0</v>
      </c>
      <c r="X17" s="15">
        <v>0.0</v>
      </c>
      <c r="Y17" s="36">
        <v>250.15</v>
      </c>
      <c r="Z17" s="15">
        <v>0.0</v>
      </c>
      <c r="AA17" s="15">
        <v>0.0</v>
      </c>
      <c r="AB17" s="15">
        <v>0.0</v>
      </c>
      <c r="AC17" s="36">
        <v>250.15</v>
      </c>
      <c r="AD17" s="15">
        <v>0.0</v>
      </c>
      <c r="AE17" s="15">
        <v>0.0</v>
      </c>
      <c r="AF17" s="15">
        <v>0.0</v>
      </c>
      <c r="AG17" s="36">
        <v>250.15</v>
      </c>
      <c r="AH17" s="15">
        <v>0.0</v>
      </c>
      <c r="AI17" s="15">
        <v>0.0</v>
      </c>
      <c r="AJ17" s="15">
        <v>0.0</v>
      </c>
      <c r="AK17" s="36">
        <v>250.15</v>
      </c>
      <c r="AL17" s="15">
        <v>0.0</v>
      </c>
      <c r="AM17" s="15">
        <v>0.0</v>
      </c>
      <c r="AN17" s="15">
        <v>0.0</v>
      </c>
      <c r="AO17" s="36">
        <v>250.15</v>
      </c>
      <c r="AP17" s="15">
        <v>0.0</v>
      </c>
      <c r="AQ17" s="15">
        <v>0.0</v>
      </c>
      <c r="AR17" s="15">
        <v>0.0</v>
      </c>
      <c r="AS17" s="36">
        <v>250.15</v>
      </c>
      <c r="AT17" s="15">
        <v>0.0</v>
      </c>
      <c r="AU17" s="15">
        <v>0.0</v>
      </c>
      <c r="AV17" s="15">
        <v>0.0</v>
      </c>
      <c r="AW17" s="36">
        <v>250.15</v>
      </c>
      <c r="AX17" s="15">
        <v>0.0</v>
      </c>
      <c r="AY17" s="15">
        <v>0.0</v>
      </c>
      <c r="AZ17" s="15">
        <v>0.0</v>
      </c>
      <c r="BA17" s="36">
        <v>250.15</v>
      </c>
      <c r="BB17" s="15">
        <v>0.0</v>
      </c>
      <c r="BC17" s="15">
        <v>0.0</v>
      </c>
      <c r="BD17" s="15">
        <v>0.0</v>
      </c>
      <c r="BE17" s="36">
        <v>250.15</v>
      </c>
    </row>
    <row r="18" ht="12.0" customHeight="1">
      <c r="A18" s="38">
        <v>50920.35</v>
      </c>
      <c r="B18" s="38">
        <v>49918.69</v>
      </c>
      <c r="C18" s="38">
        <f t="shared" ref="C18:D18" si="31">SUM(C2:C17)</f>
        <v>48863.59</v>
      </c>
      <c r="D18" s="38">
        <f t="shared" si="31"/>
        <v>49664.81917</v>
      </c>
      <c r="E18" s="2" t="s">
        <v>73</v>
      </c>
      <c r="F18" s="39">
        <f t="shared" si="3"/>
        <v>595977.83</v>
      </c>
      <c r="G18" s="39">
        <f t="shared" ref="G18:BE18" si="32">SUM(G2:G17)</f>
        <v>226899.2</v>
      </c>
      <c r="H18" s="39">
        <f t="shared" si="32"/>
        <v>321874.64</v>
      </c>
      <c r="I18" s="39">
        <f t="shared" si="32"/>
        <v>32725.03</v>
      </c>
      <c r="J18" s="39">
        <f t="shared" si="32"/>
        <v>14975.56</v>
      </c>
      <c r="K18" s="39">
        <f t="shared" si="32"/>
        <v>24385.66</v>
      </c>
      <c r="L18" s="39">
        <f t="shared" si="32"/>
        <v>2412.13</v>
      </c>
      <c r="M18" s="39">
        <f t="shared" si="32"/>
        <v>43003.49</v>
      </c>
      <c r="N18" s="39">
        <f t="shared" si="32"/>
        <v>15096.33</v>
      </c>
      <c r="O18" s="39">
        <f t="shared" si="32"/>
        <v>23914.95</v>
      </c>
      <c r="P18" s="39">
        <f t="shared" si="32"/>
        <v>2527.71</v>
      </c>
      <c r="Q18" s="39">
        <f t="shared" si="32"/>
        <v>42765.13</v>
      </c>
      <c r="R18" s="39">
        <f t="shared" si="32"/>
        <v>15061.73</v>
      </c>
      <c r="S18" s="39">
        <f t="shared" si="32"/>
        <v>24500.58</v>
      </c>
      <c r="T18" s="39">
        <f t="shared" si="32"/>
        <v>2484.57</v>
      </c>
      <c r="U18" s="39">
        <f t="shared" si="32"/>
        <v>43273.02</v>
      </c>
      <c r="V18" s="39">
        <f t="shared" si="32"/>
        <v>17561.05</v>
      </c>
      <c r="W18" s="39">
        <f t="shared" si="32"/>
        <v>24506.38</v>
      </c>
      <c r="X18" s="39">
        <f t="shared" si="32"/>
        <v>2494.78</v>
      </c>
      <c r="Y18" s="39">
        <f t="shared" si="32"/>
        <v>45788.35</v>
      </c>
      <c r="Z18" s="39">
        <f t="shared" si="32"/>
        <v>16962.64</v>
      </c>
      <c r="AA18" s="39">
        <f t="shared" si="32"/>
        <v>24888.4</v>
      </c>
      <c r="AB18" s="39">
        <f t="shared" si="32"/>
        <v>2484.15</v>
      </c>
      <c r="AC18" s="39">
        <f t="shared" si="32"/>
        <v>45561.33</v>
      </c>
      <c r="AD18" s="39">
        <f t="shared" si="32"/>
        <v>17798.59</v>
      </c>
      <c r="AE18" s="39">
        <f t="shared" si="32"/>
        <v>23741.94</v>
      </c>
      <c r="AF18" s="39">
        <f t="shared" si="32"/>
        <v>2578.65</v>
      </c>
      <c r="AG18" s="39">
        <f t="shared" si="32"/>
        <v>45345.32</v>
      </c>
      <c r="AH18" s="39">
        <f t="shared" si="32"/>
        <v>26761.52</v>
      </c>
      <c r="AI18" s="39">
        <f t="shared" si="32"/>
        <v>36749.63</v>
      </c>
      <c r="AJ18" s="39">
        <f t="shared" si="32"/>
        <v>3855.76</v>
      </c>
      <c r="AK18" s="39">
        <f t="shared" si="32"/>
        <v>68593.05</v>
      </c>
      <c r="AL18" s="39">
        <f t="shared" si="32"/>
        <v>18836.9</v>
      </c>
      <c r="AM18" s="39">
        <f t="shared" si="32"/>
        <v>26574.81</v>
      </c>
      <c r="AN18" s="39">
        <f t="shared" si="32"/>
        <v>2516.05</v>
      </c>
      <c r="AO18" s="39">
        <f t="shared" si="32"/>
        <v>49106.59</v>
      </c>
      <c r="AP18" s="39">
        <f t="shared" si="32"/>
        <v>17835.32</v>
      </c>
      <c r="AQ18" s="39">
        <f t="shared" si="32"/>
        <v>26924.24</v>
      </c>
      <c r="AR18" s="39">
        <f t="shared" si="32"/>
        <v>2579.41</v>
      </c>
      <c r="AS18" s="39">
        <f t="shared" si="32"/>
        <v>48517.8</v>
      </c>
      <c r="AT18" s="39">
        <f t="shared" si="32"/>
        <v>18884.15</v>
      </c>
      <c r="AU18" s="39">
        <f t="shared" si="32"/>
        <v>24549.31</v>
      </c>
      <c r="AV18" s="39">
        <f t="shared" si="32"/>
        <v>2451.63</v>
      </c>
      <c r="AW18" s="39">
        <f t="shared" si="32"/>
        <v>47063.92</v>
      </c>
      <c r="AX18" s="39">
        <f t="shared" si="32"/>
        <v>19799.53</v>
      </c>
      <c r="AY18" s="39">
        <f t="shared" si="32"/>
        <v>25596.59</v>
      </c>
      <c r="AZ18" s="39">
        <f t="shared" si="32"/>
        <v>2567.52</v>
      </c>
      <c r="BA18" s="39">
        <f t="shared" si="32"/>
        <v>49142.47</v>
      </c>
      <c r="BB18" s="39">
        <f t="shared" si="32"/>
        <v>27325.88</v>
      </c>
      <c r="BC18" s="39">
        <f t="shared" si="32"/>
        <v>35542.15</v>
      </c>
      <c r="BD18" s="39">
        <f t="shared" si="32"/>
        <v>3772.67</v>
      </c>
      <c r="BE18" s="39">
        <f t="shared" si="32"/>
        <v>67817.36</v>
      </c>
    </row>
    <row r="19" ht="12.0" customHeight="1">
      <c r="A19" s="40" t="s">
        <v>74</v>
      </c>
      <c r="B19" s="40" t="s">
        <v>74</v>
      </c>
      <c r="C19" s="40" t="s">
        <v>74</v>
      </c>
      <c r="D19" s="41" t="s">
        <v>74</v>
      </c>
      <c r="E19" s="5" t="s">
        <v>75</v>
      </c>
      <c r="F19" s="3" t="s">
        <v>5</v>
      </c>
      <c r="G19" s="4" t="s">
        <v>6</v>
      </c>
      <c r="H19" s="5" t="s">
        <v>7</v>
      </c>
      <c r="I19" s="6" t="s">
        <v>8</v>
      </c>
      <c r="J19" s="4" t="s">
        <v>9</v>
      </c>
      <c r="K19" s="5" t="s">
        <v>10</v>
      </c>
      <c r="L19" s="7" t="s">
        <v>11</v>
      </c>
      <c r="M19" s="3" t="s">
        <v>12</v>
      </c>
      <c r="N19" s="4" t="s">
        <v>13</v>
      </c>
      <c r="O19" s="5" t="s">
        <v>14</v>
      </c>
      <c r="P19" s="7" t="s">
        <v>15</v>
      </c>
      <c r="Q19" s="3" t="s">
        <v>16</v>
      </c>
      <c r="R19" s="4" t="s">
        <v>17</v>
      </c>
      <c r="S19" s="5" t="s">
        <v>18</v>
      </c>
      <c r="T19" s="7" t="s">
        <v>19</v>
      </c>
      <c r="U19" s="3" t="s">
        <v>20</v>
      </c>
      <c r="V19" s="4" t="s">
        <v>21</v>
      </c>
      <c r="W19" s="5" t="s">
        <v>22</v>
      </c>
      <c r="X19" s="7" t="s">
        <v>23</v>
      </c>
      <c r="Y19" s="3" t="s">
        <v>24</v>
      </c>
      <c r="Z19" s="4" t="s">
        <v>25</v>
      </c>
      <c r="AA19" s="5" t="s">
        <v>26</v>
      </c>
      <c r="AB19" s="7" t="s">
        <v>27</v>
      </c>
      <c r="AC19" s="3" t="s">
        <v>28</v>
      </c>
      <c r="AD19" s="4" t="s">
        <v>29</v>
      </c>
      <c r="AE19" s="5" t="s">
        <v>30</v>
      </c>
      <c r="AF19" s="7" t="s">
        <v>31</v>
      </c>
      <c r="AG19" s="3" t="s">
        <v>32</v>
      </c>
      <c r="AH19" s="4" t="s">
        <v>33</v>
      </c>
      <c r="AI19" s="5" t="s">
        <v>34</v>
      </c>
      <c r="AJ19" s="7" t="s">
        <v>35</v>
      </c>
      <c r="AK19" s="3" t="s">
        <v>36</v>
      </c>
      <c r="AL19" s="4" t="s">
        <v>37</v>
      </c>
      <c r="AM19" s="5" t="s">
        <v>38</v>
      </c>
      <c r="AN19" s="7" t="s">
        <v>39</v>
      </c>
      <c r="AO19" s="3" t="s">
        <v>40</v>
      </c>
      <c r="AP19" s="4" t="s">
        <v>41</v>
      </c>
      <c r="AQ19" s="5" t="s">
        <v>42</v>
      </c>
      <c r="AR19" s="7" t="s">
        <v>42</v>
      </c>
      <c r="AS19" s="3" t="s">
        <v>44</v>
      </c>
      <c r="AT19" s="4" t="s">
        <v>45</v>
      </c>
      <c r="AU19" s="5" t="s">
        <v>46</v>
      </c>
      <c r="AV19" s="7" t="s">
        <v>47</v>
      </c>
      <c r="AW19" s="3" t="s">
        <v>48</v>
      </c>
      <c r="AX19" s="4" t="s">
        <v>49</v>
      </c>
      <c r="AY19" s="5" t="s">
        <v>50</v>
      </c>
      <c r="AZ19" s="7" t="s">
        <v>51</v>
      </c>
      <c r="BA19" s="3" t="s">
        <v>52</v>
      </c>
      <c r="BB19" s="4" t="s">
        <v>53</v>
      </c>
      <c r="BC19" s="5" t="s">
        <v>54</v>
      </c>
      <c r="BD19" s="7" t="s">
        <v>55</v>
      </c>
      <c r="BE19" s="3" t="s">
        <v>56</v>
      </c>
    </row>
    <row r="20" ht="12.0" customHeight="1">
      <c r="A20" s="8">
        <v>2163.3</v>
      </c>
      <c r="B20" s="31">
        <v>872.54</v>
      </c>
      <c r="C20" s="8">
        <v>749.41</v>
      </c>
      <c r="D20" s="9">
        <f t="shared" ref="D20:D35" si="34">F20/12</f>
        <v>409.0483333</v>
      </c>
      <c r="E20" s="10" t="s">
        <v>76</v>
      </c>
      <c r="F20" s="11">
        <f t="shared" ref="F20:F27" si="35">M20+Q20+U20+Y20+AC20+AG20+AK20+AO20+AS20+AW20+BA20+BE20</f>
        <v>4908.58</v>
      </c>
      <c r="G20" s="12">
        <f t="shared" ref="G20:I20" si="33">J20+N20+R20+V20+Z20+AD20+AH20+AL20+AP20+AT20+AX20+BB20</f>
        <v>228.36</v>
      </c>
      <c r="H20" s="13">
        <f t="shared" si="33"/>
        <v>4437.22</v>
      </c>
      <c r="I20" s="14">
        <f t="shared" si="33"/>
        <v>243</v>
      </c>
      <c r="J20" s="15">
        <v>0.0</v>
      </c>
      <c r="K20" s="15">
        <v>0.0</v>
      </c>
      <c r="L20" s="15">
        <v>0.0</v>
      </c>
      <c r="M20" s="16">
        <f t="shared" ref="M20:M34" si="37">J20+K20+L20</f>
        <v>0</v>
      </c>
      <c r="N20" s="15">
        <v>0.0</v>
      </c>
      <c r="O20" s="15">
        <v>173.67</v>
      </c>
      <c r="P20" s="15">
        <v>0.0</v>
      </c>
      <c r="Q20" s="16">
        <f t="shared" ref="Q20:Q34" si="38">N20+O20+P20</f>
        <v>173.67</v>
      </c>
      <c r="R20" s="15">
        <v>0.0</v>
      </c>
      <c r="S20" s="15">
        <v>127.17</v>
      </c>
      <c r="T20" s="15">
        <v>0.0</v>
      </c>
      <c r="U20" s="16">
        <f t="shared" ref="U20:U34" si="39">R20+S20+T20</f>
        <v>127.17</v>
      </c>
      <c r="V20" s="15">
        <v>0.0</v>
      </c>
      <c r="W20" s="15">
        <v>0.0</v>
      </c>
      <c r="X20" s="15">
        <v>0.0</v>
      </c>
      <c r="Y20" s="16">
        <f t="shared" ref="Y20:Y34" si="40">V20+W20+X20</f>
        <v>0</v>
      </c>
      <c r="Z20" s="15">
        <v>0.0</v>
      </c>
      <c r="AA20" s="15">
        <v>830.58</v>
      </c>
      <c r="AB20" s="15">
        <v>0.0</v>
      </c>
      <c r="AC20" s="16">
        <f t="shared" ref="AC20:AC34" si="41">Z20+AA20+AB20</f>
        <v>830.58</v>
      </c>
      <c r="AD20" s="15">
        <v>0.0</v>
      </c>
      <c r="AE20" s="15">
        <v>1380.15</v>
      </c>
      <c r="AF20" s="15">
        <v>0.0</v>
      </c>
      <c r="AG20" s="16">
        <f t="shared" ref="AG20:AG34" si="42">AD20+AE20+AF20</f>
        <v>1380.15</v>
      </c>
      <c r="AH20" s="15">
        <v>0.0</v>
      </c>
      <c r="AI20" s="15">
        <v>235.53</v>
      </c>
      <c r="AJ20" s="15">
        <v>0.0</v>
      </c>
      <c r="AK20" s="16">
        <f t="shared" ref="AK20:AK34" si="43">AH20+AI20+AJ20</f>
        <v>235.53</v>
      </c>
      <c r="AL20" s="15">
        <v>0.0</v>
      </c>
      <c r="AM20" s="15">
        <v>0.0</v>
      </c>
      <c r="AN20" s="15">
        <v>0.0</v>
      </c>
      <c r="AO20" s="16">
        <f t="shared" ref="AO20:AO34" si="44">AL20+AM20+AN20</f>
        <v>0</v>
      </c>
      <c r="AP20" s="15">
        <v>15.0</v>
      </c>
      <c r="AQ20" s="15">
        <v>513.6</v>
      </c>
      <c r="AR20" s="15">
        <v>0.0</v>
      </c>
      <c r="AS20" s="16">
        <f t="shared" ref="AS20:AS34" si="45">AP20+AQ20+AR20</f>
        <v>528.6</v>
      </c>
      <c r="AT20" s="15">
        <v>0.0</v>
      </c>
      <c r="AU20" s="15">
        <v>0.0</v>
      </c>
      <c r="AV20" s="15">
        <v>0.0</v>
      </c>
      <c r="AW20" s="16">
        <f t="shared" ref="AW20:AW34" si="46">AT20+AU20+AV20</f>
        <v>0</v>
      </c>
      <c r="AX20" s="15">
        <v>213.36</v>
      </c>
      <c r="AY20" s="15">
        <v>346.71</v>
      </c>
      <c r="AZ20" s="15">
        <v>243.0</v>
      </c>
      <c r="BA20" s="16">
        <f t="shared" ref="BA20:BA34" si="47">AX20+AY20+AZ20</f>
        <v>803.07</v>
      </c>
      <c r="BB20" s="15">
        <v>0.0</v>
      </c>
      <c r="BC20" s="15">
        <v>829.81</v>
      </c>
      <c r="BD20" s="15">
        <v>0.0</v>
      </c>
      <c r="BE20" s="16">
        <f t="shared" ref="BE20:BE34" si="48">BB20+BC20+BD20</f>
        <v>829.81</v>
      </c>
    </row>
    <row r="21" ht="12.0" customHeight="1">
      <c r="A21" s="8">
        <v>1952.36</v>
      </c>
      <c r="B21" s="31">
        <v>141.08</v>
      </c>
      <c r="C21" s="8">
        <v>396.18</v>
      </c>
      <c r="D21" s="9">
        <f t="shared" si="34"/>
        <v>269.75</v>
      </c>
      <c r="E21" s="10" t="s">
        <v>77</v>
      </c>
      <c r="F21" s="11">
        <f t="shared" si="35"/>
        <v>3237</v>
      </c>
      <c r="G21" s="12">
        <f t="shared" ref="G21:I21" si="36">J21+N21+R21+V21+Z21+AD21+AH21+AL21+AP21+AT21+AX21+BB21</f>
        <v>641.25</v>
      </c>
      <c r="H21" s="13">
        <f t="shared" si="36"/>
        <v>2465.75</v>
      </c>
      <c r="I21" s="14">
        <f t="shared" si="36"/>
        <v>130</v>
      </c>
      <c r="J21" s="15">
        <v>54.0</v>
      </c>
      <c r="K21" s="15">
        <v>544.0</v>
      </c>
      <c r="L21" s="15">
        <v>40.0</v>
      </c>
      <c r="M21" s="16">
        <f t="shared" si="37"/>
        <v>638</v>
      </c>
      <c r="N21" s="15">
        <v>60.75</v>
      </c>
      <c r="O21" s="15">
        <v>60.75</v>
      </c>
      <c r="P21" s="15">
        <v>0.0</v>
      </c>
      <c r="Q21" s="16">
        <f t="shared" si="38"/>
        <v>121.5</v>
      </c>
      <c r="R21" s="15">
        <v>60.75</v>
      </c>
      <c r="S21" s="15">
        <v>190.75</v>
      </c>
      <c r="T21" s="15">
        <v>0.0</v>
      </c>
      <c r="U21" s="16">
        <f t="shared" si="39"/>
        <v>251.5</v>
      </c>
      <c r="V21" s="15">
        <v>0.0</v>
      </c>
      <c r="W21" s="15">
        <v>94.5</v>
      </c>
      <c r="X21" s="15">
        <v>90.0</v>
      </c>
      <c r="Y21" s="16">
        <f t="shared" si="40"/>
        <v>184.5</v>
      </c>
      <c r="Z21" s="15">
        <v>60.75</v>
      </c>
      <c r="AA21" s="15">
        <v>60.75</v>
      </c>
      <c r="AB21" s="15">
        <v>0.0</v>
      </c>
      <c r="AC21" s="16">
        <f t="shared" si="41"/>
        <v>121.5</v>
      </c>
      <c r="AD21" s="15">
        <v>60.75</v>
      </c>
      <c r="AE21" s="15">
        <v>60.75</v>
      </c>
      <c r="AF21" s="15">
        <v>0.0</v>
      </c>
      <c r="AG21" s="16">
        <f t="shared" si="42"/>
        <v>121.5</v>
      </c>
      <c r="AH21" s="15">
        <v>60.75</v>
      </c>
      <c r="AI21" s="15">
        <v>60.75</v>
      </c>
      <c r="AJ21" s="15">
        <v>0.0</v>
      </c>
      <c r="AK21" s="16">
        <f t="shared" si="43"/>
        <v>121.5</v>
      </c>
      <c r="AL21" s="15">
        <v>60.75</v>
      </c>
      <c r="AM21" s="15">
        <v>60.75</v>
      </c>
      <c r="AN21" s="15">
        <v>0.0</v>
      </c>
      <c r="AO21" s="16">
        <f t="shared" si="44"/>
        <v>121.5</v>
      </c>
      <c r="AP21" s="15">
        <v>40.5</v>
      </c>
      <c r="AQ21" s="15">
        <v>40.5</v>
      </c>
      <c r="AR21" s="15">
        <v>0.0</v>
      </c>
      <c r="AS21" s="16">
        <f t="shared" si="45"/>
        <v>81</v>
      </c>
      <c r="AT21" s="15">
        <v>60.75</v>
      </c>
      <c r="AU21" s="15">
        <v>940.75</v>
      </c>
      <c r="AV21" s="15">
        <v>0.0</v>
      </c>
      <c r="AW21" s="16">
        <f t="shared" si="46"/>
        <v>1001.5</v>
      </c>
      <c r="AX21" s="15">
        <v>60.75</v>
      </c>
      <c r="AY21" s="15">
        <v>60.75</v>
      </c>
      <c r="AZ21" s="15">
        <v>0.0</v>
      </c>
      <c r="BA21" s="16">
        <f t="shared" si="47"/>
        <v>121.5</v>
      </c>
      <c r="BB21" s="15">
        <v>60.75</v>
      </c>
      <c r="BC21" s="15">
        <v>290.75</v>
      </c>
      <c r="BD21" s="15">
        <v>0.0</v>
      </c>
      <c r="BE21" s="16">
        <f t="shared" si="48"/>
        <v>351.5</v>
      </c>
    </row>
    <row r="22" ht="12.0" customHeight="1">
      <c r="A22" s="31">
        <v>549.63</v>
      </c>
      <c r="B22" s="31">
        <v>370.29</v>
      </c>
      <c r="C22" s="8">
        <v>838.5</v>
      </c>
      <c r="D22" s="17">
        <f t="shared" si="34"/>
        <v>3197.235833</v>
      </c>
      <c r="E22" s="18" t="s">
        <v>78</v>
      </c>
      <c r="F22" s="11">
        <f t="shared" si="35"/>
        <v>38366.83</v>
      </c>
      <c r="G22" s="12">
        <f t="shared" ref="G22:I22" si="49">J22+N22+R22+V22+Z22+AD22+AH22+AL22+AP22+AT22+AX22+BB22</f>
        <v>10638.08</v>
      </c>
      <c r="H22" s="13">
        <f t="shared" si="49"/>
        <v>26377.49</v>
      </c>
      <c r="I22" s="14">
        <f t="shared" si="49"/>
        <v>1351.26</v>
      </c>
      <c r="J22" s="15">
        <v>0.0</v>
      </c>
      <c r="K22" s="15">
        <v>47.65</v>
      </c>
      <c r="L22" s="15">
        <v>0.0</v>
      </c>
      <c r="M22" s="16">
        <f t="shared" si="37"/>
        <v>47.65</v>
      </c>
      <c r="N22" s="15">
        <v>0.0</v>
      </c>
      <c r="O22" s="15">
        <v>0.0</v>
      </c>
      <c r="P22" s="15">
        <v>0.0</v>
      </c>
      <c r="Q22" s="16">
        <f t="shared" si="38"/>
        <v>0</v>
      </c>
      <c r="R22" s="15">
        <v>71.81</v>
      </c>
      <c r="S22" s="15">
        <v>105.01</v>
      </c>
      <c r="T22" s="15">
        <v>2.18</v>
      </c>
      <c r="U22" s="16">
        <f t="shared" si="39"/>
        <v>179</v>
      </c>
      <c r="V22" s="15">
        <v>0.0</v>
      </c>
      <c r="W22" s="15">
        <v>47.65</v>
      </c>
      <c r="X22" s="15">
        <v>113.1</v>
      </c>
      <c r="Y22" s="16">
        <f t="shared" si="40"/>
        <v>160.75</v>
      </c>
      <c r="Z22" s="15">
        <v>769.54</v>
      </c>
      <c r="AA22" s="15">
        <v>269.81</v>
      </c>
      <c r="AB22" s="15">
        <v>18.03</v>
      </c>
      <c r="AC22" s="16">
        <f t="shared" si="41"/>
        <v>1057.38</v>
      </c>
      <c r="AD22" s="15">
        <v>0.0</v>
      </c>
      <c r="AE22" s="15">
        <v>0.0</v>
      </c>
      <c r="AF22" s="15">
        <v>0.0</v>
      </c>
      <c r="AG22" s="16">
        <f t="shared" si="42"/>
        <v>0</v>
      </c>
      <c r="AH22" s="15">
        <v>2457.84</v>
      </c>
      <c r="AI22" s="15">
        <v>3425.28</v>
      </c>
      <c r="AJ22" s="15">
        <v>307.23</v>
      </c>
      <c r="AK22" s="16">
        <f t="shared" si="43"/>
        <v>6190.35</v>
      </c>
      <c r="AL22" s="15">
        <v>0.0</v>
      </c>
      <c r="AM22" s="15">
        <v>7866.73</v>
      </c>
      <c r="AN22" s="15">
        <v>0.0</v>
      </c>
      <c r="AO22" s="16">
        <f t="shared" si="44"/>
        <v>7866.73</v>
      </c>
      <c r="AP22" s="15">
        <v>478.17</v>
      </c>
      <c r="AQ22" s="15">
        <v>742.24</v>
      </c>
      <c r="AR22" s="15">
        <v>53.13</v>
      </c>
      <c r="AS22" s="16">
        <f t="shared" si="45"/>
        <v>1273.54</v>
      </c>
      <c r="AT22" s="15">
        <v>0.0</v>
      </c>
      <c r="AU22" s="15">
        <v>269.63</v>
      </c>
      <c r="AV22" s="15">
        <v>0.0</v>
      </c>
      <c r="AW22" s="16">
        <f t="shared" si="46"/>
        <v>269.63</v>
      </c>
      <c r="AX22" s="15">
        <v>6860.72</v>
      </c>
      <c r="AY22" s="15">
        <v>11148.67</v>
      </c>
      <c r="AZ22" s="15">
        <v>857.59</v>
      </c>
      <c r="BA22" s="16">
        <f t="shared" si="47"/>
        <v>18866.98</v>
      </c>
      <c r="BB22" s="15">
        <v>0.0</v>
      </c>
      <c r="BC22" s="15">
        <v>2454.82</v>
      </c>
      <c r="BD22" s="15">
        <v>0.0</v>
      </c>
      <c r="BE22" s="16">
        <f t="shared" si="48"/>
        <v>2454.82</v>
      </c>
    </row>
    <row r="23" ht="12.0" customHeight="1">
      <c r="A23" s="31">
        <v>521.05</v>
      </c>
      <c r="B23" s="31">
        <v>553.22</v>
      </c>
      <c r="C23" s="8">
        <v>396.93</v>
      </c>
      <c r="D23" s="9">
        <f t="shared" si="34"/>
        <v>183.0691667</v>
      </c>
      <c r="E23" s="10" t="s">
        <v>79</v>
      </c>
      <c r="F23" s="11">
        <f t="shared" si="35"/>
        <v>2196.83</v>
      </c>
      <c r="G23" s="12">
        <f t="shared" ref="G23:I23" si="50">J23+N23+R23+V23+Z23+AD23+AH23+AL23+AP23+AT23+AX23+BB23</f>
        <v>720.17</v>
      </c>
      <c r="H23" s="13">
        <f t="shared" si="50"/>
        <v>1062.91</v>
      </c>
      <c r="I23" s="14">
        <f t="shared" si="50"/>
        <v>413.75</v>
      </c>
      <c r="J23" s="15">
        <v>0.0</v>
      </c>
      <c r="K23" s="15">
        <v>86.86</v>
      </c>
      <c r="L23" s="15">
        <v>0.0</v>
      </c>
      <c r="M23" s="16">
        <f t="shared" si="37"/>
        <v>86.86</v>
      </c>
      <c r="N23" s="15">
        <v>0.0</v>
      </c>
      <c r="O23" s="15">
        <v>22.72</v>
      </c>
      <c r="P23" s="15">
        <v>119.59</v>
      </c>
      <c r="Q23" s="16">
        <f t="shared" si="38"/>
        <v>142.31</v>
      </c>
      <c r="R23" s="15">
        <v>0.0</v>
      </c>
      <c r="S23" s="15">
        <v>0.0</v>
      </c>
      <c r="T23" s="15">
        <v>0.0</v>
      </c>
      <c r="U23" s="16">
        <f t="shared" si="39"/>
        <v>0</v>
      </c>
      <c r="V23" s="15">
        <v>9.51</v>
      </c>
      <c r="W23" s="15">
        <v>0.0</v>
      </c>
      <c r="X23" s="15">
        <v>0.0</v>
      </c>
      <c r="Y23" s="16">
        <f t="shared" si="40"/>
        <v>9.51</v>
      </c>
      <c r="Z23" s="15">
        <v>49.5</v>
      </c>
      <c r="AA23" s="15">
        <v>61.5</v>
      </c>
      <c r="AB23" s="15">
        <v>117.0</v>
      </c>
      <c r="AC23" s="16">
        <f t="shared" si="41"/>
        <v>228</v>
      </c>
      <c r="AD23" s="15">
        <v>0.0</v>
      </c>
      <c r="AE23" s="15">
        <v>0.0</v>
      </c>
      <c r="AF23" s="15">
        <v>0.0</v>
      </c>
      <c r="AG23" s="16">
        <f t="shared" si="42"/>
        <v>0</v>
      </c>
      <c r="AH23" s="15">
        <v>17.64</v>
      </c>
      <c r="AI23" s="15">
        <v>0.0</v>
      </c>
      <c r="AJ23" s="15">
        <v>0.0</v>
      </c>
      <c r="AK23" s="16">
        <f t="shared" si="43"/>
        <v>17.64</v>
      </c>
      <c r="AL23" s="15">
        <v>0.0</v>
      </c>
      <c r="AM23" s="15">
        <v>0.0</v>
      </c>
      <c r="AN23" s="15">
        <v>0.0</v>
      </c>
      <c r="AO23" s="16">
        <f t="shared" si="44"/>
        <v>0</v>
      </c>
      <c r="AP23" s="15">
        <v>0.0</v>
      </c>
      <c r="AQ23" s="15">
        <v>0.0</v>
      </c>
      <c r="AR23" s="15">
        <v>25.0</v>
      </c>
      <c r="AS23" s="16">
        <f t="shared" si="45"/>
        <v>25</v>
      </c>
      <c r="AT23" s="15">
        <v>0.0</v>
      </c>
      <c r="AU23" s="15">
        <v>20.16</v>
      </c>
      <c r="AV23" s="15">
        <v>78.51</v>
      </c>
      <c r="AW23" s="16">
        <f t="shared" si="46"/>
        <v>98.67</v>
      </c>
      <c r="AX23" s="15">
        <v>0.0</v>
      </c>
      <c r="AY23" s="15">
        <v>85.95</v>
      </c>
      <c r="AZ23" s="15">
        <v>0.0</v>
      </c>
      <c r="BA23" s="16">
        <f t="shared" si="47"/>
        <v>85.95</v>
      </c>
      <c r="BB23" s="15">
        <v>643.52</v>
      </c>
      <c r="BC23" s="15">
        <v>785.72</v>
      </c>
      <c r="BD23" s="15">
        <v>73.65</v>
      </c>
      <c r="BE23" s="16">
        <f t="shared" si="48"/>
        <v>1502.89</v>
      </c>
    </row>
    <row r="24" ht="12.0" customHeight="1">
      <c r="A24" s="31">
        <v>470.6</v>
      </c>
      <c r="B24" s="31">
        <v>204.26</v>
      </c>
      <c r="C24" s="8">
        <v>560.93</v>
      </c>
      <c r="D24" s="9">
        <f t="shared" si="34"/>
        <v>397.2708333</v>
      </c>
      <c r="E24" s="10" t="s">
        <v>80</v>
      </c>
      <c r="F24" s="11">
        <f t="shared" si="35"/>
        <v>4767.25</v>
      </c>
      <c r="G24" s="12">
        <f t="shared" ref="G24:I24" si="51">J24+N24+R24+V24+Z24+AD24+AH24+AL24+AP24+AT24+AX24+BB24</f>
        <v>3807.79</v>
      </c>
      <c r="H24" s="13">
        <f t="shared" si="51"/>
        <v>885.66</v>
      </c>
      <c r="I24" s="14">
        <f t="shared" si="51"/>
        <v>73.8</v>
      </c>
      <c r="J24" s="15">
        <v>58.95</v>
      </c>
      <c r="K24" s="15">
        <v>0.0</v>
      </c>
      <c r="L24" s="15">
        <v>0.0</v>
      </c>
      <c r="M24" s="16">
        <f t="shared" si="37"/>
        <v>58.95</v>
      </c>
      <c r="N24" s="15">
        <v>210.44</v>
      </c>
      <c r="O24" s="15">
        <v>0.0</v>
      </c>
      <c r="P24" s="15">
        <v>0.0</v>
      </c>
      <c r="Q24" s="16">
        <f t="shared" si="38"/>
        <v>210.44</v>
      </c>
      <c r="R24" s="15">
        <v>0.0</v>
      </c>
      <c r="S24" s="15">
        <v>0.0</v>
      </c>
      <c r="T24" s="15">
        <v>0.0</v>
      </c>
      <c r="U24" s="16">
        <f t="shared" si="39"/>
        <v>0</v>
      </c>
      <c r="V24" s="15">
        <v>1485.81</v>
      </c>
      <c r="W24" s="15">
        <v>885.66</v>
      </c>
      <c r="X24" s="15">
        <v>73.8</v>
      </c>
      <c r="Y24" s="16">
        <f t="shared" si="40"/>
        <v>2445.27</v>
      </c>
      <c r="Z24" s="15">
        <v>0.0</v>
      </c>
      <c r="AA24" s="15">
        <v>0.0</v>
      </c>
      <c r="AB24" s="15">
        <v>0.0</v>
      </c>
      <c r="AC24" s="16">
        <f t="shared" si="41"/>
        <v>0</v>
      </c>
      <c r="AD24" s="15">
        <v>60.75</v>
      </c>
      <c r="AE24" s="15">
        <v>0.0</v>
      </c>
      <c r="AF24" s="15">
        <v>0.0</v>
      </c>
      <c r="AG24" s="16">
        <f t="shared" si="42"/>
        <v>60.75</v>
      </c>
      <c r="AH24" s="15">
        <v>143.91</v>
      </c>
      <c r="AI24" s="15">
        <v>0.0</v>
      </c>
      <c r="AJ24" s="15">
        <v>0.0</v>
      </c>
      <c r="AK24" s="16">
        <f t="shared" si="43"/>
        <v>143.91</v>
      </c>
      <c r="AL24" s="15">
        <v>379.71</v>
      </c>
      <c r="AM24" s="15">
        <v>0.0</v>
      </c>
      <c r="AN24" s="15">
        <v>0.0</v>
      </c>
      <c r="AO24" s="16">
        <f t="shared" si="44"/>
        <v>379.71</v>
      </c>
      <c r="AP24" s="15">
        <v>796.94</v>
      </c>
      <c r="AQ24" s="15">
        <v>0.0</v>
      </c>
      <c r="AR24" s="15">
        <v>0.0</v>
      </c>
      <c r="AS24" s="16">
        <f t="shared" si="45"/>
        <v>796.94</v>
      </c>
      <c r="AT24" s="15">
        <v>46.5</v>
      </c>
      <c r="AU24" s="15">
        <v>0.0</v>
      </c>
      <c r="AV24" s="15">
        <v>0.0</v>
      </c>
      <c r="AW24" s="16">
        <f t="shared" si="46"/>
        <v>46.5</v>
      </c>
      <c r="AX24" s="15">
        <v>564.78</v>
      </c>
      <c r="AY24" s="15">
        <v>0.0</v>
      </c>
      <c r="AZ24" s="15">
        <v>0.0</v>
      </c>
      <c r="BA24" s="16">
        <f t="shared" si="47"/>
        <v>564.78</v>
      </c>
      <c r="BB24" s="15">
        <v>60.0</v>
      </c>
      <c r="BC24" s="15">
        <v>0.0</v>
      </c>
      <c r="BD24" s="15">
        <v>0.0</v>
      </c>
      <c r="BE24" s="16">
        <f t="shared" si="48"/>
        <v>60</v>
      </c>
    </row>
    <row r="25" ht="12.0" customHeight="1">
      <c r="A25" s="30">
        <v>379.48</v>
      </c>
      <c r="B25" s="31">
        <v>155.08</v>
      </c>
      <c r="C25" s="8">
        <v>128.02</v>
      </c>
      <c r="D25" s="9">
        <f t="shared" si="34"/>
        <v>97.43416667</v>
      </c>
      <c r="E25" s="10" t="s">
        <v>81</v>
      </c>
      <c r="F25" s="11">
        <f t="shared" si="35"/>
        <v>1169.21</v>
      </c>
      <c r="G25" s="12">
        <f t="shared" ref="G25:I25" si="52">J25+N25+R25+V25+Z25+AD25+AH25+AL25+AP25+AT25+AX25+BB25</f>
        <v>903.68</v>
      </c>
      <c r="H25" s="13">
        <f t="shared" si="52"/>
        <v>259.88</v>
      </c>
      <c r="I25" s="14">
        <f t="shared" si="52"/>
        <v>5.65</v>
      </c>
      <c r="J25" s="21">
        <v>71.54</v>
      </c>
      <c r="K25" s="22">
        <v>16.0</v>
      </c>
      <c r="L25" s="22">
        <v>0.0</v>
      </c>
      <c r="M25" s="23">
        <f t="shared" si="37"/>
        <v>87.54</v>
      </c>
      <c r="N25" s="21">
        <v>71.54</v>
      </c>
      <c r="O25" s="22">
        <v>16.0</v>
      </c>
      <c r="P25" s="22">
        <v>0.0</v>
      </c>
      <c r="Q25" s="23">
        <f t="shared" si="38"/>
        <v>87.54</v>
      </c>
      <c r="R25" s="21">
        <v>71.54</v>
      </c>
      <c r="S25" s="22">
        <v>16.0</v>
      </c>
      <c r="T25" s="22">
        <v>0.0</v>
      </c>
      <c r="U25" s="23">
        <f t="shared" si="39"/>
        <v>87.54</v>
      </c>
      <c r="V25" s="24">
        <v>116.74</v>
      </c>
      <c r="W25" s="25">
        <v>83.88</v>
      </c>
      <c r="X25" s="25">
        <v>5.65</v>
      </c>
      <c r="Y25" s="23">
        <f t="shared" si="40"/>
        <v>206.27</v>
      </c>
      <c r="Z25" s="21">
        <v>71.54</v>
      </c>
      <c r="AA25" s="22">
        <v>16.0</v>
      </c>
      <c r="AB25" s="22">
        <v>0.0</v>
      </c>
      <c r="AC25" s="23">
        <f t="shared" si="41"/>
        <v>87.54</v>
      </c>
      <c r="AD25" s="21">
        <v>71.54</v>
      </c>
      <c r="AE25" s="22">
        <v>16.0</v>
      </c>
      <c r="AF25" s="22">
        <v>0.0</v>
      </c>
      <c r="AG25" s="23">
        <f t="shared" si="42"/>
        <v>87.54</v>
      </c>
      <c r="AH25" s="21">
        <v>71.54</v>
      </c>
      <c r="AI25" s="22">
        <v>16.0</v>
      </c>
      <c r="AJ25" s="22">
        <v>0.0</v>
      </c>
      <c r="AK25" s="23">
        <f t="shared" si="43"/>
        <v>87.54</v>
      </c>
      <c r="AL25" s="21">
        <v>71.54</v>
      </c>
      <c r="AM25" s="22">
        <v>16.0</v>
      </c>
      <c r="AN25" s="22">
        <v>0.0</v>
      </c>
      <c r="AO25" s="23">
        <f t="shared" si="44"/>
        <v>87.54</v>
      </c>
      <c r="AP25" s="21">
        <v>71.54</v>
      </c>
      <c r="AQ25" s="22">
        <v>16.0</v>
      </c>
      <c r="AR25" s="22">
        <v>0.0</v>
      </c>
      <c r="AS25" s="23">
        <f t="shared" si="45"/>
        <v>87.54</v>
      </c>
      <c r="AT25" s="21">
        <v>71.54</v>
      </c>
      <c r="AU25" s="22">
        <v>16.0</v>
      </c>
      <c r="AV25" s="22">
        <v>0.0</v>
      </c>
      <c r="AW25" s="23">
        <f t="shared" si="46"/>
        <v>87.54</v>
      </c>
      <c r="AX25" s="21">
        <v>71.54</v>
      </c>
      <c r="AY25" s="22">
        <v>16.0</v>
      </c>
      <c r="AZ25" s="22">
        <v>0.0</v>
      </c>
      <c r="BA25" s="23">
        <f t="shared" si="47"/>
        <v>87.54</v>
      </c>
      <c r="BB25" s="21">
        <v>71.54</v>
      </c>
      <c r="BC25" s="22">
        <v>16.0</v>
      </c>
      <c r="BD25" s="22">
        <v>0.0</v>
      </c>
      <c r="BE25" s="23">
        <f t="shared" si="48"/>
        <v>87.54</v>
      </c>
    </row>
    <row r="26" ht="12.0" customHeight="1">
      <c r="A26" s="30">
        <v>288.25</v>
      </c>
      <c r="B26" s="31">
        <v>252.9</v>
      </c>
      <c r="C26" s="8">
        <v>453.73</v>
      </c>
      <c r="D26" s="19">
        <f t="shared" si="34"/>
        <v>82.5325</v>
      </c>
      <c r="E26" s="42" t="s">
        <v>82</v>
      </c>
      <c r="F26" s="11">
        <f t="shared" si="35"/>
        <v>990.39</v>
      </c>
      <c r="G26" s="12">
        <f t="shared" ref="G26:I26" si="53">J26+N26+R26+V26+Z26+AD26+AH26+AL26+AP26+AT26+AX26+BB26</f>
        <v>0</v>
      </c>
      <c r="H26" s="13">
        <f t="shared" si="53"/>
        <v>832.91</v>
      </c>
      <c r="I26" s="14">
        <f t="shared" si="53"/>
        <v>157.48</v>
      </c>
      <c r="J26" s="43">
        <v>0.0</v>
      </c>
      <c r="K26" s="43">
        <v>45.15</v>
      </c>
      <c r="L26" s="43">
        <v>6.87</v>
      </c>
      <c r="M26" s="16">
        <f t="shared" si="37"/>
        <v>52.02</v>
      </c>
      <c r="N26" s="44">
        <v>0.0</v>
      </c>
      <c r="O26" s="44">
        <v>59.12</v>
      </c>
      <c r="P26" s="44">
        <v>20.05</v>
      </c>
      <c r="Q26" s="16">
        <f t="shared" si="38"/>
        <v>79.17</v>
      </c>
      <c r="R26" s="15">
        <v>0.0</v>
      </c>
      <c r="S26" s="15">
        <v>48.08</v>
      </c>
      <c r="T26" s="15">
        <v>11.52</v>
      </c>
      <c r="U26" s="16">
        <f t="shared" si="39"/>
        <v>59.6</v>
      </c>
      <c r="V26" s="15">
        <v>0.0</v>
      </c>
      <c r="W26" s="15">
        <v>45.46</v>
      </c>
      <c r="X26" s="15">
        <v>9.49</v>
      </c>
      <c r="Y26" s="16">
        <f t="shared" si="40"/>
        <v>54.95</v>
      </c>
      <c r="Z26" s="15">
        <v>0.0</v>
      </c>
      <c r="AA26" s="15">
        <v>41.47</v>
      </c>
      <c r="AB26" s="15">
        <v>8.97</v>
      </c>
      <c r="AC26" s="16">
        <f t="shared" si="41"/>
        <v>50.44</v>
      </c>
      <c r="AD26" s="15">
        <v>0.0</v>
      </c>
      <c r="AE26" s="15">
        <v>95.5</v>
      </c>
      <c r="AF26" s="15">
        <v>9.27</v>
      </c>
      <c r="AG26" s="16">
        <f t="shared" si="42"/>
        <v>104.77</v>
      </c>
      <c r="AH26" s="15">
        <v>0.0</v>
      </c>
      <c r="AI26" s="15">
        <v>66.64</v>
      </c>
      <c r="AJ26" s="15">
        <v>20.41</v>
      </c>
      <c r="AK26" s="16">
        <f t="shared" si="43"/>
        <v>87.05</v>
      </c>
      <c r="AL26" s="15">
        <v>0.0</v>
      </c>
      <c r="AM26" s="15">
        <v>207.2</v>
      </c>
      <c r="AN26" s="15">
        <v>20.25</v>
      </c>
      <c r="AO26" s="16">
        <f t="shared" si="44"/>
        <v>227.45</v>
      </c>
      <c r="AP26" s="15">
        <v>0.0</v>
      </c>
      <c r="AQ26" s="15">
        <v>69.79</v>
      </c>
      <c r="AR26" s="15">
        <v>11.84</v>
      </c>
      <c r="AS26" s="16">
        <f t="shared" si="45"/>
        <v>81.63</v>
      </c>
      <c r="AT26" s="15">
        <v>0.0</v>
      </c>
      <c r="AU26" s="15">
        <v>67.05</v>
      </c>
      <c r="AV26" s="15">
        <v>14.61</v>
      </c>
      <c r="AW26" s="16">
        <f t="shared" si="46"/>
        <v>81.66</v>
      </c>
      <c r="AX26" s="15">
        <v>0.0</v>
      </c>
      <c r="AY26" s="15">
        <v>34.53</v>
      </c>
      <c r="AZ26" s="15">
        <v>9.35</v>
      </c>
      <c r="BA26" s="16">
        <f t="shared" si="47"/>
        <v>43.88</v>
      </c>
      <c r="BB26" s="15">
        <v>0.0</v>
      </c>
      <c r="BC26" s="15">
        <v>52.92</v>
      </c>
      <c r="BD26" s="15">
        <v>14.85</v>
      </c>
      <c r="BE26" s="16">
        <f t="shared" si="48"/>
        <v>67.77</v>
      </c>
    </row>
    <row r="27" ht="12.0" customHeight="1">
      <c r="A27" s="8"/>
      <c r="B27" s="8"/>
      <c r="C27" s="8"/>
      <c r="D27" s="19">
        <f t="shared" si="34"/>
        <v>403.8340833</v>
      </c>
      <c r="E27" s="45" t="s">
        <v>83</v>
      </c>
      <c r="F27" s="11">
        <f t="shared" si="35"/>
        <v>4846.009</v>
      </c>
      <c r="G27" s="12">
        <f t="shared" ref="G27:I27" si="54">J27+N27+R27+V27+Z27+AD27+AH27+AL27+AP27+AT27+AX27+BB27</f>
        <v>1784.73</v>
      </c>
      <c r="H27" s="13">
        <f t="shared" si="54"/>
        <v>2824.709</v>
      </c>
      <c r="I27" s="14">
        <f t="shared" si="54"/>
        <v>236.57</v>
      </c>
      <c r="J27" s="25">
        <v>83.99</v>
      </c>
      <c r="K27" s="25">
        <v>131.94</v>
      </c>
      <c r="L27" s="25">
        <v>11.99</v>
      </c>
      <c r="M27" s="16">
        <f t="shared" si="37"/>
        <v>227.92</v>
      </c>
      <c r="N27" s="25">
        <v>110.42</v>
      </c>
      <c r="O27" s="25">
        <v>173.41</v>
      </c>
      <c r="P27" s="25">
        <v>15.79</v>
      </c>
      <c r="Q27" s="16">
        <f t="shared" si="38"/>
        <v>299.62</v>
      </c>
      <c r="R27" s="15">
        <v>494.98</v>
      </c>
      <c r="S27" s="25">
        <v>848.6</v>
      </c>
      <c r="T27" s="15">
        <v>70.71</v>
      </c>
      <c r="U27" s="16">
        <f t="shared" si="39"/>
        <v>1414.29</v>
      </c>
      <c r="V27" s="25">
        <v>129.04</v>
      </c>
      <c r="W27" s="25">
        <v>193.56</v>
      </c>
      <c r="X27" s="25">
        <v>16.13</v>
      </c>
      <c r="Y27" s="16">
        <f t="shared" si="40"/>
        <v>338.73</v>
      </c>
      <c r="Z27" s="25">
        <v>140.17</v>
      </c>
      <c r="AA27" s="25">
        <v>209.68</v>
      </c>
      <c r="AB27" s="25">
        <v>17.64</v>
      </c>
      <c r="AC27" s="16">
        <f t="shared" si="41"/>
        <v>367.49</v>
      </c>
      <c r="AD27" s="25">
        <v>128.62</v>
      </c>
      <c r="AE27" s="25">
        <v>192.849</v>
      </c>
      <c r="AF27" s="25">
        <v>16.12</v>
      </c>
      <c r="AG27" s="16">
        <f t="shared" si="42"/>
        <v>337.589</v>
      </c>
      <c r="AH27" s="25">
        <v>258.3</v>
      </c>
      <c r="AI27" s="25">
        <v>406.01</v>
      </c>
      <c r="AJ27" s="25">
        <v>36.91</v>
      </c>
      <c r="AK27" s="16">
        <f t="shared" si="43"/>
        <v>701.22</v>
      </c>
      <c r="AL27" s="25">
        <v>89.68</v>
      </c>
      <c r="AM27" s="25">
        <v>129.48</v>
      </c>
      <c r="AN27" s="25">
        <v>9.96</v>
      </c>
      <c r="AO27" s="16">
        <f t="shared" si="44"/>
        <v>229.12</v>
      </c>
      <c r="AP27" s="25">
        <v>89.49</v>
      </c>
      <c r="AQ27" s="25">
        <v>129.23</v>
      </c>
      <c r="AR27" s="25">
        <v>9.94</v>
      </c>
      <c r="AS27" s="16">
        <f t="shared" si="45"/>
        <v>228.66</v>
      </c>
      <c r="AT27" s="25">
        <v>89.01</v>
      </c>
      <c r="AU27" s="25">
        <v>132.01</v>
      </c>
      <c r="AV27" s="46">
        <v>10.01</v>
      </c>
      <c r="AW27" s="16">
        <f t="shared" si="46"/>
        <v>231.03</v>
      </c>
      <c r="AX27" s="15">
        <v>84.64</v>
      </c>
      <c r="AY27" s="15">
        <v>137.55</v>
      </c>
      <c r="AZ27" s="15">
        <v>10.58</v>
      </c>
      <c r="BA27" s="16">
        <f t="shared" si="47"/>
        <v>232.77</v>
      </c>
      <c r="BB27" s="15">
        <v>86.39</v>
      </c>
      <c r="BC27" s="15">
        <v>140.39</v>
      </c>
      <c r="BD27" s="15">
        <v>10.79</v>
      </c>
      <c r="BE27" s="16">
        <f t="shared" si="48"/>
        <v>237.57</v>
      </c>
    </row>
    <row r="28" ht="12.0" customHeight="1">
      <c r="A28" s="8">
        <v>671.89</v>
      </c>
      <c r="B28" s="8">
        <v>671.89</v>
      </c>
      <c r="C28" s="8">
        <v>671.89</v>
      </c>
      <c r="D28" s="47">
        <f t="shared" si="34"/>
        <v>0</v>
      </c>
      <c r="E28" s="48" t="s">
        <v>84</v>
      </c>
      <c r="F28" s="49"/>
      <c r="G28" s="50">
        <f t="shared" ref="G28:I28" si="55">J28+N28+R28+V28+Z28+AD28+AH28+AL28+AP28+AT28+AX28+BB28</f>
        <v>0</v>
      </c>
      <c r="H28" s="51">
        <f t="shared" si="55"/>
        <v>1720.18</v>
      </c>
      <c r="I28" s="52">
        <f t="shared" si="55"/>
        <v>0</v>
      </c>
      <c r="J28" s="22">
        <v>0.0</v>
      </c>
      <c r="K28" s="22">
        <v>573.33</v>
      </c>
      <c r="L28" s="22">
        <v>0.0</v>
      </c>
      <c r="M28" s="23">
        <f t="shared" si="37"/>
        <v>573.33</v>
      </c>
      <c r="N28" s="22">
        <v>0.0</v>
      </c>
      <c r="O28" s="22">
        <v>496.54</v>
      </c>
      <c r="P28" s="22">
        <v>0.0</v>
      </c>
      <c r="Q28" s="23">
        <f t="shared" si="38"/>
        <v>496.54</v>
      </c>
      <c r="R28" s="15">
        <v>0.0</v>
      </c>
      <c r="S28" s="25">
        <v>398.11</v>
      </c>
      <c r="T28" s="15">
        <v>0.0</v>
      </c>
      <c r="U28" s="23">
        <f t="shared" si="39"/>
        <v>398.11</v>
      </c>
      <c r="V28" s="22">
        <v>0.0</v>
      </c>
      <c r="W28" s="25">
        <v>252.2</v>
      </c>
      <c r="X28" s="22">
        <v>0.0</v>
      </c>
      <c r="Y28" s="23">
        <f t="shared" si="40"/>
        <v>252.2</v>
      </c>
      <c r="Z28" s="22">
        <v>0.0</v>
      </c>
      <c r="AA28" s="22">
        <v>0.0</v>
      </c>
      <c r="AB28" s="22">
        <v>0.0</v>
      </c>
      <c r="AC28" s="23">
        <f t="shared" si="41"/>
        <v>0</v>
      </c>
      <c r="AD28" s="22">
        <v>0.0</v>
      </c>
      <c r="AE28" s="22">
        <v>0.0</v>
      </c>
      <c r="AF28" s="22">
        <v>0.0</v>
      </c>
      <c r="AG28" s="23">
        <f t="shared" si="42"/>
        <v>0</v>
      </c>
      <c r="AH28" s="25">
        <v>0.0</v>
      </c>
      <c r="AI28" s="25">
        <v>0.0</v>
      </c>
      <c r="AJ28" s="25">
        <v>0.0</v>
      </c>
      <c r="AK28" s="23">
        <f t="shared" si="43"/>
        <v>0</v>
      </c>
      <c r="AL28" s="25">
        <v>0.0</v>
      </c>
      <c r="AM28" s="25">
        <v>0.0</v>
      </c>
      <c r="AN28" s="25">
        <v>0.0</v>
      </c>
      <c r="AO28" s="23">
        <f t="shared" si="44"/>
        <v>0</v>
      </c>
      <c r="AP28" s="25">
        <v>0.0</v>
      </c>
      <c r="AQ28" s="25">
        <v>0.0</v>
      </c>
      <c r="AR28" s="25">
        <v>0.0</v>
      </c>
      <c r="AS28" s="23">
        <f t="shared" si="45"/>
        <v>0</v>
      </c>
      <c r="AT28" s="25">
        <v>0.0</v>
      </c>
      <c r="AU28" s="25">
        <v>0.0</v>
      </c>
      <c r="AV28" s="25">
        <v>0.0</v>
      </c>
      <c r="AW28" s="23">
        <f t="shared" si="46"/>
        <v>0</v>
      </c>
      <c r="AX28" s="15">
        <v>0.0</v>
      </c>
      <c r="AY28" s="15">
        <v>0.0</v>
      </c>
      <c r="AZ28" s="15">
        <v>0.0</v>
      </c>
      <c r="BA28" s="23">
        <f t="shared" si="47"/>
        <v>0</v>
      </c>
      <c r="BB28" s="15">
        <v>0.0</v>
      </c>
      <c r="BC28" s="15">
        <v>0.0</v>
      </c>
      <c r="BD28" s="15">
        <v>0.0</v>
      </c>
      <c r="BE28" s="23">
        <f t="shared" si="48"/>
        <v>0</v>
      </c>
    </row>
    <row r="29" ht="12.0" customHeight="1">
      <c r="A29" s="30">
        <v>235.54</v>
      </c>
      <c r="B29" s="31">
        <v>322.46</v>
      </c>
      <c r="C29" s="8">
        <v>190.84</v>
      </c>
      <c r="D29" s="17">
        <f t="shared" si="34"/>
        <v>222.2683333</v>
      </c>
      <c r="E29" s="18" t="s">
        <v>85</v>
      </c>
      <c r="F29" s="11">
        <f t="shared" ref="F29:F39" si="57">M29+Q29+U29+Y29+AC29+AG29+AK29+AO29+AS29+AW29+BA29+BE29</f>
        <v>2667.22</v>
      </c>
      <c r="G29" s="12">
        <f t="shared" ref="G29:I29" si="56">J29+N29+R29+V29+Z29+AD29+AH29+AL29+AP29+AT29+AX29+BB29</f>
        <v>611.41</v>
      </c>
      <c r="H29" s="13">
        <f t="shared" si="56"/>
        <v>2033.13</v>
      </c>
      <c r="I29" s="14">
        <f t="shared" si="56"/>
        <v>22.68</v>
      </c>
      <c r="J29" s="15">
        <v>41.17</v>
      </c>
      <c r="K29" s="15">
        <v>142.23</v>
      </c>
      <c r="L29" s="15">
        <v>0.0</v>
      </c>
      <c r="M29" s="16">
        <f t="shared" si="37"/>
        <v>183.4</v>
      </c>
      <c r="N29" s="15">
        <v>0.0</v>
      </c>
      <c r="O29" s="15">
        <v>111.59</v>
      </c>
      <c r="P29" s="15">
        <v>0.0</v>
      </c>
      <c r="Q29" s="16">
        <f t="shared" si="38"/>
        <v>111.59</v>
      </c>
      <c r="R29" s="15">
        <v>0.0</v>
      </c>
      <c r="S29" s="15">
        <v>64.86</v>
      </c>
      <c r="T29" s="15">
        <v>4.31</v>
      </c>
      <c r="U29" s="16">
        <f t="shared" si="39"/>
        <v>69.17</v>
      </c>
      <c r="V29" s="15">
        <v>0.0</v>
      </c>
      <c r="W29" s="15">
        <v>245.77</v>
      </c>
      <c r="X29" s="15">
        <v>0.0</v>
      </c>
      <c r="Y29" s="16">
        <f t="shared" si="40"/>
        <v>245.77</v>
      </c>
      <c r="Z29" s="15">
        <v>0.0</v>
      </c>
      <c r="AA29" s="15">
        <v>180.17</v>
      </c>
      <c r="AB29" s="15">
        <v>0.0</v>
      </c>
      <c r="AC29" s="16">
        <f t="shared" si="41"/>
        <v>180.17</v>
      </c>
      <c r="AD29" s="15">
        <v>36.64</v>
      </c>
      <c r="AE29" s="15">
        <v>169.11</v>
      </c>
      <c r="AF29" s="15">
        <v>0.0</v>
      </c>
      <c r="AG29" s="16">
        <f t="shared" si="42"/>
        <v>205.75</v>
      </c>
      <c r="AH29" s="15">
        <v>0.0</v>
      </c>
      <c r="AI29" s="15">
        <v>187.34</v>
      </c>
      <c r="AJ29" s="15">
        <v>0.0</v>
      </c>
      <c r="AK29" s="16">
        <f t="shared" si="43"/>
        <v>187.34</v>
      </c>
      <c r="AL29" s="15">
        <v>0.0</v>
      </c>
      <c r="AM29" s="15">
        <v>171.6</v>
      </c>
      <c r="AN29" s="15">
        <v>0.0</v>
      </c>
      <c r="AO29" s="16">
        <f t="shared" si="44"/>
        <v>171.6</v>
      </c>
      <c r="AP29" s="15">
        <v>291.62</v>
      </c>
      <c r="AQ29" s="15">
        <v>491.18</v>
      </c>
      <c r="AR29" s="15">
        <v>0.0</v>
      </c>
      <c r="AS29" s="16">
        <f t="shared" si="45"/>
        <v>782.8</v>
      </c>
      <c r="AT29" s="15">
        <v>192.18</v>
      </c>
      <c r="AU29" s="15">
        <v>192.18</v>
      </c>
      <c r="AV29" s="15">
        <v>18.37</v>
      </c>
      <c r="AW29" s="16">
        <f t="shared" si="46"/>
        <v>402.73</v>
      </c>
      <c r="AX29" s="15">
        <v>0.0</v>
      </c>
      <c r="AY29" s="15">
        <v>27.3</v>
      </c>
      <c r="AZ29" s="15">
        <v>0.0</v>
      </c>
      <c r="BA29" s="16">
        <f t="shared" si="47"/>
        <v>27.3</v>
      </c>
      <c r="BB29" s="15">
        <v>49.8</v>
      </c>
      <c r="BC29" s="15">
        <v>49.8</v>
      </c>
      <c r="BD29" s="15">
        <v>0.0</v>
      </c>
      <c r="BE29" s="16">
        <f t="shared" si="48"/>
        <v>99.6</v>
      </c>
    </row>
    <row r="30" ht="12.0" customHeight="1">
      <c r="A30" s="30">
        <v>218.56</v>
      </c>
      <c r="B30" s="31">
        <v>353.34</v>
      </c>
      <c r="C30" s="8">
        <v>492.05</v>
      </c>
      <c r="D30" s="9">
        <f t="shared" si="34"/>
        <v>440.4108333</v>
      </c>
      <c r="E30" s="10" t="s">
        <v>86</v>
      </c>
      <c r="F30" s="11">
        <f t="shared" si="57"/>
        <v>5284.93</v>
      </c>
      <c r="G30" s="12">
        <f t="shared" ref="G30:I30" si="58">J30+N30+R30+V30+Z30+AD30+AH30+AL30+AP30+AT30+AX30+BB30</f>
        <v>319.25</v>
      </c>
      <c r="H30" s="13">
        <f t="shared" si="58"/>
        <v>4313.71</v>
      </c>
      <c r="I30" s="14">
        <f t="shared" si="58"/>
        <v>651.97</v>
      </c>
      <c r="J30" s="15">
        <v>0.0</v>
      </c>
      <c r="K30" s="15">
        <v>0.0</v>
      </c>
      <c r="L30" s="15">
        <v>0.0</v>
      </c>
      <c r="M30" s="16">
        <f t="shared" si="37"/>
        <v>0</v>
      </c>
      <c r="N30" s="15">
        <v>0.0</v>
      </c>
      <c r="O30" s="15">
        <v>0.0</v>
      </c>
      <c r="P30" s="15">
        <v>0.0</v>
      </c>
      <c r="Q30" s="16">
        <f t="shared" si="38"/>
        <v>0</v>
      </c>
      <c r="R30" s="15">
        <v>0.0</v>
      </c>
      <c r="S30" s="15">
        <v>1871.27</v>
      </c>
      <c r="T30" s="15">
        <v>0.0</v>
      </c>
      <c r="U30" s="16">
        <f t="shared" si="39"/>
        <v>1871.27</v>
      </c>
      <c r="V30" s="15">
        <v>133.76</v>
      </c>
      <c r="W30" s="15">
        <v>996.33</v>
      </c>
      <c r="X30" s="15">
        <v>16.72</v>
      </c>
      <c r="Y30" s="16">
        <f t="shared" si="40"/>
        <v>1146.81</v>
      </c>
      <c r="Z30" s="15">
        <v>0.0</v>
      </c>
      <c r="AA30" s="15">
        <v>579.92</v>
      </c>
      <c r="AB30" s="15">
        <v>0.0</v>
      </c>
      <c r="AC30" s="16">
        <f t="shared" si="41"/>
        <v>579.92</v>
      </c>
      <c r="AD30" s="15">
        <v>0.0</v>
      </c>
      <c r="AE30" s="15">
        <v>587.99</v>
      </c>
      <c r="AF30" s="15">
        <v>0.0</v>
      </c>
      <c r="AG30" s="16">
        <f t="shared" si="42"/>
        <v>587.99</v>
      </c>
      <c r="AH30" s="15">
        <v>0.0</v>
      </c>
      <c r="AI30" s="15">
        <v>0.0</v>
      </c>
      <c r="AJ30" s="15">
        <v>0.0</v>
      </c>
      <c r="AK30" s="16">
        <f t="shared" si="43"/>
        <v>0</v>
      </c>
      <c r="AL30" s="15">
        <v>128.61</v>
      </c>
      <c r="AM30" s="15">
        <v>185.77</v>
      </c>
      <c r="AN30" s="15">
        <v>14.29</v>
      </c>
      <c r="AO30" s="16">
        <f t="shared" si="44"/>
        <v>328.67</v>
      </c>
      <c r="AP30" s="15">
        <v>0.0</v>
      </c>
      <c r="AQ30" s="15">
        <v>0.0</v>
      </c>
      <c r="AR30" s="15">
        <v>0.0</v>
      </c>
      <c r="AS30" s="16">
        <f t="shared" si="45"/>
        <v>0</v>
      </c>
      <c r="AT30" s="15">
        <v>0.0</v>
      </c>
      <c r="AU30" s="15">
        <v>0.0</v>
      </c>
      <c r="AV30" s="15">
        <v>0.0</v>
      </c>
      <c r="AW30" s="16">
        <f t="shared" si="46"/>
        <v>0</v>
      </c>
      <c r="AX30" s="15">
        <v>56.88</v>
      </c>
      <c r="AY30" s="15">
        <v>92.43</v>
      </c>
      <c r="AZ30" s="15">
        <v>7.11</v>
      </c>
      <c r="BA30" s="16">
        <f t="shared" si="47"/>
        <v>156.42</v>
      </c>
      <c r="BB30" s="15">
        <v>0.0</v>
      </c>
      <c r="BC30" s="15">
        <v>0.0</v>
      </c>
      <c r="BD30" s="15">
        <v>613.85</v>
      </c>
      <c r="BE30" s="16">
        <f t="shared" si="48"/>
        <v>613.85</v>
      </c>
    </row>
    <row r="31" ht="12.0" customHeight="1">
      <c r="A31" s="30">
        <v>286.49</v>
      </c>
      <c r="B31" s="31">
        <v>465.25</v>
      </c>
      <c r="C31" s="8">
        <v>20.83</v>
      </c>
      <c r="D31" s="19">
        <f t="shared" si="34"/>
        <v>245.9416667</v>
      </c>
      <c r="E31" s="20" t="s">
        <v>87</v>
      </c>
      <c r="F31" s="11">
        <f t="shared" si="57"/>
        <v>2951.3</v>
      </c>
      <c r="G31" s="12">
        <f t="shared" ref="G31:I31" si="59">J31+N31+R31+V31+Z31+AD31+AH31+AL31+AP31+AT31+AX31+BB31</f>
        <v>1113.73</v>
      </c>
      <c r="H31" s="13">
        <f t="shared" si="59"/>
        <v>1709.72</v>
      </c>
      <c r="I31" s="14">
        <f t="shared" si="59"/>
        <v>127.85</v>
      </c>
      <c r="J31" s="15">
        <v>0.0</v>
      </c>
      <c r="K31" s="15">
        <v>0.0</v>
      </c>
      <c r="L31" s="15">
        <v>0.0</v>
      </c>
      <c r="M31" s="16">
        <f t="shared" si="37"/>
        <v>0</v>
      </c>
      <c r="N31" s="15">
        <v>0.0</v>
      </c>
      <c r="O31" s="15">
        <v>0.0</v>
      </c>
      <c r="P31" s="15">
        <v>0.0</v>
      </c>
      <c r="Q31" s="16">
        <f t="shared" si="38"/>
        <v>0</v>
      </c>
      <c r="R31" s="15">
        <v>0.0</v>
      </c>
      <c r="S31" s="15">
        <v>0.0</v>
      </c>
      <c r="T31" s="15">
        <v>0.0</v>
      </c>
      <c r="U31" s="16">
        <f t="shared" si="39"/>
        <v>0</v>
      </c>
      <c r="V31" s="15">
        <v>17.15</v>
      </c>
      <c r="W31" s="15">
        <v>25.71</v>
      </c>
      <c r="X31" s="15">
        <v>2.14</v>
      </c>
      <c r="Y31" s="16">
        <f t="shared" si="40"/>
        <v>45</v>
      </c>
      <c r="Z31" s="15">
        <v>0.0</v>
      </c>
      <c r="AA31" s="15">
        <v>0.0</v>
      </c>
      <c r="AB31" s="15">
        <v>0.0</v>
      </c>
      <c r="AC31" s="16">
        <f t="shared" si="41"/>
        <v>0</v>
      </c>
      <c r="AD31" s="15">
        <v>0.0</v>
      </c>
      <c r="AE31" s="15">
        <v>0.0</v>
      </c>
      <c r="AF31" s="15">
        <v>0.0</v>
      </c>
      <c r="AG31" s="16">
        <f t="shared" si="42"/>
        <v>0</v>
      </c>
      <c r="AH31" s="15">
        <v>0.0</v>
      </c>
      <c r="AI31" s="15">
        <v>50.0</v>
      </c>
      <c r="AJ31" s="15">
        <v>0.0</v>
      </c>
      <c r="AK31" s="16">
        <f t="shared" si="43"/>
        <v>50</v>
      </c>
      <c r="AL31" s="15">
        <v>591.57</v>
      </c>
      <c r="AM31" s="15">
        <v>854.49</v>
      </c>
      <c r="AN31" s="15">
        <v>65.73</v>
      </c>
      <c r="AO31" s="16">
        <f t="shared" si="44"/>
        <v>1511.79</v>
      </c>
      <c r="AP31" s="15">
        <v>19.9</v>
      </c>
      <c r="AQ31" s="15">
        <v>28.6</v>
      </c>
      <c r="AR31" s="15">
        <v>2.2</v>
      </c>
      <c r="AS31" s="16">
        <f t="shared" si="45"/>
        <v>50.7</v>
      </c>
      <c r="AT31" s="15">
        <v>206.93</v>
      </c>
      <c r="AU31" s="15">
        <v>298.89</v>
      </c>
      <c r="AV31" s="15">
        <v>22.99</v>
      </c>
      <c r="AW31" s="16">
        <f t="shared" si="46"/>
        <v>528.81</v>
      </c>
      <c r="AX31" s="15">
        <v>278.18</v>
      </c>
      <c r="AY31" s="15">
        <v>452.03</v>
      </c>
      <c r="AZ31" s="15">
        <v>34.79</v>
      </c>
      <c r="BA31" s="16">
        <f t="shared" si="47"/>
        <v>765</v>
      </c>
      <c r="BB31" s="15">
        <v>0.0</v>
      </c>
      <c r="BC31" s="15">
        <v>0.0</v>
      </c>
      <c r="BD31" s="15">
        <v>0.0</v>
      </c>
      <c r="BE31" s="16">
        <f t="shared" si="48"/>
        <v>0</v>
      </c>
    </row>
    <row r="32" ht="12.0" customHeight="1">
      <c r="A32" s="30">
        <v>187.01</v>
      </c>
      <c r="B32" s="31">
        <v>151.64</v>
      </c>
      <c r="C32" s="8">
        <v>170.14</v>
      </c>
      <c r="D32" s="17">
        <f t="shared" si="34"/>
        <v>201.7041667</v>
      </c>
      <c r="E32" s="18" t="s">
        <v>88</v>
      </c>
      <c r="F32" s="11">
        <f t="shared" si="57"/>
        <v>2420.45</v>
      </c>
      <c r="G32" s="12">
        <f t="shared" ref="G32:I32" si="60">J32+N32+R32+V32+Z32+AD32+AH32+AL32+AP32+AT32+AX32+BB32</f>
        <v>2420.45</v>
      </c>
      <c r="H32" s="13">
        <f t="shared" si="60"/>
        <v>0</v>
      </c>
      <c r="I32" s="14">
        <f t="shared" si="60"/>
        <v>0</v>
      </c>
      <c r="J32" s="15">
        <v>0.0</v>
      </c>
      <c r="K32" s="15">
        <v>0.0</v>
      </c>
      <c r="L32" s="15">
        <v>0.0</v>
      </c>
      <c r="M32" s="16">
        <f t="shared" si="37"/>
        <v>0</v>
      </c>
      <c r="N32" s="15">
        <v>0.0</v>
      </c>
      <c r="O32" s="15">
        <v>0.0</v>
      </c>
      <c r="P32" s="15">
        <v>0.0</v>
      </c>
      <c r="Q32" s="16">
        <f t="shared" si="38"/>
        <v>0</v>
      </c>
      <c r="R32" s="15">
        <v>0.0</v>
      </c>
      <c r="S32" s="15">
        <v>0.0</v>
      </c>
      <c r="T32" s="15">
        <v>0.0</v>
      </c>
      <c r="U32" s="16">
        <f t="shared" si="39"/>
        <v>0</v>
      </c>
      <c r="V32" s="15">
        <v>970.66</v>
      </c>
      <c r="W32" s="15">
        <v>0.0</v>
      </c>
      <c r="X32" s="15">
        <v>0.0</v>
      </c>
      <c r="Y32" s="16">
        <f t="shared" si="40"/>
        <v>970.66</v>
      </c>
      <c r="Z32" s="15">
        <v>236.6</v>
      </c>
      <c r="AA32" s="15">
        <v>0.0</v>
      </c>
      <c r="AB32" s="15">
        <v>0.0</v>
      </c>
      <c r="AC32" s="16">
        <f t="shared" si="41"/>
        <v>236.6</v>
      </c>
      <c r="AD32" s="15">
        <v>321.4</v>
      </c>
      <c r="AE32" s="15">
        <v>0.0</v>
      </c>
      <c r="AF32" s="15">
        <v>0.0</v>
      </c>
      <c r="AG32" s="16">
        <f t="shared" si="42"/>
        <v>321.4</v>
      </c>
      <c r="AH32" s="15">
        <v>311.46</v>
      </c>
      <c r="AI32" s="15">
        <v>0.0</v>
      </c>
      <c r="AJ32" s="15">
        <v>0.0</v>
      </c>
      <c r="AK32" s="16">
        <f t="shared" si="43"/>
        <v>311.46</v>
      </c>
      <c r="AL32" s="15">
        <v>0.0</v>
      </c>
      <c r="AM32" s="15">
        <v>0.0</v>
      </c>
      <c r="AN32" s="15">
        <v>0.0</v>
      </c>
      <c r="AO32" s="16">
        <f t="shared" si="44"/>
        <v>0</v>
      </c>
      <c r="AP32" s="15">
        <v>0.0</v>
      </c>
      <c r="AQ32" s="15">
        <v>0.0</v>
      </c>
      <c r="AR32" s="15">
        <v>0.0</v>
      </c>
      <c r="AS32" s="16">
        <f t="shared" si="45"/>
        <v>0</v>
      </c>
      <c r="AT32" s="15">
        <v>580.33</v>
      </c>
      <c r="AU32" s="15">
        <v>0.0</v>
      </c>
      <c r="AV32" s="15">
        <v>0.0</v>
      </c>
      <c r="AW32" s="16">
        <f t="shared" si="46"/>
        <v>580.33</v>
      </c>
      <c r="AX32" s="15">
        <v>0.0</v>
      </c>
      <c r="AY32" s="15">
        <v>0.0</v>
      </c>
      <c r="AZ32" s="15">
        <v>0.0</v>
      </c>
      <c r="BA32" s="16">
        <f t="shared" si="47"/>
        <v>0</v>
      </c>
      <c r="BB32" s="15">
        <v>0.0</v>
      </c>
      <c r="BC32" s="15">
        <v>0.0</v>
      </c>
      <c r="BD32" s="15">
        <v>0.0</v>
      </c>
      <c r="BE32" s="16">
        <f t="shared" si="48"/>
        <v>0</v>
      </c>
    </row>
    <row r="33" ht="12.0" customHeight="1">
      <c r="A33" s="30">
        <v>86.35</v>
      </c>
      <c r="B33" s="31">
        <v>67.53</v>
      </c>
      <c r="C33" s="8">
        <v>100.68</v>
      </c>
      <c r="D33" s="19">
        <f t="shared" si="34"/>
        <v>104.92</v>
      </c>
      <c r="E33" s="20" t="s">
        <v>89</v>
      </c>
      <c r="F33" s="11">
        <f t="shared" si="57"/>
        <v>1259.04</v>
      </c>
      <c r="G33" s="12">
        <f t="shared" ref="G33:I33" si="61">J33+N33+R33+V33+Z33+AD33+AH33+AL33+AP33+AT33+AX33+BB33</f>
        <v>473.1</v>
      </c>
      <c r="H33" s="13">
        <f t="shared" si="61"/>
        <v>725.04</v>
      </c>
      <c r="I33" s="14">
        <f t="shared" si="61"/>
        <v>60.9</v>
      </c>
      <c r="J33" s="15">
        <v>51.24</v>
      </c>
      <c r="K33" s="15">
        <v>80.63</v>
      </c>
      <c r="L33" s="15">
        <v>7.33</v>
      </c>
      <c r="M33" s="16">
        <f t="shared" si="37"/>
        <v>139.2</v>
      </c>
      <c r="N33" s="15">
        <v>0.0</v>
      </c>
      <c r="O33" s="15">
        <v>0.0</v>
      </c>
      <c r="P33" s="15">
        <v>0.0</v>
      </c>
      <c r="Q33" s="16">
        <f t="shared" si="38"/>
        <v>0</v>
      </c>
      <c r="R33" s="15">
        <v>32.13</v>
      </c>
      <c r="S33" s="15">
        <v>55.08</v>
      </c>
      <c r="T33" s="15">
        <v>4.59</v>
      </c>
      <c r="U33" s="16">
        <f t="shared" si="39"/>
        <v>91.8</v>
      </c>
      <c r="V33" s="15">
        <v>180.88</v>
      </c>
      <c r="W33" s="15">
        <v>271.32</v>
      </c>
      <c r="X33" s="15">
        <v>22.61</v>
      </c>
      <c r="Y33" s="16">
        <f t="shared" si="40"/>
        <v>474.81</v>
      </c>
      <c r="Z33" s="15">
        <v>0.0</v>
      </c>
      <c r="AA33" s="15">
        <v>0.0</v>
      </c>
      <c r="AB33" s="15">
        <v>0.0</v>
      </c>
      <c r="AC33" s="16">
        <f t="shared" si="41"/>
        <v>0</v>
      </c>
      <c r="AD33" s="15">
        <v>0.0</v>
      </c>
      <c r="AE33" s="15">
        <v>0.0</v>
      </c>
      <c r="AF33" s="15">
        <v>0.0</v>
      </c>
      <c r="AG33" s="16">
        <f t="shared" si="42"/>
        <v>0</v>
      </c>
      <c r="AH33" s="15">
        <v>85.05</v>
      </c>
      <c r="AI33" s="15">
        <v>133.15</v>
      </c>
      <c r="AJ33" s="15">
        <v>12.15</v>
      </c>
      <c r="AK33" s="16">
        <f t="shared" si="43"/>
        <v>230.35</v>
      </c>
      <c r="AL33" s="15">
        <v>0.0</v>
      </c>
      <c r="AM33" s="15">
        <v>0.0</v>
      </c>
      <c r="AN33" s="15">
        <v>0.0</v>
      </c>
      <c r="AO33" s="16">
        <f t="shared" si="44"/>
        <v>0</v>
      </c>
      <c r="AP33" s="15">
        <v>0.0</v>
      </c>
      <c r="AQ33" s="15">
        <v>0.0</v>
      </c>
      <c r="AR33" s="15">
        <v>0.0</v>
      </c>
      <c r="AS33" s="16">
        <f t="shared" si="45"/>
        <v>0</v>
      </c>
      <c r="AT33" s="15">
        <v>90.36</v>
      </c>
      <c r="AU33" s="15">
        <v>130.52</v>
      </c>
      <c r="AV33" s="15">
        <v>10.04</v>
      </c>
      <c r="AW33" s="16">
        <f t="shared" si="46"/>
        <v>230.92</v>
      </c>
      <c r="AX33" s="15">
        <v>0.0</v>
      </c>
      <c r="AY33" s="15">
        <v>0.0</v>
      </c>
      <c r="AZ33" s="15">
        <v>0.0</v>
      </c>
      <c r="BA33" s="16">
        <f t="shared" si="47"/>
        <v>0</v>
      </c>
      <c r="BB33" s="15">
        <v>33.44</v>
      </c>
      <c r="BC33" s="15">
        <v>54.34</v>
      </c>
      <c r="BD33" s="15">
        <v>4.18</v>
      </c>
      <c r="BE33" s="16">
        <f t="shared" si="48"/>
        <v>91.96</v>
      </c>
    </row>
    <row r="34" ht="12.0" customHeight="1">
      <c r="A34" s="31">
        <v>0.0</v>
      </c>
      <c r="B34" s="31">
        <v>0.0</v>
      </c>
      <c r="C34" s="8">
        <v>0.0</v>
      </c>
      <c r="D34" s="17">
        <f t="shared" si="34"/>
        <v>319.0416667</v>
      </c>
      <c r="E34" s="18" t="s">
        <v>90</v>
      </c>
      <c r="F34" s="11">
        <f t="shared" si="57"/>
        <v>3828.5</v>
      </c>
      <c r="G34" s="12">
        <f t="shared" ref="G34:I34" si="62">J34+N34+R34+V34+Z34+AD34+AH34+AL34+AP34+AT34+AX34+BB34</f>
        <v>980</v>
      </c>
      <c r="H34" s="13">
        <f t="shared" si="62"/>
        <v>2848.5</v>
      </c>
      <c r="I34" s="14">
        <f t="shared" si="62"/>
        <v>0</v>
      </c>
      <c r="J34" s="15">
        <v>250.0</v>
      </c>
      <c r="K34" s="15">
        <v>966.5</v>
      </c>
      <c r="L34" s="15">
        <v>0.0</v>
      </c>
      <c r="M34" s="36">
        <f t="shared" si="37"/>
        <v>1216.5</v>
      </c>
      <c r="N34" s="15">
        <v>200.0</v>
      </c>
      <c r="O34" s="15">
        <v>420.0</v>
      </c>
      <c r="P34" s="15">
        <v>0.0</v>
      </c>
      <c r="Q34" s="36">
        <f t="shared" si="38"/>
        <v>620</v>
      </c>
      <c r="R34" s="15">
        <v>0.0</v>
      </c>
      <c r="S34" s="15">
        <v>512.0</v>
      </c>
      <c r="T34" s="15">
        <v>0.0</v>
      </c>
      <c r="U34" s="36">
        <f t="shared" si="39"/>
        <v>512</v>
      </c>
      <c r="V34" s="15">
        <v>80.0</v>
      </c>
      <c r="W34" s="15">
        <v>50.0</v>
      </c>
      <c r="X34" s="15">
        <v>0.0</v>
      </c>
      <c r="Y34" s="16">
        <f t="shared" si="40"/>
        <v>130</v>
      </c>
      <c r="Z34" s="15">
        <v>0.0</v>
      </c>
      <c r="AA34" s="15">
        <v>100.0</v>
      </c>
      <c r="AB34" s="15">
        <v>0.0</v>
      </c>
      <c r="AC34" s="16">
        <f t="shared" si="41"/>
        <v>100</v>
      </c>
      <c r="AD34" s="15">
        <v>50.0</v>
      </c>
      <c r="AE34" s="15">
        <v>250.0</v>
      </c>
      <c r="AF34" s="15">
        <v>0.0</v>
      </c>
      <c r="AG34" s="16">
        <f t="shared" si="42"/>
        <v>300</v>
      </c>
      <c r="AH34" s="15">
        <v>400.0</v>
      </c>
      <c r="AI34" s="15">
        <v>550.0</v>
      </c>
      <c r="AJ34" s="15">
        <v>0.0</v>
      </c>
      <c r="AK34" s="16">
        <f t="shared" si="43"/>
        <v>950</v>
      </c>
      <c r="AL34" s="15">
        <v>0.0</v>
      </c>
      <c r="AM34" s="15">
        <v>0.0</v>
      </c>
      <c r="AN34" s="15">
        <v>0.0</v>
      </c>
      <c r="AO34" s="16">
        <f t="shared" si="44"/>
        <v>0</v>
      </c>
      <c r="AP34" s="15">
        <v>0.0</v>
      </c>
      <c r="AQ34" s="15">
        <v>0.0</v>
      </c>
      <c r="AR34" s="15">
        <v>0.0</v>
      </c>
      <c r="AS34" s="16">
        <f t="shared" si="45"/>
        <v>0</v>
      </c>
      <c r="AT34" s="15">
        <v>0.0</v>
      </c>
      <c r="AU34" s="15">
        <v>0.0</v>
      </c>
      <c r="AV34" s="15">
        <v>0.0</v>
      </c>
      <c r="AW34" s="16">
        <f t="shared" si="46"/>
        <v>0</v>
      </c>
      <c r="AX34" s="15"/>
      <c r="AY34" s="15"/>
      <c r="AZ34" s="15"/>
      <c r="BA34" s="16">
        <f t="shared" si="47"/>
        <v>0</v>
      </c>
      <c r="BB34" s="53"/>
      <c r="BC34" s="53"/>
      <c r="BD34" s="53"/>
      <c r="BE34" s="16">
        <f t="shared" si="48"/>
        <v>0</v>
      </c>
    </row>
    <row r="35" ht="12.0" customHeight="1">
      <c r="A35" s="34">
        <v>5683.96</v>
      </c>
      <c r="B35" s="34">
        <v>5142.09</v>
      </c>
      <c r="C35" s="34">
        <v>6800.17</v>
      </c>
      <c r="D35" s="34">
        <f t="shared" si="34"/>
        <v>6126.291667</v>
      </c>
      <c r="E35" s="35" t="s">
        <v>91</v>
      </c>
      <c r="F35" s="11">
        <f t="shared" si="57"/>
        <v>73515.5</v>
      </c>
      <c r="G35" s="12">
        <f t="shared" ref="G35:I35" si="63">J35+N35+R35+V35+Z35+AD35+AH35+AL35+AP35+AT35+AX35+BB35</f>
        <v>0</v>
      </c>
      <c r="H35" s="13">
        <f t="shared" si="63"/>
        <v>0</v>
      </c>
      <c r="I35" s="14">
        <f t="shared" si="63"/>
        <v>0</v>
      </c>
      <c r="J35" s="15">
        <v>0.0</v>
      </c>
      <c r="K35" s="15">
        <v>0.0</v>
      </c>
      <c r="L35" s="15">
        <v>0.0</v>
      </c>
      <c r="M35" s="36">
        <v>6018.0</v>
      </c>
      <c r="N35" s="15">
        <v>0.0</v>
      </c>
      <c r="O35" s="15">
        <v>0.0</v>
      </c>
      <c r="P35" s="15">
        <v>0.0</v>
      </c>
      <c r="Q35" s="36">
        <v>6362.0</v>
      </c>
      <c r="R35" s="15">
        <v>0.0</v>
      </c>
      <c r="S35" s="15">
        <v>0.0</v>
      </c>
      <c r="T35" s="15">
        <v>0.0</v>
      </c>
      <c r="U35" s="36">
        <v>8270.0</v>
      </c>
      <c r="V35" s="15">
        <v>0.0</v>
      </c>
      <c r="W35" s="15">
        <v>0.0</v>
      </c>
      <c r="X35" s="15">
        <v>0.0</v>
      </c>
      <c r="Y35" s="36">
        <v>4810.0</v>
      </c>
      <c r="Z35" s="15">
        <v>0.0</v>
      </c>
      <c r="AA35" s="15">
        <v>0.0</v>
      </c>
      <c r="AB35" s="15">
        <v>0.0</v>
      </c>
      <c r="AC35" s="36">
        <v>8033.0</v>
      </c>
      <c r="AD35" s="15">
        <v>0.0</v>
      </c>
      <c r="AE35" s="15">
        <v>0.0</v>
      </c>
      <c r="AF35" s="15">
        <v>0.0</v>
      </c>
      <c r="AG35" s="36">
        <v>7563.5</v>
      </c>
      <c r="AH35" s="15">
        <v>0.0</v>
      </c>
      <c r="AI35" s="15">
        <v>0.0</v>
      </c>
      <c r="AJ35" s="15">
        <v>0.0</v>
      </c>
      <c r="AK35" s="36">
        <v>3346.0</v>
      </c>
      <c r="AL35" s="15">
        <v>0.0</v>
      </c>
      <c r="AM35" s="15">
        <v>0.0</v>
      </c>
      <c r="AN35" s="15">
        <v>0.0</v>
      </c>
      <c r="AO35" s="36">
        <v>3140.0</v>
      </c>
      <c r="AP35" s="15">
        <v>0.0</v>
      </c>
      <c r="AQ35" s="15">
        <v>0.0</v>
      </c>
      <c r="AR35" s="15">
        <v>0.0</v>
      </c>
      <c r="AS35" s="36">
        <v>4020.0</v>
      </c>
      <c r="AT35" s="15">
        <v>0.0</v>
      </c>
      <c r="AU35" s="15">
        <v>0.0</v>
      </c>
      <c r="AV35" s="15">
        <v>0.0</v>
      </c>
      <c r="AW35" s="36">
        <v>8110.0</v>
      </c>
      <c r="AX35" s="15">
        <v>0.0</v>
      </c>
      <c r="AY35" s="15">
        <v>0.0</v>
      </c>
      <c r="AZ35" s="15">
        <v>0.0</v>
      </c>
      <c r="BA35" s="36">
        <v>4060.0</v>
      </c>
      <c r="BB35" s="15">
        <v>0.0</v>
      </c>
      <c r="BC35" s="15">
        <v>0.0</v>
      </c>
      <c r="BD35" s="15">
        <v>0.0</v>
      </c>
      <c r="BE35" s="36">
        <v>9783.0</v>
      </c>
    </row>
    <row r="36" ht="12.0" customHeight="1">
      <c r="A36" s="54">
        <v>13028.99</v>
      </c>
      <c r="B36" s="54">
        <v>9051.68</v>
      </c>
      <c r="C36" s="55">
        <f t="shared" ref="C36:D36" si="64">sum(C20:C35)</f>
        <v>11970.3</v>
      </c>
      <c r="D36" s="55">
        <f t="shared" si="64"/>
        <v>12700.75325</v>
      </c>
      <c r="E36" s="56" t="s">
        <v>92</v>
      </c>
      <c r="F36" s="57">
        <f t="shared" si="57"/>
        <v>154129.219</v>
      </c>
      <c r="G36" s="57">
        <f t="shared" ref="G36:BE36" si="65">SUM(G20:G35)</f>
        <v>24642</v>
      </c>
      <c r="H36" s="57">
        <f t="shared" si="65"/>
        <v>52496.809</v>
      </c>
      <c r="I36" s="57">
        <f t="shared" si="65"/>
        <v>3474.91</v>
      </c>
      <c r="J36" s="57">
        <f t="shared" si="65"/>
        <v>610.89</v>
      </c>
      <c r="K36" s="57">
        <f t="shared" si="65"/>
        <v>2634.29</v>
      </c>
      <c r="L36" s="57">
        <f t="shared" si="65"/>
        <v>66.19</v>
      </c>
      <c r="M36" s="57">
        <f t="shared" si="65"/>
        <v>9329.37</v>
      </c>
      <c r="N36" s="57">
        <f t="shared" si="65"/>
        <v>653.15</v>
      </c>
      <c r="O36" s="57">
        <f t="shared" si="65"/>
        <v>1533.8</v>
      </c>
      <c r="P36" s="57">
        <f t="shared" si="65"/>
        <v>155.43</v>
      </c>
      <c r="Q36" s="57">
        <f t="shared" si="65"/>
        <v>8704.38</v>
      </c>
      <c r="R36" s="57">
        <f t="shared" si="65"/>
        <v>731.21</v>
      </c>
      <c r="S36" s="57">
        <f t="shared" si="65"/>
        <v>4236.93</v>
      </c>
      <c r="T36" s="57">
        <f t="shared" si="65"/>
        <v>93.31</v>
      </c>
      <c r="U36" s="57">
        <f t="shared" si="65"/>
        <v>13331.45</v>
      </c>
      <c r="V36" s="57">
        <f t="shared" si="65"/>
        <v>3123.55</v>
      </c>
      <c r="W36" s="57">
        <f t="shared" si="65"/>
        <v>3192.04</v>
      </c>
      <c r="X36" s="57">
        <f t="shared" si="65"/>
        <v>349.64</v>
      </c>
      <c r="Y36" s="57">
        <f t="shared" si="65"/>
        <v>11475.23</v>
      </c>
      <c r="Z36" s="57">
        <f t="shared" si="65"/>
        <v>1328.1</v>
      </c>
      <c r="AA36" s="57">
        <f t="shared" si="65"/>
        <v>2349.88</v>
      </c>
      <c r="AB36" s="57">
        <f t="shared" si="65"/>
        <v>161.64</v>
      </c>
      <c r="AC36" s="57">
        <f t="shared" si="65"/>
        <v>11872.62</v>
      </c>
      <c r="AD36" s="57">
        <f t="shared" si="65"/>
        <v>729.7</v>
      </c>
      <c r="AE36" s="57">
        <f t="shared" si="65"/>
        <v>2752.349</v>
      </c>
      <c r="AF36" s="57">
        <f t="shared" si="65"/>
        <v>25.39</v>
      </c>
      <c r="AG36" s="57">
        <f t="shared" si="65"/>
        <v>11070.939</v>
      </c>
      <c r="AH36" s="57">
        <f t="shared" si="65"/>
        <v>3806.49</v>
      </c>
      <c r="AI36" s="57">
        <f t="shared" si="65"/>
        <v>5130.7</v>
      </c>
      <c r="AJ36" s="57">
        <f t="shared" si="65"/>
        <v>376.7</v>
      </c>
      <c r="AK36" s="57">
        <f t="shared" si="65"/>
        <v>12659.89</v>
      </c>
      <c r="AL36" s="57">
        <f t="shared" si="65"/>
        <v>1321.86</v>
      </c>
      <c r="AM36" s="57">
        <f t="shared" si="65"/>
        <v>9492.02</v>
      </c>
      <c r="AN36" s="57">
        <f t="shared" si="65"/>
        <v>110.23</v>
      </c>
      <c r="AO36" s="57">
        <f t="shared" si="65"/>
        <v>14064.11</v>
      </c>
      <c r="AP36" s="57">
        <f t="shared" si="65"/>
        <v>1803.16</v>
      </c>
      <c r="AQ36" s="57">
        <f t="shared" si="65"/>
        <v>2031.14</v>
      </c>
      <c r="AR36" s="57">
        <f t="shared" si="65"/>
        <v>102.11</v>
      </c>
      <c r="AS36" s="57">
        <f t="shared" si="65"/>
        <v>7956.41</v>
      </c>
      <c r="AT36" s="57">
        <f t="shared" si="65"/>
        <v>1337.6</v>
      </c>
      <c r="AU36" s="57">
        <f t="shared" si="65"/>
        <v>2067.19</v>
      </c>
      <c r="AV36" s="57">
        <f t="shared" si="65"/>
        <v>154.53</v>
      </c>
      <c r="AW36" s="57">
        <f t="shared" si="65"/>
        <v>11669.32</v>
      </c>
      <c r="AX36" s="57">
        <f t="shared" si="65"/>
        <v>8190.85</v>
      </c>
      <c r="AY36" s="57">
        <f t="shared" si="65"/>
        <v>12401.92</v>
      </c>
      <c r="AZ36" s="57">
        <f t="shared" si="65"/>
        <v>1162.42</v>
      </c>
      <c r="BA36" s="57">
        <f t="shared" si="65"/>
        <v>25815.19</v>
      </c>
      <c r="BB36" s="57">
        <f t="shared" si="65"/>
        <v>1005.44</v>
      </c>
      <c r="BC36" s="57">
        <f t="shared" si="65"/>
        <v>4674.55</v>
      </c>
      <c r="BD36" s="57">
        <f t="shared" si="65"/>
        <v>717.32</v>
      </c>
      <c r="BE36" s="57">
        <f t="shared" si="65"/>
        <v>16180.31</v>
      </c>
    </row>
    <row r="37" ht="12.0" customHeight="1">
      <c r="A37" s="58">
        <f t="shared" ref="A37:B37" si="66">A18+A36</f>
        <v>63949.34</v>
      </c>
      <c r="B37" s="58">
        <f t="shared" si="66"/>
        <v>58970.37</v>
      </c>
      <c r="C37" s="59">
        <v>60080.65</v>
      </c>
      <c r="D37" s="58">
        <f>D18+D36</f>
        <v>62365.57242</v>
      </c>
      <c r="E37" s="60" t="s">
        <v>93</v>
      </c>
      <c r="F37" s="61">
        <f t="shared" si="57"/>
        <v>750107.049</v>
      </c>
      <c r="G37" s="61">
        <f t="shared" ref="G37:BE37" si="67">G18+G36</f>
        <v>251541.2</v>
      </c>
      <c r="H37" s="61">
        <f t="shared" si="67"/>
        <v>374371.449</v>
      </c>
      <c r="I37" s="61">
        <f t="shared" si="67"/>
        <v>36199.94</v>
      </c>
      <c r="J37" s="61">
        <f t="shared" si="67"/>
        <v>15586.45</v>
      </c>
      <c r="K37" s="61">
        <f t="shared" si="67"/>
        <v>27019.95</v>
      </c>
      <c r="L37" s="61">
        <f t="shared" si="67"/>
        <v>2478.32</v>
      </c>
      <c r="M37" s="61">
        <f t="shared" si="67"/>
        <v>52332.86</v>
      </c>
      <c r="N37" s="61">
        <f t="shared" si="67"/>
        <v>15749.48</v>
      </c>
      <c r="O37" s="61">
        <f t="shared" si="67"/>
        <v>25448.75</v>
      </c>
      <c r="P37" s="61">
        <f t="shared" si="67"/>
        <v>2683.14</v>
      </c>
      <c r="Q37" s="61">
        <f t="shared" si="67"/>
        <v>51469.51</v>
      </c>
      <c r="R37" s="61">
        <f t="shared" si="67"/>
        <v>15792.94</v>
      </c>
      <c r="S37" s="61">
        <f t="shared" si="67"/>
        <v>28737.51</v>
      </c>
      <c r="T37" s="61">
        <f t="shared" si="67"/>
        <v>2577.88</v>
      </c>
      <c r="U37" s="61">
        <f t="shared" si="67"/>
        <v>56604.47</v>
      </c>
      <c r="V37" s="61">
        <f t="shared" si="67"/>
        <v>20684.6</v>
      </c>
      <c r="W37" s="61">
        <f t="shared" si="67"/>
        <v>27698.42</v>
      </c>
      <c r="X37" s="61">
        <f t="shared" si="67"/>
        <v>2844.42</v>
      </c>
      <c r="Y37" s="61">
        <f t="shared" si="67"/>
        <v>57263.58</v>
      </c>
      <c r="Z37" s="61">
        <f t="shared" si="67"/>
        <v>18290.74</v>
      </c>
      <c r="AA37" s="61">
        <f t="shared" si="67"/>
        <v>27238.28</v>
      </c>
      <c r="AB37" s="61">
        <f t="shared" si="67"/>
        <v>2645.79</v>
      </c>
      <c r="AC37" s="61">
        <f t="shared" si="67"/>
        <v>57433.95</v>
      </c>
      <c r="AD37" s="61">
        <f t="shared" si="67"/>
        <v>18528.29</v>
      </c>
      <c r="AE37" s="61">
        <f t="shared" si="67"/>
        <v>26494.289</v>
      </c>
      <c r="AF37" s="61">
        <f t="shared" si="67"/>
        <v>2604.04</v>
      </c>
      <c r="AG37" s="61">
        <f t="shared" si="67"/>
        <v>56416.259</v>
      </c>
      <c r="AH37" s="61">
        <f t="shared" si="67"/>
        <v>30568.01</v>
      </c>
      <c r="AI37" s="61">
        <f t="shared" si="67"/>
        <v>41880.33</v>
      </c>
      <c r="AJ37" s="61">
        <f t="shared" si="67"/>
        <v>4232.46</v>
      </c>
      <c r="AK37" s="61">
        <f t="shared" si="67"/>
        <v>81252.94</v>
      </c>
      <c r="AL37" s="61">
        <f t="shared" si="67"/>
        <v>20158.76</v>
      </c>
      <c r="AM37" s="61">
        <f t="shared" si="67"/>
        <v>36066.83</v>
      </c>
      <c r="AN37" s="61">
        <f t="shared" si="67"/>
        <v>2626.28</v>
      </c>
      <c r="AO37" s="61">
        <f t="shared" si="67"/>
        <v>63170.7</v>
      </c>
      <c r="AP37" s="61">
        <f t="shared" si="67"/>
        <v>19638.48</v>
      </c>
      <c r="AQ37" s="61">
        <f t="shared" si="67"/>
        <v>28955.38</v>
      </c>
      <c r="AR37" s="61">
        <f t="shared" si="67"/>
        <v>2681.52</v>
      </c>
      <c r="AS37" s="61">
        <f t="shared" si="67"/>
        <v>56474.21</v>
      </c>
      <c r="AT37" s="61">
        <f t="shared" si="67"/>
        <v>20221.75</v>
      </c>
      <c r="AU37" s="61">
        <f t="shared" si="67"/>
        <v>26616.5</v>
      </c>
      <c r="AV37" s="61">
        <f t="shared" si="67"/>
        <v>2606.16</v>
      </c>
      <c r="AW37" s="61">
        <f t="shared" si="67"/>
        <v>58733.24</v>
      </c>
      <c r="AX37" s="61">
        <f t="shared" si="67"/>
        <v>27990.38</v>
      </c>
      <c r="AY37" s="61">
        <f t="shared" si="67"/>
        <v>37998.51</v>
      </c>
      <c r="AZ37" s="61">
        <f t="shared" si="67"/>
        <v>3729.94</v>
      </c>
      <c r="BA37" s="61">
        <f t="shared" si="67"/>
        <v>74957.66</v>
      </c>
      <c r="BB37" s="61">
        <f t="shared" si="67"/>
        <v>28331.32</v>
      </c>
      <c r="BC37" s="61">
        <f t="shared" si="67"/>
        <v>40216.7</v>
      </c>
      <c r="BD37" s="61">
        <f t="shared" si="67"/>
        <v>4489.99</v>
      </c>
      <c r="BE37" s="61">
        <f t="shared" si="67"/>
        <v>83997.67</v>
      </c>
    </row>
    <row r="38" ht="9.0" customHeight="1">
      <c r="A38" s="62">
        <f t="shared" ref="A38:D38" si="68">A37*12</f>
        <v>767392.08</v>
      </c>
      <c r="B38" s="62">
        <f t="shared" si="68"/>
        <v>707644.44</v>
      </c>
      <c r="C38" s="62">
        <f t="shared" si="68"/>
        <v>720967.8</v>
      </c>
      <c r="D38" s="62">
        <f t="shared" si="68"/>
        <v>748386.869</v>
      </c>
      <c r="E38" s="20" t="s">
        <v>94</v>
      </c>
      <c r="F38" s="63">
        <f t="shared" si="57"/>
        <v>780016.79</v>
      </c>
      <c r="G38" s="63"/>
      <c r="H38" s="63"/>
      <c r="I38" s="63"/>
      <c r="J38" s="63"/>
      <c r="K38" s="63"/>
      <c r="L38" s="63"/>
      <c r="M38" s="64">
        <v>75482.45</v>
      </c>
      <c r="N38" s="63"/>
      <c r="O38" s="63"/>
      <c r="P38" s="63"/>
      <c r="Q38" s="64">
        <v>60528.23</v>
      </c>
      <c r="R38" s="63"/>
      <c r="S38" s="63"/>
      <c r="T38" s="63"/>
      <c r="U38" s="64">
        <v>52370.99</v>
      </c>
      <c r="V38" s="63"/>
      <c r="W38" s="63"/>
      <c r="X38" s="63"/>
      <c r="Y38" s="64">
        <v>77015.97</v>
      </c>
      <c r="Z38" s="63"/>
      <c r="AA38" s="63"/>
      <c r="AB38" s="63"/>
      <c r="AC38" s="64">
        <v>64085.51</v>
      </c>
      <c r="AD38" s="63"/>
      <c r="AE38" s="63"/>
      <c r="AF38" s="63"/>
      <c r="AG38" s="64">
        <v>50353.64</v>
      </c>
      <c r="AH38" s="63"/>
      <c r="AI38" s="63"/>
      <c r="AJ38" s="63"/>
      <c r="AK38" s="64">
        <v>45214.13</v>
      </c>
      <c r="AL38" s="63"/>
      <c r="AM38" s="63"/>
      <c r="AN38" s="63"/>
      <c r="AO38" s="64">
        <v>62094.97</v>
      </c>
      <c r="AP38" s="63"/>
      <c r="AQ38" s="63"/>
      <c r="AR38" s="63"/>
      <c r="AS38" s="64">
        <v>103251.53</v>
      </c>
      <c r="AT38" s="63"/>
      <c r="AU38" s="63"/>
      <c r="AV38" s="63"/>
      <c r="AW38" s="64">
        <v>54591.03</v>
      </c>
      <c r="AX38" s="63"/>
      <c r="AY38" s="63"/>
      <c r="AZ38" s="63"/>
      <c r="BA38" s="64">
        <v>58847.21</v>
      </c>
      <c r="BB38" s="63"/>
      <c r="BC38" s="63"/>
      <c r="BD38" s="63"/>
      <c r="BE38" s="64">
        <v>76181.13</v>
      </c>
    </row>
    <row r="39" ht="9.0" customHeight="1">
      <c r="A39" s="65"/>
      <c r="B39" s="65"/>
      <c r="C39" s="65"/>
      <c r="D39" s="65"/>
      <c r="E39" s="18" t="s">
        <v>95</v>
      </c>
      <c r="F39" s="66">
        <f t="shared" si="57"/>
        <v>1530123.839</v>
      </c>
      <c r="G39" s="66"/>
      <c r="H39" s="66"/>
      <c r="I39" s="66"/>
      <c r="J39" s="66"/>
      <c r="K39" s="66"/>
      <c r="L39" s="66"/>
      <c r="M39" s="66">
        <f>M37+M38</f>
        <v>127815.31</v>
      </c>
      <c r="N39" s="66"/>
      <c r="O39" s="66"/>
      <c r="P39" s="66"/>
      <c r="Q39" s="66">
        <f>Q37+Q38</f>
        <v>111997.74</v>
      </c>
      <c r="R39" s="66"/>
      <c r="S39" s="66"/>
      <c r="T39" s="66"/>
      <c r="U39" s="66">
        <f>U37+U38</f>
        <v>108975.46</v>
      </c>
      <c r="V39" s="66"/>
      <c r="W39" s="66"/>
      <c r="X39" s="66"/>
      <c r="Y39" s="66">
        <f>Y37+Y38</f>
        <v>134279.55</v>
      </c>
      <c r="Z39" s="66"/>
      <c r="AA39" s="66"/>
      <c r="AB39" s="66"/>
      <c r="AC39" s="66">
        <f>AC37+AC38</f>
        <v>121519.46</v>
      </c>
      <c r="AD39" s="66"/>
      <c r="AE39" s="67">
        <v>0.0</v>
      </c>
      <c r="AF39" s="66"/>
      <c r="AG39" s="66">
        <f>AG37+AG38</f>
        <v>106769.899</v>
      </c>
      <c r="AH39" s="66"/>
      <c r="AI39" s="66"/>
      <c r="AJ39" s="66"/>
      <c r="AK39" s="66">
        <f>AK37+AK38</f>
        <v>126467.07</v>
      </c>
      <c r="AL39" s="66"/>
      <c r="AM39" s="66"/>
      <c r="AN39" s="66"/>
      <c r="AO39" s="66">
        <f>AO37+AO38</f>
        <v>125265.67</v>
      </c>
      <c r="AP39" s="66"/>
      <c r="AQ39" s="66"/>
      <c r="AR39" s="66"/>
      <c r="AS39" s="66">
        <f>AS37+AS38</f>
        <v>159725.74</v>
      </c>
      <c r="AT39" s="66"/>
      <c r="AU39" s="66"/>
      <c r="AV39" s="66"/>
      <c r="AW39" s="66">
        <f>AW37+AW38</f>
        <v>113324.27</v>
      </c>
      <c r="AX39" s="66"/>
      <c r="AY39" s="66"/>
      <c r="AZ39" s="66"/>
      <c r="BA39" s="66">
        <f>BA37+BA38</f>
        <v>133804.87</v>
      </c>
      <c r="BB39" s="66"/>
      <c r="BC39" s="66"/>
      <c r="BD39" s="66"/>
      <c r="BE39" s="66">
        <f>BE37+BE38</f>
        <v>160178.8</v>
      </c>
    </row>
    <row r="40" ht="9.0" customHeight="1">
      <c r="A40" s="68"/>
      <c r="B40" s="68"/>
      <c r="C40" s="68"/>
      <c r="D40" s="68"/>
      <c r="E40" s="69" t="s">
        <v>96</v>
      </c>
      <c r="F40" s="63"/>
      <c r="G40" s="63"/>
      <c r="H40" s="63"/>
      <c r="I40" s="63"/>
      <c r="J40" s="63"/>
      <c r="K40" s="63"/>
      <c r="L40" s="63"/>
      <c r="M40" s="64">
        <v>138266.74</v>
      </c>
      <c r="N40" s="63"/>
      <c r="O40" s="63"/>
      <c r="P40" s="63"/>
      <c r="Q40" s="64">
        <v>116626.0</v>
      </c>
      <c r="R40" s="63"/>
      <c r="S40" s="63"/>
      <c r="T40" s="63"/>
      <c r="U40" s="64">
        <v>108935.0</v>
      </c>
      <c r="V40" s="63"/>
      <c r="W40" s="63"/>
      <c r="X40" s="63"/>
      <c r="Y40" s="64">
        <v>122705.0</v>
      </c>
      <c r="Z40" s="63"/>
      <c r="AA40" s="63"/>
      <c r="AB40" s="63"/>
      <c r="AC40" s="64">
        <v>122287.4</v>
      </c>
      <c r="AD40" s="63"/>
      <c r="AE40" s="63"/>
      <c r="AF40" s="63"/>
      <c r="AG40" s="64">
        <v>126875.09</v>
      </c>
      <c r="AH40" s="63"/>
      <c r="AI40" s="63"/>
      <c r="AJ40" s="63"/>
      <c r="AK40" s="64">
        <v>111192.5</v>
      </c>
      <c r="AL40" s="63"/>
      <c r="AM40" s="63"/>
      <c r="AN40" s="63"/>
      <c r="AO40" s="64">
        <v>119492.23</v>
      </c>
      <c r="AP40" s="63"/>
      <c r="AQ40" s="63"/>
      <c r="AR40" s="63"/>
      <c r="AS40" s="64">
        <v>115456.52</v>
      </c>
      <c r="AT40" s="63"/>
      <c r="AU40" s="63"/>
      <c r="AV40" s="63"/>
      <c r="AW40" s="64">
        <v>123579.94</v>
      </c>
      <c r="AX40" s="63"/>
      <c r="AY40" s="63"/>
      <c r="AZ40" s="63"/>
      <c r="BA40" s="64">
        <v>124000.0</v>
      </c>
      <c r="BB40" s="63"/>
      <c r="BC40" s="63"/>
      <c r="BD40" s="63"/>
      <c r="BE40" s="64">
        <v>124873.66</v>
      </c>
    </row>
    <row r="41" ht="9.0" customHeight="1">
      <c r="A41" s="70"/>
      <c r="B41" s="70"/>
      <c r="C41" s="70"/>
      <c r="D41" s="70"/>
      <c r="E41" s="71" t="s">
        <v>97</v>
      </c>
      <c r="F41" s="72">
        <f>M41+Q41+U41+Y41+AC41+AG41+AK41+AO41+AS41+AW41+BA41+BE41</f>
        <v>-75833.759</v>
      </c>
      <c r="G41" s="72"/>
      <c r="H41" s="72"/>
      <c r="I41" s="72"/>
      <c r="J41" s="72"/>
      <c r="K41" s="72"/>
      <c r="L41" s="72"/>
      <c r="M41" s="72">
        <f>M40-M39</f>
        <v>10451.43</v>
      </c>
      <c r="N41" s="72"/>
      <c r="O41" s="72"/>
      <c r="P41" s="72"/>
      <c r="Q41" s="72">
        <f>Q40-Q39</f>
        <v>4628.26</v>
      </c>
      <c r="R41" s="72"/>
      <c r="S41" s="72"/>
      <c r="T41" s="72"/>
      <c r="U41" s="72">
        <f>U40-U39</f>
        <v>-40.46</v>
      </c>
      <c r="V41" s="72"/>
      <c r="W41" s="72"/>
      <c r="X41" s="72"/>
      <c r="Y41" s="72">
        <f>Y40-Y39</f>
        <v>-11574.55</v>
      </c>
      <c r="Z41" s="72"/>
      <c r="AA41" s="72"/>
      <c r="AB41" s="72"/>
      <c r="AC41" s="72">
        <f>AC40-AC39</f>
        <v>767.94</v>
      </c>
      <c r="AD41" s="72"/>
      <c r="AE41" s="72"/>
      <c r="AF41" s="72"/>
      <c r="AG41" s="72">
        <f>AG40-AG39</f>
        <v>20105.191</v>
      </c>
      <c r="AH41" s="72"/>
      <c r="AI41" s="72"/>
      <c r="AJ41" s="72"/>
      <c r="AK41" s="72">
        <f>AK40-AK39</f>
        <v>-15274.57</v>
      </c>
      <c r="AL41" s="72"/>
      <c r="AM41" s="72"/>
      <c r="AN41" s="72"/>
      <c r="AO41" s="72">
        <f>AO40-AO39</f>
        <v>-5773.44</v>
      </c>
      <c r="AP41" s="72"/>
      <c r="AQ41" s="72"/>
      <c r="AR41" s="72"/>
      <c r="AS41" s="72">
        <f>AS40-AS39</f>
        <v>-44269.22</v>
      </c>
      <c r="AT41" s="72"/>
      <c r="AU41" s="72"/>
      <c r="AV41" s="72"/>
      <c r="AW41" s="72">
        <f>AW40-AW39</f>
        <v>10255.67</v>
      </c>
      <c r="AX41" s="72"/>
      <c r="AY41" s="72"/>
      <c r="AZ41" s="72"/>
      <c r="BA41" s="72">
        <f>BA40-BA39</f>
        <v>-9804.87</v>
      </c>
      <c r="BB41" s="72"/>
      <c r="BC41" s="72"/>
      <c r="BD41" s="72"/>
      <c r="BE41" s="72">
        <f>BE40-BE39</f>
        <v>-35305.14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0"/>
  <cols>
    <col customWidth="1" min="1" max="1" width="15.88"/>
    <col customWidth="1" min="2" max="3" width="7.13"/>
    <col customWidth="1" min="4" max="4" width="7.63"/>
    <col customWidth="1" min="5" max="5" width="7.5"/>
    <col customWidth="1" min="6" max="7" width="7.38"/>
    <col customWidth="1" min="8" max="8" width="6.88"/>
    <col customWidth="1" min="9" max="9" width="6.13"/>
    <col customWidth="1" min="10" max="10" width="6.88"/>
    <col customWidth="1" min="11" max="11" width="7.13"/>
    <col customWidth="1" min="12" max="12" width="7.75"/>
    <col customWidth="1" min="13" max="13" width="8.88"/>
    <col customWidth="1" min="14" max="14" width="7.63"/>
    <col customWidth="1" min="15" max="15" width="7.13"/>
    <col customWidth="1" min="16" max="16" width="6.63"/>
    <col customWidth="1" min="17" max="17" width="8.88"/>
    <col customWidth="1" min="18" max="18" width="7.5"/>
    <col customWidth="1" min="19" max="19" width="8.88"/>
    <col customWidth="1" min="20" max="20" width="8.25"/>
    <col customWidth="1" min="21" max="21" width="6.75"/>
    <col customWidth="1" min="22" max="22" width="11.38"/>
    <col customWidth="1" min="23" max="23" width="9.38"/>
    <col customWidth="1" min="24" max="24" width="12.5"/>
  </cols>
  <sheetData>
    <row r="1" ht="9.75" customHeight="1">
      <c r="A1" s="73" t="s">
        <v>98</v>
      </c>
      <c r="B1" s="74"/>
      <c r="C1" s="74"/>
      <c r="D1" s="75">
        <v>2106.0</v>
      </c>
      <c r="P1" s="76">
        <v>2017.0</v>
      </c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8" t="s">
        <v>99</v>
      </c>
      <c r="B2" s="79" t="s">
        <v>100</v>
      </c>
      <c r="C2" s="79" t="s">
        <v>101</v>
      </c>
      <c r="D2" s="80" t="s">
        <v>102</v>
      </c>
      <c r="E2" s="80" t="s">
        <v>103</v>
      </c>
      <c r="F2" s="80" t="s">
        <v>104</v>
      </c>
      <c r="G2" s="80" t="s">
        <v>105</v>
      </c>
      <c r="H2" s="80" t="s">
        <v>106</v>
      </c>
      <c r="I2" s="80" t="s">
        <v>107</v>
      </c>
      <c r="J2" s="80" t="s">
        <v>108</v>
      </c>
      <c r="K2" s="80" t="s">
        <v>109</v>
      </c>
      <c r="L2" s="80" t="s">
        <v>110</v>
      </c>
      <c r="M2" s="80" t="s">
        <v>111</v>
      </c>
      <c r="N2" s="80" t="s">
        <v>112</v>
      </c>
      <c r="O2" s="80" t="s">
        <v>101</v>
      </c>
      <c r="P2" s="81" t="s">
        <v>102</v>
      </c>
      <c r="Q2" s="82" t="s">
        <v>113</v>
      </c>
      <c r="R2" s="82" t="s">
        <v>114</v>
      </c>
      <c r="S2" s="83" t="s">
        <v>115</v>
      </c>
      <c r="T2" s="84"/>
      <c r="U2" s="84"/>
      <c r="V2" s="84"/>
      <c r="W2" s="84"/>
      <c r="X2" s="84"/>
      <c r="Y2" s="84"/>
      <c r="Z2" s="84"/>
    </row>
    <row r="3" ht="9.75" customHeight="1">
      <c r="A3" s="85" t="s">
        <v>116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77"/>
      <c r="T3" s="77"/>
      <c r="U3" s="77"/>
      <c r="V3" s="77"/>
      <c r="W3" s="77"/>
      <c r="X3" s="77"/>
      <c r="Y3" s="77"/>
      <c r="Z3" s="77"/>
    </row>
    <row r="4">
      <c r="A4" s="87" t="s">
        <v>117</v>
      </c>
      <c r="B4" s="88">
        <v>13.856</v>
      </c>
      <c r="C4" s="89">
        <v>1213.0</v>
      </c>
      <c r="D4" s="89">
        <v>1200.0</v>
      </c>
      <c r="E4" s="89">
        <v>1352.0</v>
      </c>
      <c r="F4" s="90">
        <v>911.0</v>
      </c>
      <c r="G4" s="89">
        <v>1324.0</v>
      </c>
      <c r="H4" s="90">
        <v>740.0</v>
      </c>
      <c r="I4" s="90">
        <v>683.0</v>
      </c>
      <c r="J4" s="90">
        <v>848.0</v>
      </c>
      <c r="K4" s="89">
        <v>1153.0</v>
      </c>
      <c r="L4" s="89">
        <v>1100.0</v>
      </c>
      <c r="M4" s="90">
        <v>794.0</v>
      </c>
      <c r="N4" s="90">
        <v>597.0</v>
      </c>
      <c r="O4" s="90">
        <v>952.0</v>
      </c>
      <c r="P4" s="90"/>
      <c r="Q4" s="91">
        <f>SUM(C4:N4)/12</f>
        <v>992.9166667</v>
      </c>
      <c r="R4" s="91">
        <f>Q4/25</f>
        <v>39.71666667</v>
      </c>
      <c r="S4" s="92">
        <v>34.0</v>
      </c>
      <c r="T4" s="93"/>
      <c r="U4" s="93"/>
      <c r="V4" s="93"/>
      <c r="W4" s="93"/>
      <c r="X4" s="93"/>
      <c r="Y4" s="93"/>
      <c r="Z4" s="93"/>
    </row>
    <row r="5">
      <c r="A5" s="94" t="s">
        <v>118</v>
      </c>
      <c r="B5" s="95">
        <f>(B4*0.128398)*30</f>
        <v>53.37248064</v>
      </c>
      <c r="C5" s="96">
        <v>310.04</v>
      </c>
      <c r="D5" s="96">
        <v>291.01</v>
      </c>
      <c r="E5" s="96">
        <v>311.83</v>
      </c>
      <c r="F5" s="96">
        <v>210.31</v>
      </c>
      <c r="G5" s="96">
        <v>318.52</v>
      </c>
      <c r="H5" s="96">
        <v>194.6</v>
      </c>
      <c r="I5" s="96">
        <v>184.75</v>
      </c>
      <c r="J5" s="96">
        <v>213.26</v>
      </c>
      <c r="K5" s="96">
        <v>265.95</v>
      </c>
      <c r="L5" s="96">
        <v>265.44</v>
      </c>
      <c r="M5" s="96">
        <v>203.95</v>
      </c>
      <c r="N5" s="96">
        <v>191.7</v>
      </c>
      <c r="O5" s="97">
        <v>223.26</v>
      </c>
      <c r="P5" s="96"/>
      <c r="Q5" s="96">
        <v>246.78</v>
      </c>
      <c r="R5" s="96">
        <v>8.23</v>
      </c>
      <c r="S5" s="98"/>
      <c r="T5" s="98"/>
      <c r="U5" s="98"/>
      <c r="V5" s="98"/>
      <c r="W5" s="98"/>
      <c r="X5" s="98"/>
      <c r="Y5" s="98"/>
      <c r="Z5" s="98"/>
    </row>
    <row r="6" ht="4.5" customHeight="1">
      <c r="A6" s="99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77"/>
      <c r="T6" s="77"/>
      <c r="U6" s="77"/>
      <c r="V6" s="77"/>
      <c r="W6" s="77"/>
      <c r="X6" s="77"/>
      <c r="Y6" s="77"/>
      <c r="Z6" s="77"/>
    </row>
    <row r="7">
      <c r="A7" s="87" t="s">
        <v>119</v>
      </c>
      <c r="B7" s="100">
        <v>3.45</v>
      </c>
      <c r="C7" s="101"/>
      <c r="D7" s="90">
        <v>974.0</v>
      </c>
      <c r="E7" s="101"/>
      <c r="F7" s="89">
        <v>2468.0</v>
      </c>
      <c r="G7" s="101"/>
      <c r="H7" s="89">
        <v>1800.0</v>
      </c>
      <c r="I7" s="101"/>
      <c r="J7" s="89">
        <v>1993.0</v>
      </c>
      <c r="K7" s="101"/>
      <c r="L7" s="89">
        <v>1369.0</v>
      </c>
      <c r="M7" s="90">
        <v>779.0</v>
      </c>
      <c r="N7" s="89">
        <v>1493.0</v>
      </c>
      <c r="O7" s="90">
        <v>188.0</v>
      </c>
      <c r="P7" s="90"/>
      <c r="Q7" s="91">
        <f>SUM(C7:N7)/12</f>
        <v>906.3333333</v>
      </c>
      <c r="R7" s="91">
        <f>Q7/25</f>
        <v>36.25333333</v>
      </c>
      <c r="S7" s="92">
        <v>14.0</v>
      </c>
      <c r="T7" s="93"/>
      <c r="U7" s="93"/>
      <c r="V7" s="93"/>
      <c r="W7" s="93"/>
      <c r="X7" s="93"/>
      <c r="Y7" s="93"/>
      <c r="Z7" s="93"/>
    </row>
    <row r="8">
      <c r="A8" s="94" t="s">
        <v>120</v>
      </c>
      <c r="B8" s="95">
        <f>(B7*0.114873)*30</f>
        <v>11.8893555</v>
      </c>
      <c r="C8" s="102"/>
      <c r="D8" s="96">
        <v>223.21</v>
      </c>
      <c r="E8" s="102"/>
      <c r="F8" s="96">
        <v>445.27</v>
      </c>
      <c r="G8" s="102"/>
      <c r="H8" s="96">
        <v>339.57</v>
      </c>
      <c r="I8" s="102"/>
      <c r="J8" s="96">
        <v>395.53</v>
      </c>
      <c r="K8" s="102"/>
      <c r="L8" s="96">
        <v>262.52</v>
      </c>
      <c r="M8" s="96">
        <v>152.96</v>
      </c>
      <c r="N8" s="96">
        <v>257.76</v>
      </c>
      <c r="O8" s="97">
        <v>26.81</v>
      </c>
      <c r="P8" s="96"/>
      <c r="Q8" s="96">
        <v>182.35</v>
      </c>
      <c r="R8" s="96">
        <v>6.08</v>
      </c>
      <c r="S8" s="98"/>
      <c r="T8" s="98"/>
      <c r="U8" s="98"/>
      <c r="V8" s="98"/>
      <c r="W8" s="98"/>
      <c r="X8" s="98"/>
      <c r="Y8" s="98"/>
      <c r="Z8" s="98"/>
    </row>
    <row r="9" ht="5.25" customHeight="1">
      <c r="A9" s="99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77"/>
      <c r="T9" s="77"/>
      <c r="U9" s="77"/>
      <c r="V9" s="77"/>
      <c r="W9" s="77"/>
      <c r="X9" s="77"/>
      <c r="Y9" s="77"/>
      <c r="Z9" s="77"/>
    </row>
    <row r="10">
      <c r="A10" s="87" t="s">
        <v>121</v>
      </c>
      <c r="B10" s="103">
        <v>6.9</v>
      </c>
      <c r="C10" s="90">
        <v>750.0</v>
      </c>
      <c r="D10" s="90">
        <v>763.0</v>
      </c>
      <c r="E10" s="90">
        <v>654.0</v>
      </c>
      <c r="F10" s="90">
        <v>549.0</v>
      </c>
      <c r="G10" s="90">
        <v>569.0</v>
      </c>
      <c r="H10" s="90">
        <v>519.0</v>
      </c>
      <c r="I10" s="90">
        <v>438.0</v>
      </c>
      <c r="J10" s="90">
        <v>506.0</v>
      </c>
      <c r="K10" s="90">
        <v>675.0</v>
      </c>
      <c r="L10" s="90">
        <v>653.0</v>
      </c>
      <c r="M10" s="90">
        <v>546.0</v>
      </c>
      <c r="N10" s="90">
        <v>869.0</v>
      </c>
      <c r="O10" s="90">
        <v>81.0</v>
      </c>
      <c r="P10" s="90"/>
      <c r="Q10" s="91">
        <f>SUM(C10:N10)/12</f>
        <v>624.25</v>
      </c>
      <c r="R10" s="91">
        <f>Q10/25</f>
        <v>24.97</v>
      </c>
      <c r="S10" s="92">
        <v>9.0</v>
      </c>
      <c r="T10" s="93"/>
      <c r="U10" s="93"/>
      <c r="V10" s="93"/>
      <c r="W10" s="93"/>
      <c r="X10" s="93"/>
      <c r="Y10" s="93"/>
      <c r="Z10" s="93"/>
    </row>
    <row r="11">
      <c r="A11" s="94" t="s">
        <v>122</v>
      </c>
      <c r="B11" s="95">
        <f>(B10*0.114873)*30</f>
        <v>23.778711</v>
      </c>
      <c r="C11" s="96">
        <v>230.29</v>
      </c>
      <c r="D11" s="96">
        <v>218.13</v>
      </c>
      <c r="E11" s="96">
        <v>188.97</v>
      </c>
      <c r="F11" s="96">
        <v>159.32</v>
      </c>
      <c r="G11" s="96">
        <v>169.68</v>
      </c>
      <c r="H11" s="96">
        <v>163.37</v>
      </c>
      <c r="I11" s="96">
        <v>140.14</v>
      </c>
      <c r="J11" s="96">
        <v>156.51</v>
      </c>
      <c r="K11" s="96">
        <v>192.6</v>
      </c>
      <c r="L11" s="96">
        <v>179.59</v>
      </c>
      <c r="M11" s="96">
        <v>174.52</v>
      </c>
      <c r="N11" s="96">
        <v>298.82</v>
      </c>
      <c r="O11" s="97">
        <v>34.92</v>
      </c>
      <c r="P11" s="96"/>
      <c r="Q11" s="96">
        <v>180.67</v>
      </c>
      <c r="R11" s="96">
        <v>6.02</v>
      </c>
      <c r="S11" s="98"/>
      <c r="T11" s="98"/>
      <c r="U11" s="98"/>
      <c r="V11" s="98"/>
      <c r="W11" s="98"/>
      <c r="X11" s="98"/>
      <c r="Y11" s="98"/>
      <c r="Z11" s="98"/>
    </row>
    <row r="12" ht="5.25" customHeight="1">
      <c r="A12" s="99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77"/>
      <c r="T12" s="77"/>
      <c r="U12" s="77"/>
      <c r="V12" s="77"/>
      <c r="W12" s="77"/>
      <c r="X12" s="77"/>
      <c r="Y12" s="77"/>
      <c r="Z12" s="77"/>
    </row>
    <row r="13">
      <c r="A13" s="87" t="s">
        <v>123</v>
      </c>
      <c r="B13" s="103">
        <v>4.6</v>
      </c>
      <c r="C13" s="90">
        <v>396.0</v>
      </c>
      <c r="D13" s="101"/>
      <c r="E13" s="90">
        <v>661.0</v>
      </c>
      <c r="F13" s="90">
        <v>457.0</v>
      </c>
      <c r="G13" s="90">
        <v>459.0</v>
      </c>
      <c r="H13" s="90">
        <v>427.0</v>
      </c>
      <c r="I13" s="90">
        <v>432.0</v>
      </c>
      <c r="J13" s="90">
        <v>482.0</v>
      </c>
      <c r="K13" s="90">
        <v>433.0</v>
      </c>
      <c r="L13" s="90">
        <v>431.0</v>
      </c>
      <c r="M13" s="90">
        <v>416.0</v>
      </c>
      <c r="N13" s="90">
        <v>676.0</v>
      </c>
      <c r="O13" s="101"/>
      <c r="P13" s="90"/>
      <c r="Q13" s="91">
        <f>SUM(C13:N13)/12</f>
        <v>439.1666667</v>
      </c>
      <c r="R13" s="91">
        <f>Q13/25</f>
        <v>17.56666667</v>
      </c>
      <c r="S13" s="92">
        <v>11.0</v>
      </c>
      <c r="T13" s="93"/>
      <c r="U13" s="93"/>
      <c r="V13" s="93"/>
      <c r="W13" s="93"/>
      <c r="X13" s="93"/>
      <c r="Y13" s="93"/>
      <c r="Z13" s="93"/>
    </row>
    <row r="14">
      <c r="A14" s="94" t="s">
        <v>124</v>
      </c>
      <c r="B14" s="95">
        <f>(B13*0.114873)*30</f>
        <v>15.852474</v>
      </c>
      <c r="C14" s="96">
        <v>83.9</v>
      </c>
      <c r="D14" s="102"/>
      <c r="E14" s="96">
        <v>138.05</v>
      </c>
      <c r="F14" s="96">
        <v>90.59</v>
      </c>
      <c r="G14" s="96">
        <v>94.16</v>
      </c>
      <c r="H14" s="96">
        <v>90.24</v>
      </c>
      <c r="I14" s="96">
        <v>96.15</v>
      </c>
      <c r="J14" s="96">
        <v>101.65</v>
      </c>
      <c r="K14" s="96">
        <v>89.07</v>
      </c>
      <c r="L14" s="96">
        <v>90.42</v>
      </c>
      <c r="M14" s="96">
        <v>88.12</v>
      </c>
      <c r="N14" s="96">
        <v>131.23</v>
      </c>
      <c r="O14" s="102"/>
      <c r="P14" s="96"/>
      <c r="Q14" s="96">
        <v>82.52</v>
      </c>
      <c r="R14" s="96">
        <v>2.75</v>
      </c>
      <c r="S14" s="98"/>
      <c r="T14" s="98"/>
      <c r="U14" s="98"/>
      <c r="V14" s="98"/>
      <c r="W14" s="98"/>
      <c r="X14" s="98"/>
      <c r="Y14" s="98"/>
      <c r="Z14" s="98"/>
    </row>
    <row r="15" ht="5.25" customHeight="1">
      <c r="A15" s="99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77"/>
      <c r="T15" s="77"/>
      <c r="U15" s="77"/>
      <c r="V15" s="77"/>
      <c r="W15" s="77"/>
      <c r="X15" s="77"/>
      <c r="Y15" s="77"/>
      <c r="Z15" s="77"/>
    </row>
    <row r="16">
      <c r="A16" s="87" t="s">
        <v>125</v>
      </c>
      <c r="B16" s="100">
        <v>3.45</v>
      </c>
      <c r="C16" s="90">
        <v>323.0</v>
      </c>
      <c r="D16" s="101"/>
      <c r="E16" s="90">
        <v>675.0</v>
      </c>
      <c r="F16" s="90">
        <v>346.0</v>
      </c>
      <c r="G16" s="90">
        <v>445.0</v>
      </c>
      <c r="H16" s="90">
        <v>282.0</v>
      </c>
      <c r="I16" s="90">
        <v>228.0</v>
      </c>
      <c r="J16" s="90">
        <v>214.0</v>
      </c>
      <c r="K16" s="90">
        <v>92.0</v>
      </c>
      <c r="L16" s="90">
        <v>219.0</v>
      </c>
      <c r="M16" s="90">
        <v>187.0</v>
      </c>
      <c r="N16" s="90">
        <v>192.0</v>
      </c>
      <c r="O16" s="90">
        <v>253.0</v>
      </c>
      <c r="P16" s="90"/>
      <c r="Q16" s="91">
        <f>SUM(C16:N16)/12</f>
        <v>266.9166667</v>
      </c>
      <c r="R16" s="91">
        <f>Q16/25</f>
        <v>10.67666667</v>
      </c>
      <c r="S16" s="92">
        <v>11.0</v>
      </c>
      <c r="T16" s="93"/>
      <c r="U16" s="93"/>
      <c r="V16" s="93"/>
      <c r="W16" s="93"/>
      <c r="X16" s="93"/>
      <c r="Y16" s="93"/>
      <c r="Z16" s="93"/>
    </row>
    <row r="17">
      <c r="A17" s="94" t="s">
        <v>126</v>
      </c>
      <c r="B17" s="95">
        <f>(B16*0.114873)*30</f>
        <v>11.8893555</v>
      </c>
      <c r="C17" s="96">
        <v>90.01</v>
      </c>
      <c r="D17" s="102"/>
      <c r="E17" s="96">
        <v>177.36</v>
      </c>
      <c r="F17" s="96">
        <v>83.01</v>
      </c>
      <c r="G17" s="96">
        <v>111.56</v>
      </c>
      <c r="H17" s="96">
        <v>83.64</v>
      </c>
      <c r="I17" s="96">
        <v>83.95</v>
      </c>
      <c r="J17" s="96">
        <v>75.95</v>
      </c>
      <c r="K17" s="96">
        <v>88.23</v>
      </c>
      <c r="L17" s="96">
        <v>75.67</v>
      </c>
      <c r="M17" s="96">
        <v>67.98</v>
      </c>
      <c r="N17" s="96">
        <v>78.59</v>
      </c>
      <c r="O17" s="97">
        <v>63.36</v>
      </c>
      <c r="P17" s="96"/>
      <c r="Q17" s="96">
        <v>78.41</v>
      </c>
      <c r="R17" s="96">
        <v>2.61</v>
      </c>
      <c r="S17" s="98"/>
      <c r="T17" s="98"/>
      <c r="U17" s="98"/>
      <c r="V17" s="98"/>
      <c r="W17" s="98"/>
      <c r="X17" s="98"/>
      <c r="Y17" s="98"/>
      <c r="Z17" s="98"/>
    </row>
    <row r="18" ht="6.0" customHeight="1">
      <c r="A18" s="99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77"/>
      <c r="T18" s="77"/>
      <c r="U18" s="77"/>
      <c r="V18" s="77"/>
      <c r="W18" s="77"/>
      <c r="X18" s="77"/>
      <c r="Y18" s="77"/>
      <c r="Z18" s="77"/>
    </row>
    <row r="19">
      <c r="A19" s="87" t="s">
        <v>127</v>
      </c>
      <c r="B19" s="100">
        <v>3.45</v>
      </c>
      <c r="C19" s="90">
        <v>202.0</v>
      </c>
      <c r="D19" s="101"/>
      <c r="E19" s="90">
        <v>364.0</v>
      </c>
      <c r="F19" s="90">
        <v>196.0</v>
      </c>
      <c r="G19" s="90">
        <v>165.0</v>
      </c>
      <c r="H19" s="90">
        <v>79.0</v>
      </c>
      <c r="I19" s="90">
        <v>49.0</v>
      </c>
      <c r="J19" s="90">
        <v>115.0</v>
      </c>
      <c r="K19" s="90">
        <v>174.0</v>
      </c>
      <c r="L19" s="90">
        <v>217.0</v>
      </c>
      <c r="M19" s="90">
        <v>105.0</v>
      </c>
      <c r="N19" s="90">
        <v>237.0</v>
      </c>
      <c r="O19" s="90">
        <v>155.0</v>
      </c>
      <c r="P19" s="90"/>
      <c r="Q19" s="91">
        <f>SUM(C19:N19)/12</f>
        <v>158.5833333</v>
      </c>
      <c r="R19" s="91">
        <f>Q19/25</f>
        <v>6.343333333</v>
      </c>
      <c r="S19" s="92">
        <v>8.0</v>
      </c>
      <c r="T19" s="93"/>
      <c r="U19" s="93"/>
      <c r="V19" s="93"/>
      <c r="W19" s="93"/>
      <c r="X19" s="93"/>
      <c r="Y19" s="93"/>
      <c r="Z19" s="93"/>
    </row>
    <row r="20">
      <c r="A20" s="94" t="s">
        <v>128</v>
      </c>
      <c r="B20" s="95">
        <f>(B19*0.114873)*30</f>
        <v>11.8893555</v>
      </c>
      <c r="C20" s="96">
        <v>46.22</v>
      </c>
      <c r="D20" s="102"/>
      <c r="E20" s="96">
        <v>75.44</v>
      </c>
      <c r="F20" s="96">
        <v>39.69</v>
      </c>
      <c r="G20" s="96">
        <v>40.33</v>
      </c>
      <c r="H20" s="96">
        <v>29.74</v>
      </c>
      <c r="I20" s="96">
        <v>34.92</v>
      </c>
      <c r="J20" s="96">
        <v>36.57</v>
      </c>
      <c r="K20" s="96">
        <v>43.02</v>
      </c>
      <c r="L20" s="96">
        <v>56.17</v>
      </c>
      <c r="M20" s="96">
        <v>34.94</v>
      </c>
      <c r="N20" s="97">
        <v>52.67</v>
      </c>
      <c r="O20" s="97">
        <v>28.09</v>
      </c>
      <c r="P20" s="96"/>
      <c r="Q20" s="96">
        <v>39.78</v>
      </c>
      <c r="R20" s="96">
        <v>1.33</v>
      </c>
      <c r="S20" s="98"/>
      <c r="T20" s="98"/>
      <c r="U20" s="98"/>
      <c r="V20" s="98"/>
      <c r="W20" s="98"/>
      <c r="X20" s="98"/>
      <c r="Y20" s="98"/>
      <c r="Z20" s="98"/>
    </row>
    <row r="21" ht="5.25" customHeight="1">
      <c r="A21" s="77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104" t="s">
        <v>129</v>
      </c>
      <c r="B22" s="105"/>
      <c r="C22" s="106">
        <f t="shared" ref="C22:N22" si="1">C4+C7+C10+C13+C16+C19</f>
        <v>2884</v>
      </c>
      <c r="D22" s="106">
        <f t="shared" si="1"/>
        <v>2937</v>
      </c>
      <c r="E22" s="106">
        <f t="shared" si="1"/>
        <v>3706</v>
      </c>
      <c r="F22" s="106">
        <f t="shared" si="1"/>
        <v>4927</v>
      </c>
      <c r="G22" s="106">
        <f t="shared" si="1"/>
        <v>2962</v>
      </c>
      <c r="H22" s="106">
        <f t="shared" si="1"/>
        <v>3847</v>
      </c>
      <c r="I22" s="105">
        <f t="shared" si="1"/>
        <v>1830</v>
      </c>
      <c r="J22" s="106">
        <f t="shared" si="1"/>
        <v>4158</v>
      </c>
      <c r="K22" s="106">
        <f t="shared" si="1"/>
        <v>2527</v>
      </c>
      <c r="L22" s="106">
        <f t="shared" si="1"/>
        <v>3989</v>
      </c>
      <c r="M22" s="105">
        <f t="shared" si="1"/>
        <v>2827</v>
      </c>
      <c r="N22" s="106">
        <f t="shared" si="1"/>
        <v>4064</v>
      </c>
      <c r="O22" s="105"/>
      <c r="P22" s="105"/>
      <c r="Q22" s="107">
        <f t="shared" ref="Q22:S22" si="2">Q4+Q7+Q10+Q13+Q16+Q19</f>
        <v>3388.166667</v>
      </c>
      <c r="R22" s="108">
        <f t="shared" si="2"/>
        <v>135.5266667</v>
      </c>
      <c r="S22" s="105">
        <f t="shared" si="2"/>
        <v>87</v>
      </c>
      <c r="T22" s="105"/>
      <c r="U22" s="105"/>
      <c r="V22" s="105"/>
      <c r="W22" s="105"/>
      <c r="X22" s="105"/>
      <c r="Y22" s="105"/>
      <c r="Z22" s="105"/>
    </row>
    <row r="23">
      <c r="A23" s="104" t="s">
        <v>130</v>
      </c>
      <c r="B23" s="108">
        <f t="shared" ref="B23:N23" si="3">B5+B8+B11+B14+B17+B20</f>
        <v>128.6717321</v>
      </c>
      <c r="C23" s="109">
        <f t="shared" si="3"/>
        <v>760.46</v>
      </c>
      <c r="D23" s="109">
        <f t="shared" si="3"/>
        <v>732.35</v>
      </c>
      <c r="E23" s="109">
        <f t="shared" si="3"/>
        <v>891.65</v>
      </c>
      <c r="F23" s="109">
        <f t="shared" si="3"/>
        <v>1028.19</v>
      </c>
      <c r="G23" s="109">
        <f t="shared" si="3"/>
        <v>734.25</v>
      </c>
      <c r="H23" s="109">
        <f t="shared" si="3"/>
        <v>901.16</v>
      </c>
      <c r="I23" s="109">
        <f t="shared" si="3"/>
        <v>539.91</v>
      </c>
      <c r="J23" s="109">
        <f t="shared" si="3"/>
        <v>979.47</v>
      </c>
      <c r="K23" s="109">
        <f t="shared" si="3"/>
        <v>678.87</v>
      </c>
      <c r="L23" s="109">
        <f t="shared" si="3"/>
        <v>929.81</v>
      </c>
      <c r="M23" s="109">
        <f t="shared" si="3"/>
        <v>722.47</v>
      </c>
      <c r="N23" s="109">
        <f t="shared" si="3"/>
        <v>1010.77</v>
      </c>
      <c r="O23" s="105"/>
      <c r="P23" s="105"/>
      <c r="Q23" s="109">
        <f t="shared" ref="Q23:R23" si="4">Q5+Q8+Q11+Q14+Q17+Q20</f>
        <v>810.51</v>
      </c>
      <c r="R23" s="109">
        <f t="shared" si="4"/>
        <v>27.02</v>
      </c>
      <c r="S23" s="105"/>
      <c r="T23" s="105"/>
      <c r="U23" s="105"/>
      <c r="V23" s="105"/>
      <c r="W23" s="105"/>
      <c r="X23" s="105"/>
      <c r="Y23" s="105"/>
      <c r="Z23" s="105"/>
    </row>
    <row r="24" ht="10.5" customHeight="1">
      <c r="A24" s="77"/>
      <c r="B24" s="77"/>
      <c r="C24" s="77"/>
      <c r="D24" s="110" t="s">
        <v>131</v>
      </c>
      <c r="F24" s="110"/>
      <c r="G24" s="110" t="s">
        <v>132</v>
      </c>
      <c r="J24" s="110" t="s">
        <v>133</v>
      </c>
      <c r="M24" s="111" t="s">
        <v>134</v>
      </c>
      <c r="P24" s="110" t="s">
        <v>135</v>
      </c>
      <c r="R24" s="112"/>
      <c r="S24" s="110" t="s">
        <v>136</v>
      </c>
      <c r="U24" s="77"/>
      <c r="Y24" s="112"/>
      <c r="Z24" s="77"/>
    </row>
    <row r="25" ht="12.0" customHeight="1">
      <c r="A25" s="77"/>
      <c r="B25" s="113"/>
      <c r="C25" s="113" t="s">
        <v>137</v>
      </c>
      <c r="D25" s="114">
        <v>42694.0</v>
      </c>
      <c r="E25" s="115">
        <v>8.33</v>
      </c>
      <c r="F25" s="116"/>
      <c r="G25" s="117">
        <v>42694.0</v>
      </c>
      <c r="H25" s="118">
        <v>19.77</v>
      </c>
      <c r="I25" s="119"/>
      <c r="J25" s="117">
        <v>42694.0</v>
      </c>
      <c r="K25" s="118">
        <v>13.2</v>
      </c>
      <c r="L25" s="119"/>
      <c r="M25" s="114">
        <v>42694.0</v>
      </c>
      <c r="N25" s="115">
        <v>3.2</v>
      </c>
      <c r="P25" s="114">
        <v>42694.0</v>
      </c>
      <c r="Q25" s="115">
        <v>4.58</v>
      </c>
      <c r="R25" s="116"/>
      <c r="S25" s="114">
        <v>42694.0</v>
      </c>
      <c r="T25" s="115">
        <v>2.25</v>
      </c>
      <c r="U25" s="120"/>
      <c r="Y25" s="121"/>
      <c r="Z25" s="77"/>
    </row>
    <row r="26" ht="12.0" customHeight="1">
      <c r="A26" s="77"/>
      <c r="B26" s="113"/>
      <c r="C26" s="113" t="s">
        <v>138</v>
      </c>
      <c r="D26" s="122">
        <v>42695.0</v>
      </c>
      <c r="E26" s="123">
        <v>40.1</v>
      </c>
      <c r="F26" s="120">
        <v>44.52</v>
      </c>
      <c r="G26" s="124">
        <v>42695.0</v>
      </c>
      <c r="H26" s="125">
        <v>13.09</v>
      </c>
      <c r="I26" s="119">
        <v>11.32</v>
      </c>
      <c r="J26" s="117">
        <v>42695.0</v>
      </c>
      <c r="K26" s="118">
        <v>18.1</v>
      </c>
      <c r="L26" s="119">
        <v>18.75</v>
      </c>
      <c r="M26" s="114">
        <v>42695.0</v>
      </c>
      <c r="N26" s="115">
        <v>13.5</v>
      </c>
      <c r="O26" s="119">
        <v>1.41</v>
      </c>
      <c r="P26" s="114">
        <v>42695.0</v>
      </c>
      <c r="Q26" s="115">
        <v>13.51</v>
      </c>
      <c r="R26" s="116">
        <v>13.15</v>
      </c>
      <c r="S26" s="114">
        <v>42695.0</v>
      </c>
      <c r="T26" s="115">
        <v>9.32</v>
      </c>
      <c r="U26" s="120">
        <v>11.65</v>
      </c>
      <c r="Y26" s="121"/>
      <c r="Z26" s="77"/>
    </row>
    <row r="27" ht="12.0" customHeight="1">
      <c r="A27" s="77"/>
      <c r="B27" s="113"/>
      <c r="C27" s="113" t="s">
        <v>139</v>
      </c>
      <c r="D27" s="122">
        <v>42696.0</v>
      </c>
      <c r="E27" s="123">
        <v>49.59</v>
      </c>
      <c r="F27" s="120">
        <v>40.11</v>
      </c>
      <c r="G27" s="124">
        <v>42696.0</v>
      </c>
      <c r="H27" s="125">
        <v>13.26</v>
      </c>
      <c r="I27" s="119">
        <v>10.54</v>
      </c>
      <c r="J27" s="114">
        <v>42696.0</v>
      </c>
      <c r="K27" s="125">
        <v>3.06</v>
      </c>
      <c r="L27" s="119">
        <v>20.22</v>
      </c>
      <c r="M27" s="114">
        <v>42696.0</v>
      </c>
      <c r="N27" s="115">
        <v>12.94</v>
      </c>
      <c r="O27" s="126">
        <v>25.0</v>
      </c>
      <c r="P27" s="114">
        <v>42696.0</v>
      </c>
      <c r="Q27" s="115">
        <v>13.26</v>
      </c>
      <c r="R27" s="116">
        <v>13.69</v>
      </c>
      <c r="S27" s="114">
        <v>42696.0</v>
      </c>
      <c r="T27" s="115">
        <v>1.24</v>
      </c>
      <c r="U27" s="120">
        <v>10.99</v>
      </c>
      <c r="Y27" s="121"/>
      <c r="Z27" s="77"/>
    </row>
    <row r="28" ht="12.0" customHeight="1">
      <c r="A28" s="77"/>
      <c r="B28" s="113"/>
      <c r="C28" s="113" t="s">
        <v>140</v>
      </c>
      <c r="D28" s="122">
        <v>42697.0</v>
      </c>
      <c r="E28" s="123">
        <v>43.5</v>
      </c>
      <c r="F28" s="120">
        <v>38.86</v>
      </c>
      <c r="G28" s="122">
        <v>42697.0</v>
      </c>
      <c r="H28" s="123">
        <v>17.58</v>
      </c>
      <c r="I28" s="119">
        <v>10.41</v>
      </c>
      <c r="J28" s="114">
        <v>42697.0</v>
      </c>
      <c r="K28" s="125">
        <v>13.47</v>
      </c>
      <c r="L28" s="119">
        <v>16.55</v>
      </c>
      <c r="M28" s="114">
        <v>42697.0</v>
      </c>
      <c r="N28" s="115">
        <v>13.2</v>
      </c>
      <c r="O28" s="126">
        <v>12.71</v>
      </c>
      <c r="P28" s="114">
        <v>42697.0</v>
      </c>
      <c r="Q28" s="115">
        <v>13.02</v>
      </c>
      <c r="R28" s="116">
        <v>12.75</v>
      </c>
      <c r="S28" s="114">
        <v>42697.0</v>
      </c>
      <c r="T28" s="115">
        <v>11.66</v>
      </c>
      <c r="U28" s="120">
        <v>9.65</v>
      </c>
      <c r="Y28" s="121"/>
      <c r="Z28" s="77"/>
    </row>
    <row r="29" ht="12.0" customHeight="1">
      <c r="A29" s="77"/>
      <c r="B29" s="113"/>
      <c r="C29" s="113" t="s">
        <v>141</v>
      </c>
      <c r="D29" s="122">
        <v>42698.0</v>
      </c>
      <c r="E29" s="123">
        <v>44.81</v>
      </c>
      <c r="F29" s="120">
        <v>38.74</v>
      </c>
      <c r="G29" s="122">
        <v>42698.0</v>
      </c>
      <c r="H29" s="123">
        <v>19.72</v>
      </c>
      <c r="I29" s="119">
        <v>10.36</v>
      </c>
      <c r="J29" s="114">
        <v>42698.0</v>
      </c>
      <c r="K29" s="125">
        <v>16.99</v>
      </c>
      <c r="L29" s="119">
        <v>15.05</v>
      </c>
      <c r="M29" s="114">
        <v>42698.0</v>
      </c>
      <c r="N29" s="115">
        <v>13.16</v>
      </c>
      <c r="O29" s="126">
        <v>13.1</v>
      </c>
      <c r="P29" s="114">
        <v>42698.0</v>
      </c>
      <c r="Q29" s="115">
        <v>13.47</v>
      </c>
      <c r="R29" s="116">
        <v>12.4</v>
      </c>
      <c r="S29" s="114">
        <v>42698.0</v>
      </c>
      <c r="T29" s="115">
        <v>11.81</v>
      </c>
      <c r="U29" s="120">
        <v>9.18</v>
      </c>
      <c r="Z29" s="77"/>
    </row>
    <row r="30" ht="12.0" customHeight="1">
      <c r="A30" s="77"/>
      <c r="B30" s="113"/>
      <c r="C30" s="113" t="s">
        <v>142</v>
      </c>
      <c r="D30" s="122">
        <v>42699.0</v>
      </c>
      <c r="E30" s="123">
        <v>44.29</v>
      </c>
      <c r="F30" s="119">
        <v>35.4</v>
      </c>
      <c r="G30" s="122">
        <v>42699.0</v>
      </c>
      <c r="H30" s="123">
        <v>20.86</v>
      </c>
      <c r="I30" s="119">
        <v>8.57</v>
      </c>
      <c r="J30" s="117">
        <v>42699.0</v>
      </c>
      <c r="K30" s="118">
        <v>18.61</v>
      </c>
      <c r="L30" s="119">
        <v>16.87</v>
      </c>
      <c r="M30" s="114">
        <v>42699.0</v>
      </c>
      <c r="N30" s="115">
        <v>13.3</v>
      </c>
      <c r="O30" s="126">
        <v>12.69</v>
      </c>
      <c r="P30" s="114">
        <v>42699.0</v>
      </c>
      <c r="Q30" s="115">
        <v>13.34</v>
      </c>
      <c r="R30" s="119">
        <v>12.8</v>
      </c>
      <c r="S30" s="114">
        <v>42699.0</v>
      </c>
      <c r="T30" s="115">
        <v>11.94</v>
      </c>
      <c r="U30" s="120">
        <v>8.6</v>
      </c>
      <c r="Y30" s="77"/>
      <c r="Z30" s="77"/>
    </row>
    <row r="31" ht="12.0" customHeight="1">
      <c r="A31" s="77"/>
      <c r="B31" s="113"/>
      <c r="C31" s="113" t="s">
        <v>143</v>
      </c>
      <c r="D31" s="114">
        <v>42700.0</v>
      </c>
      <c r="E31" s="115">
        <v>21.28</v>
      </c>
      <c r="F31" s="119">
        <v>20.92</v>
      </c>
      <c r="G31" s="114">
        <v>42700.0</v>
      </c>
      <c r="H31" s="115">
        <v>10.4</v>
      </c>
      <c r="I31" s="119">
        <v>7.2</v>
      </c>
      <c r="J31" s="114">
        <v>42700.0</v>
      </c>
      <c r="K31" s="115">
        <v>9.24</v>
      </c>
      <c r="L31" s="119">
        <v>9.94</v>
      </c>
      <c r="M31" s="114">
        <v>42700.0</v>
      </c>
      <c r="N31" s="115">
        <v>8.31</v>
      </c>
      <c r="O31" s="126">
        <v>8.08</v>
      </c>
      <c r="P31" s="114">
        <v>42700.0</v>
      </c>
      <c r="Q31" s="115">
        <v>8.55</v>
      </c>
      <c r="R31" s="119">
        <v>8.92</v>
      </c>
      <c r="S31" s="114">
        <v>42700.0</v>
      </c>
      <c r="T31" s="115">
        <v>6.11</v>
      </c>
      <c r="U31" s="120">
        <v>4.62</v>
      </c>
      <c r="Y31" s="77"/>
      <c r="Z31" s="77"/>
    </row>
    <row r="32" ht="12.0" customHeight="1">
      <c r="A32" s="77"/>
      <c r="B32" s="113"/>
      <c r="C32" s="113" t="s">
        <v>137</v>
      </c>
      <c r="D32" s="114">
        <v>42701.0</v>
      </c>
      <c r="E32" s="115">
        <v>5.48</v>
      </c>
      <c r="F32" s="119">
        <v>5.47</v>
      </c>
      <c r="G32" s="114">
        <v>42701.0</v>
      </c>
      <c r="H32" s="115">
        <v>2.8</v>
      </c>
      <c r="I32" s="119">
        <v>2.96</v>
      </c>
      <c r="J32" s="114">
        <v>42701.0</v>
      </c>
      <c r="K32" s="127">
        <v>1.26</v>
      </c>
      <c r="L32" s="119">
        <v>1.26</v>
      </c>
      <c r="M32" s="114">
        <v>42701.0</v>
      </c>
      <c r="N32" s="115">
        <v>2.61</v>
      </c>
      <c r="O32" s="126">
        <v>2.5</v>
      </c>
      <c r="P32" s="114">
        <v>42701.0</v>
      </c>
      <c r="Q32" s="115">
        <v>3.97</v>
      </c>
      <c r="R32" s="119">
        <v>3.66</v>
      </c>
      <c r="S32" s="114">
        <v>42701.0</v>
      </c>
      <c r="T32" s="115">
        <v>0.71</v>
      </c>
      <c r="U32" s="120">
        <v>0.71</v>
      </c>
      <c r="Y32" s="77"/>
      <c r="Z32" s="77"/>
    </row>
    <row r="33" ht="12.0" customHeight="1">
      <c r="A33" s="77"/>
      <c r="B33" s="128"/>
      <c r="C33" s="128" t="s">
        <v>144</v>
      </c>
      <c r="D33" s="129"/>
      <c r="E33" s="130">
        <f t="shared" ref="E33:F33" si="5">SUM(E26:E32)</f>
        <v>249.05</v>
      </c>
      <c r="F33" s="130">
        <f t="shared" si="5"/>
        <v>224.02</v>
      </c>
      <c r="G33" s="130"/>
      <c r="H33" s="130">
        <f t="shared" ref="H33:I33" si="6">SUM(H26:H32)</f>
        <v>97.71</v>
      </c>
      <c r="I33" s="130">
        <f t="shared" si="6"/>
        <v>61.36</v>
      </c>
      <c r="J33" s="131"/>
      <c r="K33" s="130">
        <f t="shared" ref="K33:L33" si="7">SUM(K26:K32)</f>
        <v>80.73</v>
      </c>
      <c r="L33" s="130">
        <f t="shared" si="7"/>
        <v>98.64</v>
      </c>
      <c r="M33" s="132"/>
      <c r="N33" s="130">
        <f t="shared" ref="N33:O33" si="8">SUM(N26:N32)</f>
        <v>77.02</v>
      </c>
      <c r="O33" s="130">
        <f t="shared" si="8"/>
        <v>75.49</v>
      </c>
      <c r="P33" s="132"/>
      <c r="Q33" s="130">
        <f t="shared" ref="Q33:R33" si="9">SUM(Q26:Q32)</f>
        <v>79.12</v>
      </c>
      <c r="R33" s="130">
        <f t="shared" si="9"/>
        <v>77.37</v>
      </c>
      <c r="S33" s="129"/>
      <c r="T33" s="130">
        <f t="shared" ref="T33:U33" si="10">SUM(T26:T32)</f>
        <v>52.79</v>
      </c>
      <c r="U33" s="130">
        <f t="shared" si="10"/>
        <v>55.4</v>
      </c>
      <c r="V33" s="77"/>
      <c r="W33" s="77"/>
      <c r="X33" s="77"/>
      <c r="Y33" s="77"/>
      <c r="Z33" s="77"/>
    </row>
    <row r="34" ht="12.0" customHeight="1">
      <c r="A34" s="77"/>
      <c r="B34" s="77"/>
      <c r="C34" s="77"/>
      <c r="F34" s="133">
        <f>F33/7*30</f>
        <v>960.0857143</v>
      </c>
      <c r="G34" s="77"/>
      <c r="H34" s="77"/>
      <c r="I34" s="133">
        <f>I33/7*30</f>
        <v>262.9714286</v>
      </c>
      <c r="J34" s="77"/>
      <c r="K34" s="77"/>
      <c r="L34" s="133">
        <f>L33/7*30</f>
        <v>422.7428571</v>
      </c>
      <c r="O34" s="133">
        <f>O33/7*30</f>
        <v>323.5285714</v>
      </c>
      <c r="R34" s="133">
        <f>R33/7*30</f>
        <v>331.5857143</v>
      </c>
      <c r="U34" s="133">
        <f>U33/7*30</f>
        <v>237.4285714</v>
      </c>
      <c r="V34" s="77"/>
      <c r="W34" s="77"/>
      <c r="X34" s="77"/>
      <c r="Y34" s="77"/>
      <c r="Z34" s="77"/>
    </row>
    <row r="35" ht="12.0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M36" s="134">
        <f>(F33+I33+L33+O33+R33+U33)/7*30</f>
        <v>2538.342857</v>
      </c>
      <c r="N36" s="120">
        <v>0.11799</v>
      </c>
      <c r="O36" s="135">
        <f t="shared" ref="O36:O37" si="11">M36*N36</f>
        <v>299.4990737</v>
      </c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M37" s="134">
        <v>4064.0</v>
      </c>
      <c r="N37" s="120">
        <v>0.127261</v>
      </c>
      <c r="O37" s="135">
        <f t="shared" si="11"/>
        <v>517.188704</v>
      </c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M39" s="134"/>
      <c r="N39" s="120"/>
      <c r="O39" s="135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136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</sheetData>
  <mergeCells count="7">
    <mergeCell ref="D1:O1"/>
    <mergeCell ref="D24:E24"/>
    <mergeCell ref="G24:H24"/>
    <mergeCell ref="J24:K24"/>
    <mergeCell ref="M24:N24"/>
    <mergeCell ref="P24:Q24"/>
    <mergeCell ref="S24:T24"/>
  </mergeCells>
  <hyperlinks>
    <hyperlink r:id="rId2" ref="A1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63"/>
    <col customWidth="1" min="2" max="2" width="8.75"/>
    <col customWidth="1" min="3" max="4" width="7.38"/>
    <col customWidth="1" min="5" max="5" width="49.0"/>
    <col customWidth="1" min="6" max="8" width="9.5"/>
  </cols>
  <sheetData>
    <row r="1">
      <c r="A1" s="137" t="s">
        <v>145</v>
      </c>
      <c r="D1" s="138"/>
      <c r="E1" s="138" t="s">
        <v>146</v>
      </c>
      <c r="F1" s="139" t="s">
        <v>147</v>
      </c>
      <c r="G1" s="139" t="s">
        <v>148</v>
      </c>
      <c r="H1" s="139" t="s">
        <v>149</v>
      </c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</row>
    <row r="2">
      <c r="A2" s="138" t="s">
        <v>150</v>
      </c>
      <c r="B2" s="141" t="s">
        <v>151</v>
      </c>
      <c r="C2" s="141" t="s">
        <v>152</v>
      </c>
      <c r="D2" s="141" t="s">
        <v>153</v>
      </c>
      <c r="E2" s="141" t="s">
        <v>154</v>
      </c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</row>
    <row r="3" ht="13.5" customHeight="1">
      <c r="A3" s="142" t="s">
        <v>155</v>
      </c>
      <c r="B3" s="143" t="s">
        <v>156</v>
      </c>
      <c r="C3" s="142">
        <v>9.23264998E8</v>
      </c>
      <c r="D3" s="144"/>
      <c r="E3" s="142" t="s">
        <v>157</v>
      </c>
      <c r="F3" s="145">
        <v>44.67</v>
      </c>
      <c r="G3" s="145"/>
      <c r="H3" s="145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</row>
    <row r="4" ht="13.5" customHeight="1">
      <c r="A4" s="142" t="s">
        <v>158</v>
      </c>
      <c r="C4" s="142">
        <v>9.23214407E8</v>
      </c>
      <c r="E4" s="142" t="s">
        <v>157</v>
      </c>
      <c r="F4" s="145">
        <v>43.4</v>
      </c>
      <c r="G4" s="145"/>
      <c r="H4" s="145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</row>
    <row r="5" ht="13.5" customHeight="1">
      <c r="A5" s="142" t="s">
        <v>159</v>
      </c>
      <c r="C5" s="142">
        <v>9.235005E8</v>
      </c>
      <c r="E5" s="142" t="s">
        <v>160</v>
      </c>
      <c r="F5" s="145">
        <v>34.7</v>
      </c>
      <c r="G5" s="145"/>
      <c r="H5" s="145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</row>
    <row r="6" ht="13.5" customHeight="1">
      <c r="A6" s="142" t="s">
        <v>161</v>
      </c>
      <c r="C6" s="142">
        <v>9.23543095E8</v>
      </c>
      <c r="E6" s="142" t="s">
        <v>162</v>
      </c>
      <c r="F6" s="145">
        <v>42.82</v>
      </c>
      <c r="G6" s="145"/>
      <c r="H6" s="145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</row>
    <row r="7" ht="13.5" customHeight="1">
      <c r="A7" s="142" t="s">
        <v>163</v>
      </c>
      <c r="C7" s="142">
        <v>9.2333229E8</v>
      </c>
      <c r="E7" s="142" t="s">
        <v>157</v>
      </c>
      <c r="F7" s="145">
        <v>43.54</v>
      </c>
      <c r="G7" s="145"/>
      <c r="H7" s="145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</row>
    <row r="8" ht="13.5" customHeight="1">
      <c r="A8" s="142" t="s">
        <v>164</v>
      </c>
      <c r="C8" s="142">
        <v>9.23230939E8</v>
      </c>
      <c r="E8" s="142" t="s">
        <v>165</v>
      </c>
      <c r="F8" s="145">
        <v>57.75</v>
      </c>
      <c r="G8" s="145"/>
      <c r="H8" s="145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</row>
    <row r="9" ht="13.5" customHeight="1">
      <c r="A9" s="142" t="s">
        <v>166</v>
      </c>
      <c r="C9" s="142">
        <v>9.23125347E8</v>
      </c>
      <c r="E9" s="142" t="s">
        <v>167</v>
      </c>
      <c r="F9" s="145">
        <v>92.67</v>
      </c>
      <c r="G9" s="145"/>
      <c r="H9" s="145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</row>
    <row r="10" ht="13.5" customHeight="1">
      <c r="A10" s="142" t="s">
        <v>168</v>
      </c>
      <c r="C10" s="142">
        <v>9.23226212E8</v>
      </c>
      <c r="E10" s="142" t="s">
        <v>169</v>
      </c>
      <c r="F10" s="145">
        <v>0.0</v>
      </c>
      <c r="G10" s="145"/>
      <c r="H10" s="145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</row>
    <row r="11" ht="13.5" customHeight="1">
      <c r="A11" s="146" t="s">
        <v>170</v>
      </c>
      <c r="B11" s="147" t="s">
        <v>171</v>
      </c>
      <c r="C11" s="146">
        <v>9.2318561E8</v>
      </c>
      <c r="D11" s="148">
        <v>6.3984301E8</v>
      </c>
      <c r="E11" s="146" t="s">
        <v>172</v>
      </c>
      <c r="F11" s="149">
        <v>161.0</v>
      </c>
      <c r="G11" s="149"/>
      <c r="H11" s="149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</row>
    <row r="12" ht="13.5" customHeight="1">
      <c r="A12" s="146" t="s">
        <v>173</v>
      </c>
      <c r="D12" s="146">
        <v>6.19110112E8</v>
      </c>
      <c r="E12" s="146" t="s">
        <v>174</v>
      </c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</row>
    <row r="13" ht="13.5" customHeight="1">
      <c r="A13" s="146" t="s">
        <v>175</v>
      </c>
      <c r="D13" s="146">
        <v>6.36991853E8</v>
      </c>
      <c r="E13" s="146" t="s">
        <v>174</v>
      </c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</row>
    <row r="14" ht="13.5" customHeight="1">
      <c r="A14" s="146" t="s">
        <v>176</v>
      </c>
      <c r="D14" s="146">
        <v>6.38168461E8</v>
      </c>
      <c r="E14" s="146" t="s">
        <v>174</v>
      </c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 ht="13.5" customHeight="1">
      <c r="A15" s="150" t="s">
        <v>177</v>
      </c>
      <c r="B15" s="151" t="s">
        <v>178</v>
      </c>
      <c r="C15" s="152"/>
      <c r="D15" s="150">
        <v>6.16481284E8</v>
      </c>
      <c r="E15" s="150" t="s">
        <v>179</v>
      </c>
      <c r="F15" s="153">
        <v>387.1</v>
      </c>
      <c r="G15" s="153"/>
      <c r="H15" s="153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</row>
    <row r="16" ht="13.5" customHeight="1">
      <c r="A16" s="150" t="s">
        <v>180</v>
      </c>
      <c r="C16" s="152"/>
      <c r="D16" s="150">
        <v>6.08082959E8</v>
      </c>
      <c r="E16" s="150" t="s">
        <v>179</v>
      </c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 ht="13.5" customHeight="1">
      <c r="A17" s="150" t="s">
        <v>181</v>
      </c>
      <c r="C17" s="152"/>
      <c r="D17" s="150">
        <v>6.46571799E8</v>
      </c>
      <c r="E17" s="150" t="s">
        <v>179</v>
      </c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 ht="13.5" customHeight="1">
      <c r="A18" s="150" t="s">
        <v>182</v>
      </c>
      <c r="C18" s="152"/>
      <c r="D18" s="150">
        <v>6.3699185E8</v>
      </c>
      <c r="E18" s="150" t="s">
        <v>179</v>
      </c>
      <c r="I18" s="154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</row>
    <row r="19" ht="13.5" customHeight="1">
      <c r="A19" s="150" t="s">
        <v>183</v>
      </c>
      <c r="C19" s="152"/>
      <c r="D19" s="150">
        <v>6.28176776E8</v>
      </c>
      <c r="E19" s="150" t="s">
        <v>179</v>
      </c>
      <c r="I19" s="154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</row>
    <row r="20" ht="13.5" customHeight="1">
      <c r="A20" s="150" t="s">
        <v>184</v>
      </c>
      <c r="C20" s="152"/>
      <c r="D20" s="150">
        <v>6.26460568E8</v>
      </c>
      <c r="E20" s="150" t="s">
        <v>179</v>
      </c>
      <c r="I20" s="154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</row>
    <row r="21" ht="13.5" customHeight="1">
      <c r="A21" s="150" t="s">
        <v>185</v>
      </c>
      <c r="C21" s="152"/>
      <c r="D21" s="150">
        <v>6.16481282E8</v>
      </c>
      <c r="E21" s="150" t="s">
        <v>179</v>
      </c>
      <c r="I21" s="154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</row>
    <row r="22" ht="13.5" customHeight="1">
      <c r="A22" s="150" t="s">
        <v>158</v>
      </c>
      <c r="C22" s="152"/>
      <c r="D22" s="150">
        <v>6.26056199E8</v>
      </c>
      <c r="E22" s="150" t="s">
        <v>179</v>
      </c>
      <c r="I22" s="155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</row>
    <row r="23" ht="13.5" customHeight="1">
      <c r="A23" s="150" t="s">
        <v>159</v>
      </c>
      <c r="C23" s="152"/>
      <c r="D23" s="150">
        <v>6.09030055E8</v>
      </c>
      <c r="E23" s="150" t="s">
        <v>179</v>
      </c>
      <c r="I23" s="154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</row>
    <row r="24" ht="13.5" customHeight="1">
      <c r="A24" s="150" t="s">
        <v>161</v>
      </c>
      <c r="C24" s="152"/>
      <c r="D24" s="150">
        <v>6.28686492E8</v>
      </c>
      <c r="E24" s="150" t="s">
        <v>179</v>
      </c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</row>
    <row r="25" ht="13.5" customHeight="1">
      <c r="A25" s="150" t="s">
        <v>164</v>
      </c>
      <c r="C25" s="152"/>
      <c r="D25" s="150">
        <v>6.36991851E8</v>
      </c>
      <c r="E25" s="156" t="s">
        <v>186</v>
      </c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</row>
    <row r="26" ht="13.5" customHeight="1">
      <c r="A26" s="150" t="s">
        <v>155</v>
      </c>
      <c r="C26" s="152"/>
      <c r="D26" s="150">
        <v>6.16481281E8</v>
      </c>
      <c r="E26" s="150" t="s">
        <v>187</v>
      </c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</row>
    <row r="27" ht="13.5" customHeight="1">
      <c r="A27" s="150" t="s">
        <v>163</v>
      </c>
      <c r="C27" s="152"/>
      <c r="D27" s="150">
        <v>6.50380024E8</v>
      </c>
      <c r="E27" s="150" t="s">
        <v>187</v>
      </c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</row>
    <row r="28" ht="13.5" customHeight="1">
      <c r="A28" s="150" t="s">
        <v>188</v>
      </c>
      <c r="C28" s="152"/>
      <c r="D28" s="150">
        <v>6.59090608E8</v>
      </c>
      <c r="E28" s="150" t="s">
        <v>187</v>
      </c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</row>
    <row r="29" ht="13.5" customHeight="1">
      <c r="A29" s="150" t="s">
        <v>189</v>
      </c>
      <c r="C29" s="152"/>
      <c r="D29" s="150">
        <v>6.79000002E8</v>
      </c>
      <c r="E29" s="150" t="s">
        <v>187</v>
      </c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</row>
    <row r="30" ht="13.5" customHeight="1">
      <c r="A30" s="150" t="s">
        <v>190</v>
      </c>
      <c r="C30" s="152"/>
      <c r="D30" s="150">
        <v>6.7999101E8</v>
      </c>
      <c r="E30" s="150" t="s">
        <v>187</v>
      </c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</row>
    <row r="31" ht="13.5" customHeight="1">
      <c r="A31" s="150" t="s">
        <v>191</v>
      </c>
      <c r="C31" s="152"/>
      <c r="D31" s="150">
        <v>6.0561446E8</v>
      </c>
      <c r="E31" s="150" t="s">
        <v>192</v>
      </c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</row>
    <row r="32" ht="13.5" customHeight="1">
      <c r="A32" s="138" t="s">
        <v>144</v>
      </c>
      <c r="B32" s="157"/>
      <c r="C32" s="157"/>
      <c r="D32" s="157"/>
      <c r="E32" s="157"/>
      <c r="F32" s="158">
        <f t="shared" ref="F32:H32" si="1">SUM(F3:F31)/1.21</f>
        <v>750.1239669</v>
      </c>
      <c r="G32" s="158">
        <f t="shared" si="1"/>
        <v>0</v>
      </c>
      <c r="H32" s="158">
        <f t="shared" si="1"/>
        <v>0</v>
      </c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</row>
    <row r="33">
      <c r="A33" s="140"/>
      <c r="B33" s="140"/>
      <c r="C33" s="140"/>
      <c r="D33" s="140"/>
      <c r="E33" s="140"/>
      <c r="F33" s="159"/>
      <c r="G33" s="159"/>
      <c r="H33" s="159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</row>
    <row r="34">
      <c r="A34" s="140"/>
      <c r="B34" s="140"/>
      <c r="C34" s="140"/>
      <c r="D34" s="140"/>
      <c r="E34" s="140"/>
      <c r="F34" s="159"/>
      <c r="G34" s="159"/>
      <c r="H34" s="159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</row>
    <row r="35">
      <c r="A35" s="140"/>
      <c r="B35" s="140"/>
      <c r="C35" s="140"/>
      <c r="D35" s="140"/>
      <c r="E35" s="140"/>
      <c r="F35" s="159"/>
      <c r="G35" s="159"/>
      <c r="H35" s="159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</row>
    <row r="36">
      <c r="A36" s="140"/>
      <c r="B36" s="140"/>
      <c r="C36" s="140"/>
      <c r="D36" s="140"/>
      <c r="E36" s="140"/>
      <c r="F36" s="159"/>
      <c r="G36" s="159"/>
      <c r="H36" s="159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</row>
    <row r="37">
      <c r="A37" s="140"/>
      <c r="B37" s="140"/>
      <c r="C37" s="140"/>
      <c r="D37" s="140"/>
      <c r="E37" s="140"/>
      <c r="F37" s="159"/>
      <c r="G37" s="159"/>
      <c r="H37" s="159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</row>
    <row r="38">
      <c r="A38" s="140"/>
      <c r="B38" s="140"/>
      <c r="C38" s="140"/>
      <c r="D38" s="140"/>
      <c r="E38" s="140"/>
      <c r="F38" s="159"/>
      <c r="G38" s="159"/>
      <c r="H38" s="159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</row>
    <row r="39">
      <c r="A39" s="140"/>
      <c r="B39" s="140"/>
      <c r="C39" s="140"/>
      <c r="D39" s="140"/>
      <c r="E39" s="140"/>
      <c r="F39" s="159"/>
      <c r="G39" s="159"/>
      <c r="H39" s="159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</row>
    <row r="40">
      <c r="A40" s="140"/>
      <c r="B40" s="140"/>
      <c r="C40" s="140"/>
      <c r="D40" s="140"/>
      <c r="E40" s="140"/>
      <c r="F40" s="159"/>
      <c r="G40" s="159"/>
      <c r="H40" s="159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</row>
    <row r="41">
      <c r="A41" s="140"/>
      <c r="B41" s="140"/>
      <c r="C41" s="140"/>
      <c r="D41" s="140"/>
      <c r="E41" s="140"/>
      <c r="F41" s="159"/>
      <c r="G41" s="159"/>
      <c r="H41" s="159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</row>
    <row r="42">
      <c r="A42" s="140"/>
      <c r="B42" s="140"/>
      <c r="C42" s="140"/>
      <c r="D42" s="140"/>
      <c r="E42" s="140"/>
      <c r="F42" s="159"/>
      <c r="G42" s="159"/>
      <c r="H42" s="159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</row>
    <row r="43">
      <c r="A43" s="140"/>
      <c r="B43" s="140"/>
      <c r="C43" s="140"/>
      <c r="D43" s="140"/>
      <c r="E43" s="140"/>
      <c r="F43" s="159"/>
      <c r="G43" s="159"/>
      <c r="H43" s="159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</row>
    <row r="44">
      <c r="A44" s="140"/>
      <c r="B44" s="140"/>
      <c r="C44" s="140"/>
      <c r="D44" s="140"/>
      <c r="E44" s="140"/>
      <c r="F44" s="159"/>
      <c r="G44" s="159"/>
      <c r="H44" s="159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</row>
    <row r="45">
      <c r="A45" s="140"/>
      <c r="B45" s="140"/>
      <c r="C45" s="140"/>
      <c r="D45" s="140"/>
      <c r="E45" s="140"/>
      <c r="F45" s="159"/>
      <c r="G45" s="159"/>
      <c r="H45" s="159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</row>
    <row r="46">
      <c r="A46" s="140"/>
      <c r="B46" s="140"/>
      <c r="C46" s="140"/>
      <c r="D46" s="140"/>
      <c r="E46" s="140"/>
      <c r="F46" s="159"/>
      <c r="G46" s="159"/>
      <c r="H46" s="159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</row>
    <row r="47">
      <c r="A47" s="140"/>
      <c r="B47" s="140"/>
      <c r="C47" s="140"/>
      <c r="D47" s="140"/>
      <c r="E47" s="140"/>
      <c r="F47" s="159"/>
      <c r="G47" s="159"/>
      <c r="H47" s="159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</row>
    <row r="48">
      <c r="A48" s="140"/>
      <c r="B48" s="140"/>
      <c r="C48" s="140"/>
      <c r="D48" s="140"/>
      <c r="E48" s="140"/>
      <c r="F48" s="159"/>
      <c r="G48" s="159"/>
      <c r="H48" s="159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</row>
    <row r="49">
      <c r="A49" s="140"/>
      <c r="B49" s="140"/>
      <c r="C49" s="140"/>
      <c r="D49" s="140"/>
      <c r="E49" s="140"/>
      <c r="F49" s="159"/>
      <c r="G49" s="159"/>
      <c r="H49" s="159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</row>
    <row r="50">
      <c r="A50" s="140"/>
      <c r="B50" s="140"/>
      <c r="C50" s="140"/>
      <c r="D50" s="140"/>
      <c r="E50" s="140"/>
      <c r="F50" s="159"/>
      <c r="G50" s="159"/>
      <c r="H50" s="159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</row>
    <row r="51">
      <c r="A51" s="140"/>
      <c r="B51" s="140"/>
      <c r="C51" s="140"/>
      <c r="D51" s="140"/>
      <c r="E51" s="140"/>
      <c r="F51" s="159"/>
      <c r="G51" s="159"/>
      <c r="H51" s="159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</row>
    <row r="52">
      <c r="A52" s="140"/>
      <c r="B52" s="140"/>
      <c r="C52" s="140"/>
      <c r="D52" s="140"/>
      <c r="E52" s="140"/>
      <c r="F52" s="159"/>
      <c r="G52" s="159"/>
      <c r="H52" s="159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</row>
    <row r="53">
      <c r="A53" s="140"/>
      <c r="B53" s="140"/>
      <c r="C53" s="140"/>
      <c r="D53" s="140"/>
      <c r="E53" s="140"/>
      <c r="F53" s="159"/>
      <c r="G53" s="159"/>
      <c r="H53" s="159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</row>
    <row r="54">
      <c r="A54" s="140"/>
      <c r="B54" s="140"/>
      <c r="C54" s="140"/>
      <c r="D54" s="140"/>
      <c r="E54" s="140"/>
      <c r="F54" s="159"/>
      <c r="G54" s="159"/>
      <c r="H54" s="159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</row>
    <row r="55">
      <c r="A55" s="140"/>
      <c r="B55" s="140"/>
      <c r="C55" s="140"/>
      <c r="D55" s="140"/>
      <c r="E55" s="140"/>
      <c r="F55" s="159"/>
      <c r="G55" s="159"/>
      <c r="H55" s="159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</row>
    <row r="56">
      <c r="A56" s="140"/>
      <c r="B56" s="140"/>
      <c r="C56" s="140"/>
      <c r="D56" s="140"/>
      <c r="E56" s="140"/>
      <c r="F56" s="159"/>
      <c r="G56" s="159"/>
      <c r="H56" s="159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</row>
    <row r="57">
      <c r="A57" s="140"/>
      <c r="B57" s="140"/>
      <c r="C57" s="140"/>
      <c r="D57" s="140"/>
      <c r="E57" s="140"/>
      <c r="F57" s="159"/>
      <c r="G57" s="159"/>
      <c r="H57" s="159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</row>
    <row r="58">
      <c r="A58" s="140"/>
      <c r="B58" s="140"/>
      <c r="C58" s="140"/>
      <c r="D58" s="140"/>
      <c r="E58" s="140"/>
      <c r="F58" s="159"/>
      <c r="G58" s="159"/>
      <c r="H58" s="159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</row>
    <row r="59">
      <c r="A59" s="140"/>
      <c r="B59" s="140"/>
      <c r="C59" s="140"/>
      <c r="D59" s="140"/>
      <c r="E59" s="140"/>
      <c r="F59" s="159"/>
      <c r="G59" s="159"/>
      <c r="H59" s="159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</row>
    <row r="60">
      <c r="A60" s="140"/>
      <c r="B60" s="140"/>
      <c r="C60" s="140"/>
      <c r="D60" s="140"/>
      <c r="E60" s="140"/>
      <c r="F60" s="159"/>
      <c r="G60" s="159"/>
      <c r="H60" s="159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</row>
    <row r="61">
      <c r="A61" s="140"/>
      <c r="B61" s="140"/>
      <c r="C61" s="140"/>
      <c r="D61" s="140"/>
      <c r="E61" s="140"/>
      <c r="F61" s="159"/>
      <c r="G61" s="159"/>
      <c r="H61" s="159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</row>
    <row r="62">
      <c r="A62" s="140"/>
      <c r="B62" s="140"/>
      <c r="C62" s="140"/>
      <c r="D62" s="140"/>
      <c r="E62" s="140"/>
      <c r="F62" s="159"/>
      <c r="G62" s="159"/>
      <c r="H62" s="159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</row>
    <row r="63">
      <c r="A63" s="140"/>
      <c r="B63" s="140"/>
      <c r="C63" s="140"/>
      <c r="D63" s="140"/>
      <c r="E63" s="140"/>
      <c r="F63" s="159"/>
      <c r="G63" s="159"/>
      <c r="H63" s="159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</row>
    <row r="64">
      <c r="A64" s="140"/>
      <c r="B64" s="140"/>
      <c r="C64" s="140"/>
      <c r="D64" s="140"/>
      <c r="E64" s="140"/>
      <c r="F64" s="159"/>
      <c r="G64" s="159"/>
      <c r="H64" s="159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</row>
    <row r="65">
      <c r="A65" s="140"/>
      <c r="B65" s="140"/>
      <c r="C65" s="140"/>
      <c r="D65" s="140"/>
      <c r="E65" s="140"/>
      <c r="F65" s="159"/>
      <c r="G65" s="159"/>
      <c r="H65" s="159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</row>
    <row r="66">
      <c r="A66" s="140"/>
      <c r="B66" s="140"/>
      <c r="C66" s="140"/>
      <c r="D66" s="140"/>
      <c r="E66" s="140"/>
      <c r="F66" s="159"/>
      <c r="G66" s="159"/>
      <c r="H66" s="159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</row>
    <row r="67">
      <c r="A67" s="140"/>
      <c r="B67" s="140"/>
      <c r="C67" s="140"/>
      <c r="D67" s="140"/>
      <c r="E67" s="140"/>
      <c r="F67" s="159"/>
      <c r="G67" s="159"/>
      <c r="H67" s="159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</row>
    <row r="68">
      <c r="A68" s="140"/>
      <c r="B68" s="140"/>
      <c r="C68" s="140"/>
      <c r="D68" s="140"/>
      <c r="E68" s="140"/>
      <c r="F68" s="159"/>
      <c r="G68" s="159"/>
      <c r="H68" s="159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</row>
    <row r="69">
      <c r="A69" s="140"/>
      <c r="B69" s="140"/>
      <c r="C69" s="140"/>
      <c r="D69" s="140"/>
      <c r="E69" s="140"/>
      <c r="F69" s="159"/>
      <c r="G69" s="159"/>
      <c r="H69" s="159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</row>
    <row r="70">
      <c r="A70" s="140"/>
      <c r="B70" s="140"/>
      <c r="C70" s="140"/>
      <c r="D70" s="140"/>
      <c r="E70" s="140"/>
      <c r="F70" s="159"/>
      <c r="G70" s="159"/>
      <c r="H70" s="159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</row>
    <row r="71">
      <c r="A71" s="140"/>
      <c r="B71" s="140"/>
      <c r="C71" s="140"/>
      <c r="D71" s="140"/>
      <c r="E71" s="140"/>
      <c r="F71" s="159"/>
      <c r="G71" s="159"/>
      <c r="H71" s="159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</row>
    <row r="72">
      <c r="A72" s="140"/>
      <c r="B72" s="140"/>
      <c r="C72" s="140"/>
      <c r="D72" s="140"/>
      <c r="E72" s="140"/>
      <c r="F72" s="159"/>
      <c r="G72" s="159"/>
      <c r="H72" s="159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</row>
    <row r="73">
      <c r="A73" s="140"/>
      <c r="B73" s="140"/>
      <c r="C73" s="140"/>
      <c r="D73" s="140"/>
      <c r="E73" s="140"/>
      <c r="F73" s="159"/>
      <c r="G73" s="159"/>
      <c r="H73" s="159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</row>
    <row r="74">
      <c r="A74" s="140"/>
      <c r="B74" s="140"/>
      <c r="C74" s="140"/>
      <c r="D74" s="140"/>
      <c r="E74" s="140"/>
      <c r="F74" s="159"/>
      <c r="G74" s="159"/>
      <c r="H74" s="159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</row>
    <row r="75">
      <c r="A75" s="140"/>
      <c r="B75" s="140"/>
      <c r="C75" s="140"/>
      <c r="D75" s="140"/>
      <c r="E75" s="140"/>
      <c r="F75" s="159"/>
      <c r="G75" s="159"/>
      <c r="H75" s="159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</row>
    <row r="76">
      <c r="A76" s="140"/>
      <c r="B76" s="140"/>
      <c r="C76" s="140"/>
      <c r="D76" s="140"/>
      <c r="E76" s="140"/>
      <c r="F76" s="159"/>
      <c r="G76" s="159"/>
      <c r="H76" s="159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</row>
    <row r="77">
      <c r="A77" s="140"/>
      <c r="B77" s="140"/>
      <c r="C77" s="140"/>
      <c r="D77" s="140"/>
      <c r="E77" s="140"/>
      <c r="F77" s="159"/>
      <c r="G77" s="159"/>
      <c r="H77" s="159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</row>
    <row r="78">
      <c r="A78" s="140"/>
      <c r="B78" s="140"/>
      <c r="C78" s="140"/>
      <c r="D78" s="140"/>
      <c r="E78" s="140"/>
      <c r="F78" s="159"/>
      <c r="G78" s="159"/>
      <c r="H78" s="159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</row>
    <row r="79">
      <c r="A79" s="140"/>
      <c r="B79" s="140"/>
      <c r="C79" s="140"/>
      <c r="D79" s="140"/>
      <c r="E79" s="140"/>
      <c r="F79" s="159"/>
      <c r="G79" s="159"/>
      <c r="H79" s="159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</row>
    <row r="80">
      <c r="A80" s="140"/>
      <c r="B80" s="140"/>
      <c r="C80" s="140"/>
      <c r="D80" s="140"/>
      <c r="E80" s="140"/>
      <c r="F80" s="159"/>
      <c r="G80" s="159"/>
      <c r="H80" s="159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</row>
    <row r="81">
      <c r="A81" s="140"/>
      <c r="B81" s="140"/>
      <c r="C81" s="140"/>
      <c r="D81" s="140"/>
      <c r="E81" s="140"/>
      <c r="F81" s="159"/>
      <c r="G81" s="159"/>
      <c r="H81" s="159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</row>
    <row r="82">
      <c r="A82" s="140"/>
      <c r="B82" s="140"/>
      <c r="C82" s="140"/>
      <c r="D82" s="140"/>
      <c r="E82" s="140"/>
      <c r="F82" s="159"/>
      <c r="G82" s="159"/>
      <c r="H82" s="159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</row>
    <row r="83">
      <c r="A83" s="140"/>
      <c r="B83" s="140"/>
      <c r="C83" s="140"/>
      <c r="D83" s="140"/>
      <c r="E83" s="140"/>
      <c r="F83" s="159"/>
      <c r="G83" s="159"/>
      <c r="H83" s="159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</row>
    <row r="84">
      <c r="A84" s="140"/>
      <c r="B84" s="140"/>
      <c r="C84" s="140"/>
      <c r="D84" s="140"/>
      <c r="E84" s="140"/>
      <c r="F84" s="159"/>
      <c r="G84" s="159"/>
      <c r="H84" s="159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</row>
    <row r="85">
      <c r="A85" s="140"/>
      <c r="B85" s="140"/>
      <c r="C85" s="140"/>
      <c r="D85" s="140"/>
      <c r="E85" s="140"/>
      <c r="F85" s="159"/>
      <c r="G85" s="159"/>
      <c r="H85" s="159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</row>
    <row r="86">
      <c r="A86" s="140"/>
      <c r="B86" s="140"/>
      <c r="C86" s="140"/>
      <c r="D86" s="140"/>
      <c r="E86" s="140"/>
      <c r="F86" s="159"/>
      <c r="G86" s="159"/>
      <c r="H86" s="159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</row>
    <row r="87">
      <c r="A87" s="140"/>
      <c r="B87" s="140"/>
      <c r="C87" s="140"/>
      <c r="D87" s="140"/>
      <c r="E87" s="140"/>
      <c r="F87" s="159"/>
      <c r="G87" s="159"/>
      <c r="H87" s="159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</row>
    <row r="88">
      <c r="A88" s="140"/>
      <c r="B88" s="140"/>
      <c r="C88" s="140"/>
      <c r="D88" s="140"/>
      <c r="E88" s="140"/>
      <c r="F88" s="159"/>
      <c r="G88" s="159"/>
      <c r="H88" s="159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</row>
    <row r="89">
      <c r="A89" s="140"/>
      <c r="B89" s="140"/>
      <c r="C89" s="140"/>
      <c r="D89" s="140"/>
      <c r="E89" s="140"/>
      <c r="F89" s="159"/>
      <c r="G89" s="159"/>
      <c r="H89" s="159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</row>
    <row r="90">
      <c r="A90" s="140"/>
      <c r="B90" s="140"/>
      <c r="C90" s="140"/>
      <c r="D90" s="140"/>
      <c r="E90" s="140"/>
      <c r="F90" s="159"/>
      <c r="G90" s="159"/>
      <c r="H90" s="159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</row>
    <row r="91">
      <c r="A91" s="140"/>
      <c r="B91" s="140"/>
      <c r="C91" s="140"/>
      <c r="D91" s="140"/>
      <c r="E91" s="140"/>
      <c r="F91" s="159"/>
      <c r="G91" s="159"/>
      <c r="H91" s="159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</row>
    <row r="92">
      <c r="A92" s="140"/>
      <c r="B92" s="140"/>
      <c r="C92" s="140"/>
      <c r="D92" s="140"/>
      <c r="E92" s="140"/>
      <c r="F92" s="159"/>
      <c r="G92" s="159"/>
      <c r="H92" s="159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</row>
    <row r="93">
      <c r="A93" s="140"/>
      <c r="B93" s="140"/>
      <c r="C93" s="140"/>
      <c r="D93" s="140"/>
      <c r="E93" s="140"/>
      <c r="F93" s="159"/>
      <c r="G93" s="159"/>
      <c r="H93" s="159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</row>
    <row r="94">
      <c r="A94" s="140"/>
      <c r="B94" s="140"/>
      <c r="C94" s="140"/>
      <c r="D94" s="140"/>
      <c r="E94" s="140"/>
      <c r="F94" s="159"/>
      <c r="G94" s="159"/>
      <c r="H94" s="159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</row>
    <row r="95">
      <c r="A95" s="140"/>
      <c r="B95" s="140"/>
      <c r="C95" s="140"/>
      <c r="D95" s="140"/>
      <c r="E95" s="140"/>
      <c r="F95" s="159"/>
      <c r="G95" s="159"/>
      <c r="H95" s="159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</row>
    <row r="96">
      <c r="A96" s="140"/>
      <c r="B96" s="140"/>
      <c r="C96" s="140"/>
      <c r="D96" s="140"/>
      <c r="E96" s="140"/>
      <c r="F96" s="159"/>
      <c r="G96" s="159"/>
      <c r="H96" s="159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</row>
    <row r="97">
      <c r="A97" s="140"/>
      <c r="B97" s="140"/>
      <c r="C97" s="140"/>
      <c r="D97" s="140"/>
      <c r="E97" s="140"/>
      <c r="F97" s="159"/>
      <c r="G97" s="159"/>
      <c r="H97" s="159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</row>
    <row r="98">
      <c r="A98" s="140"/>
      <c r="B98" s="140"/>
      <c r="C98" s="140"/>
      <c r="D98" s="140"/>
      <c r="E98" s="140"/>
      <c r="F98" s="159"/>
      <c r="G98" s="159"/>
      <c r="H98" s="159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</row>
    <row r="99">
      <c r="A99" s="140"/>
      <c r="B99" s="140"/>
      <c r="C99" s="140"/>
      <c r="D99" s="140"/>
      <c r="E99" s="140"/>
      <c r="F99" s="159"/>
      <c r="G99" s="159"/>
      <c r="H99" s="159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</row>
    <row r="100">
      <c r="A100" s="140"/>
      <c r="B100" s="140"/>
      <c r="C100" s="140"/>
      <c r="D100" s="140"/>
      <c r="E100" s="140"/>
      <c r="F100" s="159"/>
      <c r="G100" s="159"/>
      <c r="H100" s="159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</row>
    <row r="101">
      <c r="A101" s="140"/>
      <c r="B101" s="140"/>
      <c r="C101" s="140"/>
      <c r="D101" s="140"/>
      <c r="E101" s="140"/>
      <c r="F101" s="159"/>
      <c r="G101" s="159"/>
      <c r="H101" s="159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</row>
    <row r="102">
      <c r="A102" s="140"/>
      <c r="B102" s="140"/>
      <c r="C102" s="140"/>
      <c r="D102" s="140"/>
      <c r="E102" s="140"/>
      <c r="F102" s="159"/>
      <c r="G102" s="159"/>
      <c r="H102" s="159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</row>
    <row r="103">
      <c r="A103" s="140"/>
      <c r="B103" s="140"/>
      <c r="C103" s="140"/>
      <c r="D103" s="140"/>
      <c r="E103" s="140"/>
      <c r="F103" s="159"/>
      <c r="G103" s="159"/>
      <c r="H103" s="159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</row>
    <row r="104">
      <c r="A104" s="140"/>
      <c r="B104" s="140"/>
      <c r="C104" s="140"/>
      <c r="D104" s="140"/>
      <c r="E104" s="140"/>
      <c r="F104" s="159"/>
      <c r="G104" s="159"/>
      <c r="H104" s="159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</row>
    <row r="105">
      <c r="A105" s="140"/>
      <c r="B105" s="140"/>
      <c r="C105" s="140"/>
      <c r="D105" s="140"/>
      <c r="E105" s="140"/>
      <c r="F105" s="159"/>
      <c r="G105" s="159"/>
      <c r="H105" s="159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</row>
    <row r="106">
      <c r="A106" s="140"/>
      <c r="B106" s="140"/>
      <c r="C106" s="140"/>
      <c r="D106" s="140"/>
      <c r="E106" s="140"/>
      <c r="F106" s="159"/>
      <c r="G106" s="159"/>
      <c r="H106" s="159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</row>
    <row r="107">
      <c r="A107" s="140"/>
      <c r="B107" s="140"/>
      <c r="C107" s="140"/>
      <c r="D107" s="140"/>
      <c r="E107" s="140"/>
      <c r="F107" s="159"/>
      <c r="G107" s="159"/>
      <c r="H107" s="159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</row>
    <row r="108">
      <c r="A108" s="140"/>
      <c r="B108" s="140"/>
      <c r="C108" s="140"/>
      <c r="D108" s="140"/>
      <c r="E108" s="140"/>
      <c r="F108" s="159"/>
      <c r="G108" s="159"/>
      <c r="H108" s="159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</row>
    <row r="109">
      <c r="A109" s="140"/>
      <c r="B109" s="140"/>
      <c r="C109" s="140"/>
      <c r="D109" s="140"/>
      <c r="E109" s="140"/>
      <c r="F109" s="159"/>
      <c r="G109" s="159"/>
      <c r="H109" s="159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</row>
    <row r="110">
      <c r="A110" s="140"/>
      <c r="B110" s="140"/>
      <c r="C110" s="140"/>
      <c r="D110" s="140"/>
      <c r="E110" s="140"/>
      <c r="F110" s="159"/>
      <c r="G110" s="159"/>
      <c r="H110" s="159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</row>
    <row r="111">
      <c r="A111" s="140"/>
      <c r="B111" s="140"/>
      <c r="C111" s="140"/>
      <c r="D111" s="140"/>
      <c r="E111" s="140"/>
      <c r="F111" s="159"/>
      <c r="G111" s="159"/>
      <c r="H111" s="159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</row>
    <row r="112">
      <c r="A112" s="140"/>
      <c r="B112" s="140"/>
      <c r="C112" s="140"/>
      <c r="D112" s="140"/>
      <c r="E112" s="140"/>
      <c r="F112" s="159"/>
      <c r="G112" s="159"/>
      <c r="H112" s="159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</row>
    <row r="113">
      <c r="A113" s="140"/>
      <c r="B113" s="140"/>
      <c r="C113" s="140"/>
      <c r="D113" s="140"/>
      <c r="E113" s="140"/>
      <c r="F113" s="159"/>
      <c r="G113" s="159"/>
      <c r="H113" s="159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</row>
    <row r="114">
      <c r="A114" s="140"/>
      <c r="B114" s="140"/>
      <c r="C114" s="140"/>
      <c r="D114" s="140"/>
      <c r="E114" s="140"/>
      <c r="F114" s="159"/>
      <c r="G114" s="159"/>
      <c r="H114" s="159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</row>
    <row r="115">
      <c r="A115" s="140"/>
      <c r="B115" s="140"/>
      <c r="C115" s="140"/>
      <c r="D115" s="140"/>
      <c r="E115" s="140"/>
      <c r="F115" s="159"/>
      <c r="G115" s="159"/>
      <c r="H115" s="159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</row>
    <row r="116">
      <c r="A116" s="140"/>
      <c r="B116" s="140"/>
      <c r="C116" s="140"/>
      <c r="D116" s="140"/>
      <c r="E116" s="140"/>
      <c r="F116" s="159"/>
      <c r="G116" s="159"/>
      <c r="H116" s="159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</row>
    <row r="117">
      <c r="A117" s="140"/>
      <c r="B117" s="140"/>
      <c r="C117" s="140"/>
      <c r="D117" s="140"/>
      <c r="E117" s="140"/>
      <c r="F117" s="159"/>
      <c r="G117" s="159"/>
      <c r="H117" s="159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</row>
    <row r="118">
      <c r="A118" s="140"/>
      <c r="B118" s="140"/>
      <c r="C118" s="140"/>
      <c r="D118" s="140"/>
      <c r="E118" s="140"/>
      <c r="F118" s="159"/>
      <c r="G118" s="159"/>
      <c r="H118" s="159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</row>
    <row r="119">
      <c r="A119" s="140"/>
      <c r="B119" s="140"/>
      <c r="C119" s="140"/>
      <c r="D119" s="140"/>
      <c r="E119" s="140"/>
      <c r="F119" s="159"/>
      <c r="G119" s="159"/>
      <c r="H119" s="159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</row>
    <row r="120">
      <c r="A120" s="140"/>
      <c r="B120" s="140"/>
      <c r="C120" s="140"/>
      <c r="D120" s="140"/>
      <c r="E120" s="140"/>
      <c r="F120" s="159"/>
      <c r="G120" s="159"/>
      <c r="H120" s="159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</row>
    <row r="121">
      <c r="A121" s="140"/>
      <c r="B121" s="140"/>
      <c r="C121" s="140"/>
      <c r="D121" s="140"/>
      <c r="E121" s="140"/>
      <c r="F121" s="159"/>
      <c r="G121" s="159"/>
      <c r="H121" s="159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</row>
    <row r="122">
      <c r="A122" s="140"/>
      <c r="B122" s="140"/>
      <c r="C122" s="140"/>
      <c r="D122" s="140"/>
      <c r="E122" s="140"/>
      <c r="F122" s="159"/>
      <c r="G122" s="159"/>
      <c r="H122" s="159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</row>
    <row r="123">
      <c r="A123" s="140"/>
      <c r="B123" s="140"/>
      <c r="C123" s="140"/>
      <c r="D123" s="140"/>
      <c r="E123" s="140"/>
      <c r="F123" s="159"/>
      <c r="G123" s="159"/>
      <c r="H123" s="159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</row>
    <row r="124">
      <c r="A124" s="140"/>
      <c r="B124" s="140"/>
      <c r="C124" s="140"/>
      <c r="D124" s="140"/>
      <c r="E124" s="140"/>
      <c r="F124" s="159"/>
      <c r="G124" s="159"/>
      <c r="H124" s="159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</row>
    <row r="125">
      <c r="A125" s="140"/>
      <c r="B125" s="140"/>
      <c r="C125" s="140"/>
      <c r="D125" s="140"/>
      <c r="E125" s="140"/>
      <c r="F125" s="159"/>
      <c r="G125" s="159"/>
      <c r="H125" s="159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</row>
    <row r="126">
      <c r="A126" s="140"/>
      <c r="B126" s="140"/>
      <c r="C126" s="140"/>
      <c r="D126" s="140"/>
      <c r="E126" s="140"/>
      <c r="F126" s="159"/>
      <c r="G126" s="159"/>
      <c r="H126" s="159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</row>
    <row r="127">
      <c r="A127" s="140"/>
      <c r="B127" s="140"/>
      <c r="C127" s="140"/>
      <c r="D127" s="140"/>
      <c r="E127" s="140"/>
      <c r="F127" s="159"/>
      <c r="G127" s="159"/>
      <c r="H127" s="159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</row>
    <row r="128">
      <c r="A128" s="140"/>
      <c r="B128" s="140"/>
      <c r="C128" s="140"/>
      <c r="D128" s="140"/>
      <c r="E128" s="140"/>
      <c r="F128" s="159"/>
      <c r="G128" s="159"/>
      <c r="H128" s="159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</row>
    <row r="129">
      <c r="A129" s="140"/>
      <c r="B129" s="140"/>
      <c r="C129" s="140"/>
      <c r="D129" s="140"/>
      <c r="E129" s="140"/>
      <c r="F129" s="159"/>
      <c r="G129" s="159"/>
      <c r="H129" s="159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</row>
    <row r="130">
      <c r="A130" s="140"/>
      <c r="B130" s="140"/>
      <c r="C130" s="140"/>
      <c r="D130" s="140"/>
      <c r="E130" s="140"/>
      <c r="F130" s="159"/>
      <c r="G130" s="159"/>
      <c r="H130" s="159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</row>
    <row r="131">
      <c r="A131" s="140"/>
      <c r="B131" s="140"/>
      <c r="C131" s="140"/>
      <c r="D131" s="140"/>
      <c r="E131" s="140"/>
      <c r="F131" s="159"/>
      <c r="G131" s="159"/>
      <c r="H131" s="159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</row>
    <row r="132">
      <c r="A132" s="140"/>
      <c r="B132" s="140"/>
      <c r="C132" s="140"/>
      <c r="D132" s="140"/>
      <c r="E132" s="140"/>
      <c r="F132" s="159"/>
      <c r="G132" s="159"/>
      <c r="H132" s="159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</row>
    <row r="133">
      <c r="A133" s="140"/>
      <c r="B133" s="140"/>
      <c r="C133" s="140"/>
      <c r="D133" s="140"/>
      <c r="E133" s="140"/>
      <c r="F133" s="159"/>
      <c r="G133" s="159"/>
      <c r="H133" s="159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</row>
    <row r="134">
      <c r="A134" s="140"/>
      <c r="B134" s="140"/>
      <c r="C134" s="140"/>
      <c r="D134" s="140"/>
      <c r="E134" s="140"/>
      <c r="F134" s="159"/>
      <c r="G134" s="159"/>
      <c r="H134" s="159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</row>
    <row r="135">
      <c r="A135" s="140"/>
      <c r="B135" s="140"/>
      <c r="C135" s="140"/>
      <c r="D135" s="140"/>
      <c r="E135" s="140"/>
      <c r="F135" s="159"/>
      <c r="G135" s="159"/>
      <c r="H135" s="159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</row>
    <row r="136">
      <c r="A136" s="140"/>
      <c r="B136" s="140"/>
      <c r="C136" s="140"/>
      <c r="D136" s="140"/>
      <c r="E136" s="140"/>
      <c r="F136" s="159"/>
      <c r="G136" s="159"/>
      <c r="H136" s="159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</row>
    <row r="137">
      <c r="A137" s="140"/>
      <c r="B137" s="140"/>
      <c r="C137" s="140"/>
      <c r="D137" s="140"/>
      <c r="E137" s="140"/>
      <c r="F137" s="159"/>
      <c r="G137" s="159"/>
      <c r="H137" s="159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</row>
    <row r="138">
      <c r="A138" s="140"/>
      <c r="B138" s="140"/>
      <c r="C138" s="140"/>
      <c r="D138" s="140"/>
      <c r="E138" s="140"/>
      <c r="F138" s="159"/>
      <c r="G138" s="159"/>
      <c r="H138" s="159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</row>
    <row r="139">
      <c r="A139" s="140"/>
      <c r="B139" s="140"/>
      <c r="C139" s="140"/>
      <c r="D139" s="140"/>
      <c r="E139" s="140"/>
      <c r="F139" s="159"/>
      <c r="G139" s="159"/>
      <c r="H139" s="159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</row>
    <row r="140">
      <c r="A140" s="140"/>
      <c r="B140" s="140"/>
      <c r="C140" s="140"/>
      <c r="D140" s="140"/>
      <c r="E140" s="140"/>
      <c r="F140" s="159"/>
      <c r="G140" s="159"/>
      <c r="H140" s="159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</row>
    <row r="141">
      <c r="A141" s="140"/>
      <c r="B141" s="140"/>
      <c r="C141" s="140"/>
      <c r="D141" s="140"/>
      <c r="E141" s="140"/>
      <c r="F141" s="159"/>
      <c r="G141" s="159"/>
      <c r="H141" s="159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</row>
    <row r="142">
      <c r="A142" s="140"/>
      <c r="B142" s="140"/>
      <c r="C142" s="140"/>
      <c r="D142" s="140"/>
      <c r="E142" s="140"/>
      <c r="F142" s="159"/>
      <c r="G142" s="159"/>
      <c r="H142" s="159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</row>
    <row r="143">
      <c r="A143" s="140"/>
      <c r="B143" s="140"/>
      <c r="C143" s="140"/>
      <c r="D143" s="140"/>
      <c r="E143" s="140"/>
      <c r="F143" s="159"/>
      <c r="G143" s="159"/>
      <c r="H143" s="159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</row>
    <row r="144">
      <c r="A144" s="140"/>
      <c r="B144" s="140"/>
      <c r="C144" s="140"/>
      <c r="D144" s="140"/>
      <c r="E144" s="140"/>
      <c r="F144" s="159"/>
      <c r="G144" s="159"/>
      <c r="H144" s="159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</row>
    <row r="145">
      <c r="A145" s="140"/>
      <c r="B145" s="140"/>
      <c r="C145" s="140"/>
      <c r="D145" s="140"/>
      <c r="E145" s="140"/>
      <c r="F145" s="159"/>
      <c r="G145" s="159"/>
      <c r="H145" s="159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</row>
    <row r="146">
      <c r="A146" s="140"/>
      <c r="B146" s="140"/>
      <c r="C146" s="140"/>
      <c r="D146" s="140"/>
      <c r="E146" s="140"/>
      <c r="F146" s="159"/>
      <c r="G146" s="159"/>
      <c r="H146" s="159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</row>
    <row r="147">
      <c r="A147" s="140"/>
      <c r="B147" s="140"/>
      <c r="C147" s="140"/>
      <c r="D147" s="140"/>
      <c r="E147" s="140"/>
      <c r="F147" s="159"/>
      <c r="G147" s="159"/>
      <c r="H147" s="159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</row>
    <row r="148">
      <c r="A148" s="140"/>
      <c r="B148" s="140"/>
      <c r="C148" s="140"/>
      <c r="D148" s="140"/>
      <c r="E148" s="140"/>
      <c r="F148" s="159"/>
      <c r="G148" s="159"/>
      <c r="H148" s="159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</row>
    <row r="149">
      <c r="A149" s="140"/>
      <c r="B149" s="140"/>
      <c r="C149" s="140"/>
      <c r="D149" s="140"/>
      <c r="E149" s="140"/>
      <c r="F149" s="159"/>
      <c r="G149" s="159"/>
      <c r="H149" s="159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</row>
    <row r="150">
      <c r="A150" s="140"/>
      <c r="B150" s="140"/>
      <c r="C150" s="140"/>
      <c r="D150" s="140"/>
      <c r="E150" s="140"/>
      <c r="F150" s="159"/>
      <c r="G150" s="159"/>
      <c r="H150" s="159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</row>
    <row r="151">
      <c r="A151" s="140"/>
      <c r="B151" s="140"/>
      <c r="C151" s="140"/>
      <c r="D151" s="140"/>
      <c r="E151" s="140"/>
      <c r="F151" s="159"/>
      <c r="G151" s="159"/>
      <c r="H151" s="159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</row>
    <row r="152">
      <c r="A152" s="140"/>
      <c r="B152" s="140"/>
      <c r="C152" s="140"/>
      <c r="D152" s="140"/>
      <c r="E152" s="140"/>
      <c r="F152" s="159"/>
      <c r="G152" s="159"/>
      <c r="H152" s="159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</row>
    <row r="153">
      <c r="A153" s="140"/>
      <c r="B153" s="140"/>
      <c r="C153" s="140"/>
      <c r="D153" s="140"/>
      <c r="E153" s="140"/>
      <c r="F153" s="159"/>
      <c r="G153" s="159"/>
      <c r="H153" s="159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</row>
    <row r="154">
      <c r="A154" s="140"/>
      <c r="B154" s="140"/>
      <c r="C154" s="140"/>
      <c r="D154" s="140"/>
      <c r="E154" s="140"/>
      <c r="F154" s="159"/>
      <c r="G154" s="159"/>
      <c r="H154" s="159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</row>
    <row r="155">
      <c r="A155" s="140"/>
      <c r="B155" s="140"/>
      <c r="C155" s="140"/>
      <c r="D155" s="140"/>
      <c r="E155" s="140"/>
      <c r="F155" s="159"/>
      <c r="G155" s="159"/>
      <c r="H155" s="159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</row>
    <row r="156">
      <c r="A156" s="140"/>
      <c r="B156" s="140"/>
      <c r="C156" s="140"/>
      <c r="D156" s="140"/>
      <c r="E156" s="140"/>
      <c r="F156" s="159"/>
      <c r="G156" s="159"/>
      <c r="H156" s="159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</row>
    <row r="157">
      <c r="A157" s="140"/>
      <c r="B157" s="140"/>
      <c r="C157" s="140"/>
      <c r="D157" s="140"/>
      <c r="E157" s="140"/>
      <c r="F157" s="159"/>
      <c r="G157" s="159"/>
      <c r="H157" s="159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</row>
    <row r="158">
      <c r="A158" s="140"/>
      <c r="B158" s="140"/>
      <c r="C158" s="140"/>
      <c r="D158" s="140"/>
      <c r="E158" s="140"/>
      <c r="F158" s="159"/>
      <c r="G158" s="159"/>
      <c r="H158" s="159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</row>
    <row r="159">
      <c r="A159" s="140"/>
      <c r="B159" s="140"/>
      <c r="C159" s="140"/>
      <c r="D159" s="140"/>
      <c r="E159" s="140"/>
      <c r="F159" s="159"/>
      <c r="G159" s="159"/>
      <c r="H159" s="159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</row>
    <row r="160">
      <c r="A160" s="140"/>
      <c r="B160" s="140"/>
      <c r="C160" s="140"/>
      <c r="D160" s="140"/>
      <c r="E160" s="140"/>
      <c r="F160" s="159"/>
      <c r="G160" s="159"/>
      <c r="H160" s="159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</row>
    <row r="161">
      <c r="A161" s="140"/>
      <c r="B161" s="140"/>
      <c r="C161" s="140"/>
      <c r="D161" s="140"/>
      <c r="E161" s="140"/>
      <c r="F161" s="159"/>
      <c r="G161" s="159"/>
      <c r="H161" s="159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</row>
    <row r="162">
      <c r="A162" s="140"/>
      <c r="B162" s="140"/>
      <c r="C162" s="140"/>
      <c r="D162" s="140"/>
      <c r="E162" s="140"/>
      <c r="F162" s="159"/>
      <c r="G162" s="159"/>
      <c r="H162" s="159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</row>
    <row r="163">
      <c r="A163" s="140"/>
      <c r="B163" s="140"/>
      <c r="C163" s="140"/>
      <c r="D163" s="140"/>
      <c r="E163" s="140"/>
      <c r="F163" s="159"/>
      <c r="G163" s="159"/>
      <c r="H163" s="159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</row>
    <row r="164">
      <c r="A164" s="140"/>
      <c r="B164" s="140"/>
      <c r="C164" s="140"/>
      <c r="D164" s="140"/>
      <c r="E164" s="140"/>
      <c r="F164" s="159"/>
      <c r="G164" s="159"/>
      <c r="H164" s="159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</row>
    <row r="165">
      <c r="A165" s="140"/>
      <c r="B165" s="140"/>
      <c r="C165" s="140"/>
      <c r="D165" s="140"/>
      <c r="E165" s="140"/>
      <c r="F165" s="159"/>
      <c r="G165" s="159"/>
      <c r="H165" s="159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</row>
    <row r="166">
      <c r="A166" s="140"/>
      <c r="B166" s="140"/>
      <c r="C166" s="140"/>
      <c r="D166" s="140"/>
      <c r="E166" s="140"/>
      <c r="F166" s="159"/>
      <c r="G166" s="159"/>
      <c r="H166" s="159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</row>
    <row r="167">
      <c r="A167" s="140"/>
      <c r="B167" s="140"/>
      <c r="C167" s="140"/>
      <c r="D167" s="140"/>
      <c r="E167" s="140"/>
      <c r="F167" s="159"/>
      <c r="G167" s="159"/>
      <c r="H167" s="159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</row>
    <row r="168">
      <c r="A168" s="140"/>
      <c r="B168" s="140"/>
      <c r="C168" s="140"/>
      <c r="D168" s="140"/>
      <c r="E168" s="140"/>
      <c r="F168" s="159"/>
      <c r="G168" s="159"/>
      <c r="H168" s="159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</row>
    <row r="169">
      <c r="A169" s="140"/>
      <c r="B169" s="140"/>
      <c r="C169" s="140"/>
      <c r="D169" s="140"/>
      <c r="E169" s="140"/>
      <c r="F169" s="159"/>
      <c r="G169" s="159"/>
      <c r="H169" s="159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</row>
    <row r="170">
      <c r="A170" s="140"/>
      <c r="B170" s="140"/>
      <c r="C170" s="140"/>
      <c r="D170" s="140"/>
      <c r="E170" s="140"/>
      <c r="F170" s="159"/>
      <c r="G170" s="159"/>
      <c r="H170" s="159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</row>
    <row r="171">
      <c r="A171" s="140"/>
      <c r="B171" s="140"/>
      <c r="C171" s="140"/>
      <c r="D171" s="140"/>
      <c r="E171" s="140"/>
      <c r="F171" s="159"/>
      <c r="G171" s="159"/>
      <c r="H171" s="159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</row>
    <row r="172">
      <c r="A172" s="140"/>
      <c r="B172" s="140"/>
      <c r="C172" s="140"/>
      <c r="D172" s="140"/>
      <c r="E172" s="140"/>
      <c r="F172" s="159"/>
      <c r="G172" s="159"/>
      <c r="H172" s="159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</row>
    <row r="173">
      <c r="A173" s="140"/>
      <c r="B173" s="140"/>
      <c r="C173" s="140"/>
      <c r="D173" s="140"/>
      <c r="E173" s="140"/>
      <c r="F173" s="159"/>
      <c r="G173" s="159"/>
      <c r="H173" s="159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</row>
    <row r="174">
      <c r="A174" s="140"/>
      <c r="B174" s="140"/>
      <c r="C174" s="140"/>
      <c r="D174" s="140"/>
      <c r="E174" s="140"/>
      <c r="F174" s="159"/>
      <c r="G174" s="159"/>
      <c r="H174" s="159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</row>
    <row r="175">
      <c r="A175" s="140"/>
      <c r="B175" s="140"/>
      <c r="C175" s="140"/>
      <c r="D175" s="140"/>
      <c r="E175" s="140"/>
      <c r="F175" s="159"/>
      <c r="G175" s="159"/>
      <c r="H175" s="159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</row>
    <row r="176">
      <c r="A176" s="140"/>
      <c r="B176" s="140"/>
      <c r="C176" s="140"/>
      <c r="D176" s="140"/>
      <c r="E176" s="140"/>
      <c r="F176" s="159"/>
      <c r="G176" s="159"/>
      <c r="H176" s="159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</row>
    <row r="177">
      <c r="A177" s="140"/>
      <c r="B177" s="140"/>
      <c r="C177" s="140"/>
      <c r="D177" s="140"/>
      <c r="E177" s="140"/>
      <c r="F177" s="159"/>
      <c r="G177" s="159"/>
      <c r="H177" s="159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</row>
    <row r="178">
      <c r="A178" s="140"/>
      <c r="B178" s="140"/>
      <c r="C178" s="140"/>
      <c r="D178" s="140"/>
      <c r="E178" s="140"/>
      <c r="F178" s="159"/>
      <c r="G178" s="159"/>
      <c r="H178" s="159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</row>
    <row r="179">
      <c r="A179" s="140"/>
      <c r="B179" s="140"/>
      <c r="C179" s="140"/>
      <c r="D179" s="140"/>
      <c r="E179" s="140"/>
      <c r="F179" s="159"/>
      <c r="G179" s="159"/>
      <c r="H179" s="159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</row>
    <row r="180">
      <c r="A180" s="140"/>
      <c r="B180" s="140"/>
      <c r="C180" s="140"/>
      <c r="D180" s="140"/>
      <c r="E180" s="140"/>
      <c r="F180" s="159"/>
      <c r="G180" s="159"/>
      <c r="H180" s="159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</row>
    <row r="181">
      <c r="A181" s="140"/>
      <c r="B181" s="140"/>
      <c r="C181" s="140"/>
      <c r="D181" s="140"/>
      <c r="E181" s="140"/>
      <c r="F181" s="159"/>
      <c r="G181" s="159"/>
      <c r="H181" s="159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</row>
    <row r="182">
      <c r="A182" s="140"/>
      <c r="B182" s="140"/>
      <c r="C182" s="140"/>
      <c r="D182" s="140"/>
      <c r="E182" s="140"/>
      <c r="F182" s="159"/>
      <c r="G182" s="159"/>
      <c r="H182" s="159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</row>
    <row r="183">
      <c r="A183" s="140"/>
      <c r="B183" s="140"/>
      <c r="C183" s="140"/>
      <c r="D183" s="140"/>
      <c r="E183" s="140"/>
      <c r="F183" s="159"/>
      <c r="G183" s="159"/>
      <c r="H183" s="159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</row>
    <row r="184">
      <c r="A184" s="140"/>
      <c r="B184" s="140"/>
      <c r="C184" s="140"/>
      <c r="D184" s="140"/>
      <c r="E184" s="140"/>
      <c r="F184" s="159"/>
      <c r="G184" s="159"/>
      <c r="H184" s="159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</row>
    <row r="185">
      <c r="A185" s="140"/>
      <c r="B185" s="140"/>
      <c r="C185" s="140"/>
      <c r="D185" s="140"/>
      <c r="E185" s="140"/>
      <c r="F185" s="159"/>
      <c r="G185" s="159"/>
      <c r="H185" s="159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</row>
    <row r="186">
      <c r="A186" s="140"/>
      <c r="B186" s="140"/>
      <c r="C186" s="140"/>
      <c r="D186" s="140"/>
      <c r="E186" s="140"/>
      <c r="F186" s="159"/>
      <c r="G186" s="159"/>
      <c r="H186" s="159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</row>
    <row r="187">
      <c r="A187" s="140"/>
      <c r="B187" s="140"/>
      <c r="C187" s="140"/>
      <c r="D187" s="140"/>
      <c r="E187" s="140"/>
      <c r="F187" s="159"/>
      <c r="G187" s="159"/>
      <c r="H187" s="159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</row>
    <row r="188">
      <c r="A188" s="140"/>
      <c r="B188" s="140"/>
      <c r="C188" s="140"/>
      <c r="D188" s="140"/>
      <c r="E188" s="140"/>
      <c r="F188" s="159"/>
      <c r="G188" s="159"/>
      <c r="H188" s="159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</row>
    <row r="189">
      <c r="A189" s="140"/>
      <c r="B189" s="140"/>
      <c r="C189" s="140"/>
      <c r="D189" s="140"/>
      <c r="E189" s="140"/>
      <c r="F189" s="159"/>
      <c r="G189" s="159"/>
      <c r="H189" s="159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</row>
    <row r="190">
      <c r="A190" s="140"/>
      <c r="B190" s="140"/>
      <c r="C190" s="140"/>
      <c r="D190" s="140"/>
      <c r="E190" s="140"/>
      <c r="F190" s="159"/>
      <c r="G190" s="159"/>
      <c r="H190" s="159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</row>
    <row r="191">
      <c r="A191" s="140"/>
      <c r="B191" s="140"/>
      <c r="C191" s="140"/>
      <c r="D191" s="140"/>
      <c r="E191" s="140"/>
      <c r="F191" s="159"/>
      <c r="G191" s="159"/>
      <c r="H191" s="159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</row>
    <row r="192">
      <c r="A192" s="140"/>
      <c r="B192" s="140"/>
      <c r="C192" s="140"/>
      <c r="D192" s="140"/>
      <c r="E192" s="140"/>
      <c r="F192" s="159"/>
      <c r="G192" s="159"/>
      <c r="H192" s="159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</row>
    <row r="193">
      <c r="A193" s="140"/>
      <c r="B193" s="140"/>
      <c r="C193" s="140"/>
      <c r="D193" s="140"/>
      <c r="E193" s="140"/>
      <c r="F193" s="159"/>
      <c r="G193" s="159"/>
      <c r="H193" s="159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</row>
    <row r="194">
      <c r="A194" s="140"/>
      <c r="B194" s="140"/>
      <c r="C194" s="140"/>
      <c r="D194" s="140"/>
      <c r="E194" s="140"/>
      <c r="F194" s="159"/>
      <c r="G194" s="159"/>
      <c r="H194" s="159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</row>
    <row r="195">
      <c r="A195" s="140"/>
      <c r="B195" s="140"/>
      <c r="C195" s="140"/>
      <c r="D195" s="140"/>
      <c r="E195" s="140"/>
      <c r="F195" s="159"/>
      <c r="G195" s="159"/>
      <c r="H195" s="159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</row>
    <row r="196">
      <c r="A196" s="140"/>
      <c r="B196" s="140"/>
      <c r="C196" s="140"/>
      <c r="D196" s="140"/>
      <c r="E196" s="140"/>
      <c r="F196" s="159"/>
      <c r="G196" s="159"/>
      <c r="H196" s="159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</row>
    <row r="197">
      <c r="A197" s="140"/>
      <c r="B197" s="140"/>
      <c r="C197" s="140"/>
      <c r="D197" s="140"/>
      <c r="E197" s="140"/>
      <c r="F197" s="159"/>
      <c r="G197" s="159"/>
      <c r="H197" s="159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</row>
    <row r="198">
      <c r="A198" s="140"/>
      <c r="B198" s="140"/>
      <c r="C198" s="140"/>
      <c r="D198" s="140"/>
      <c r="E198" s="140"/>
      <c r="F198" s="159"/>
      <c r="G198" s="159"/>
      <c r="H198" s="159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</row>
    <row r="199">
      <c r="A199" s="140"/>
      <c r="B199" s="140"/>
      <c r="C199" s="140"/>
      <c r="D199" s="140"/>
      <c r="E199" s="140"/>
      <c r="F199" s="159"/>
      <c r="G199" s="159"/>
      <c r="H199" s="159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</row>
    <row r="200">
      <c r="A200" s="140"/>
      <c r="B200" s="140"/>
      <c r="C200" s="140"/>
      <c r="D200" s="140"/>
      <c r="E200" s="140"/>
      <c r="F200" s="159"/>
      <c r="G200" s="159"/>
      <c r="H200" s="159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</row>
    <row r="201">
      <c r="A201" s="140"/>
      <c r="B201" s="140"/>
      <c r="C201" s="140"/>
      <c r="D201" s="140"/>
      <c r="E201" s="140"/>
      <c r="F201" s="159"/>
      <c r="G201" s="159"/>
      <c r="H201" s="159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</row>
    <row r="202">
      <c r="A202" s="140"/>
      <c r="B202" s="140"/>
      <c r="C202" s="140"/>
      <c r="D202" s="140"/>
      <c r="E202" s="140"/>
      <c r="F202" s="159"/>
      <c r="G202" s="159"/>
      <c r="H202" s="159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</row>
    <row r="203">
      <c r="A203" s="140"/>
      <c r="B203" s="140"/>
      <c r="C203" s="140"/>
      <c r="D203" s="140"/>
      <c r="E203" s="140"/>
      <c r="F203" s="159"/>
      <c r="G203" s="159"/>
      <c r="H203" s="159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</row>
    <row r="204">
      <c r="A204" s="140"/>
      <c r="B204" s="140"/>
      <c r="C204" s="140"/>
      <c r="D204" s="140"/>
      <c r="E204" s="140"/>
      <c r="F204" s="159"/>
      <c r="G204" s="159"/>
      <c r="H204" s="159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</row>
    <row r="205">
      <c r="A205" s="140"/>
      <c r="B205" s="140"/>
      <c r="C205" s="140"/>
      <c r="D205" s="140"/>
      <c r="E205" s="140"/>
      <c r="F205" s="159"/>
      <c r="G205" s="159"/>
      <c r="H205" s="159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</row>
    <row r="206">
      <c r="A206" s="140"/>
      <c r="B206" s="140"/>
      <c r="C206" s="140"/>
      <c r="D206" s="140"/>
      <c r="E206" s="140"/>
      <c r="F206" s="159"/>
      <c r="G206" s="159"/>
      <c r="H206" s="159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</row>
    <row r="207">
      <c r="A207" s="140"/>
      <c r="B207" s="140"/>
      <c r="C207" s="140"/>
      <c r="D207" s="140"/>
      <c r="E207" s="140"/>
      <c r="F207" s="159"/>
      <c r="G207" s="159"/>
      <c r="H207" s="159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</row>
    <row r="208">
      <c r="A208" s="140"/>
      <c r="B208" s="140"/>
      <c r="C208" s="140"/>
      <c r="D208" s="140"/>
      <c r="E208" s="140"/>
      <c r="F208" s="159"/>
      <c r="G208" s="159"/>
      <c r="H208" s="159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</row>
    <row r="209">
      <c r="A209" s="140"/>
      <c r="B209" s="140"/>
      <c r="C209" s="140"/>
      <c r="D209" s="140"/>
      <c r="E209" s="140"/>
      <c r="F209" s="159"/>
      <c r="G209" s="159"/>
      <c r="H209" s="159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</row>
    <row r="210">
      <c r="A210" s="140"/>
      <c r="B210" s="140"/>
      <c r="C210" s="140"/>
      <c r="D210" s="140"/>
      <c r="E210" s="140"/>
      <c r="F210" s="159"/>
      <c r="G210" s="159"/>
      <c r="H210" s="159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</row>
    <row r="211">
      <c r="A211" s="140"/>
      <c r="B211" s="140"/>
      <c r="C211" s="140"/>
      <c r="D211" s="140"/>
      <c r="E211" s="140"/>
      <c r="F211" s="159"/>
      <c r="G211" s="159"/>
      <c r="H211" s="159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</row>
    <row r="212">
      <c r="A212" s="140"/>
      <c r="B212" s="140"/>
      <c r="C212" s="140"/>
      <c r="D212" s="140"/>
      <c r="E212" s="140"/>
      <c r="F212" s="159"/>
      <c r="G212" s="159"/>
      <c r="H212" s="159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</row>
    <row r="213">
      <c r="A213" s="140"/>
      <c r="B213" s="140"/>
      <c r="C213" s="140"/>
      <c r="D213" s="140"/>
      <c r="E213" s="140"/>
      <c r="F213" s="159"/>
      <c r="G213" s="159"/>
      <c r="H213" s="159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</row>
    <row r="214">
      <c r="A214" s="140"/>
      <c r="B214" s="140"/>
      <c r="C214" s="140"/>
      <c r="D214" s="140"/>
      <c r="E214" s="140"/>
      <c r="F214" s="159"/>
      <c r="G214" s="159"/>
      <c r="H214" s="159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</row>
    <row r="215">
      <c r="A215" s="140"/>
      <c r="B215" s="140"/>
      <c r="C215" s="140"/>
      <c r="D215" s="140"/>
      <c r="E215" s="140"/>
      <c r="F215" s="159"/>
      <c r="G215" s="159"/>
      <c r="H215" s="159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</row>
    <row r="216">
      <c r="A216" s="140"/>
      <c r="B216" s="140"/>
      <c r="C216" s="140"/>
      <c r="D216" s="140"/>
      <c r="E216" s="140"/>
      <c r="F216" s="159"/>
      <c r="G216" s="159"/>
      <c r="H216" s="159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</row>
    <row r="217">
      <c r="A217" s="140"/>
      <c r="B217" s="140"/>
      <c r="C217" s="140"/>
      <c r="D217" s="140"/>
      <c r="E217" s="140"/>
      <c r="F217" s="159"/>
      <c r="G217" s="159"/>
      <c r="H217" s="159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</row>
    <row r="218">
      <c r="A218" s="140"/>
      <c r="B218" s="140"/>
      <c r="C218" s="140"/>
      <c r="D218" s="140"/>
      <c r="E218" s="140"/>
      <c r="F218" s="159"/>
      <c r="G218" s="159"/>
      <c r="H218" s="159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</row>
    <row r="219">
      <c r="A219" s="140"/>
      <c r="B219" s="140"/>
      <c r="C219" s="140"/>
      <c r="D219" s="140"/>
      <c r="E219" s="140"/>
      <c r="F219" s="159"/>
      <c r="G219" s="159"/>
      <c r="H219" s="159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</row>
    <row r="220">
      <c r="A220" s="140"/>
      <c r="B220" s="140"/>
      <c r="C220" s="140"/>
      <c r="D220" s="140"/>
      <c r="E220" s="140"/>
      <c r="F220" s="159"/>
      <c r="G220" s="159"/>
      <c r="H220" s="159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</row>
    <row r="221">
      <c r="A221" s="140"/>
      <c r="B221" s="140"/>
      <c r="C221" s="140"/>
      <c r="D221" s="140"/>
      <c r="E221" s="140"/>
      <c r="F221" s="159"/>
      <c r="G221" s="159"/>
      <c r="H221" s="159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</row>
    <row r="222">
      <c r="A222" s="140"/>
      <c r="B222" s="140"/>
      <c r="C222" s="140"/>
      <c r="D222" s="140"/>
      <c r="E222" s="140"/>
      <c r="F222" s="159"/>
      <c r="G222" s="159"/>
      <c r="H222" s="159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</row>
    <row r="223">
      <c r="A223" s="140"/>
      <c r="B223" s="140"/>
      <c r="C223" s="140"/>
      <c r="D223" s="140"/>
      <c r="E223" s="140"/>
      <c r="F223" s="159"/>
      <c r="G223" s="159"/>
      <c r="H223" s="159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</row>
    <row r="224">
      <c r="A224" s="140"/>
      <c r="B224" s="140"/>
      <c r="C224" s="140"/>
      <c r="D224" s="140"/>
      <c r="E224" s="140"/>
      <c r="F224" s="159"/>
      <c r="G224" s="159"/>
      <c r="H224" s="159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</row>
    <row r="225">
      <c r="A225" s="140"/>
      <c r="B225" s="140"/>
      <c r="C225" s="140"/>
      <c r="D225" s="140"/>
      <c r="E225" s="140"/>
      <c r="F225" s="159"/>
      <c r="G225" s="159"/>
      <c r="H225" s="159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</row>
    <row r="226">
      <c r="A226" s="140"/>
      <c r="B226" s="140"/>
      <c r="C226" s="140"/>
      <c r="D226" s="140"/>
      <c r="E226" s="140"/>
      <c r="F226" s="159"/>
      <c r="G226" s="159"/>
      <c r="H226" s="159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</row>
    <row r="227">
      <c r="A227" s="140"/>
      <c r="B227" s="140"/>
      <c r="C227" s="140"/>
      <c r="D227" s="140"/>
      <c r="E227" s="140"/>
      <c r="F227" s="159"/>
      <c r="G227" s="159"/>
      <c r="H227" s="159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</row>
    <row r="228">
      <c r="A228" s="140"/>
      <c r="B228" s="140"/>
      <c r="C228" s="140"/>
      <c r="D228" s="140"/>
      <c r="E228" s="140"/>
      <c r="F228" s="159"/>
      <c r="G228" s="159"/>
      <c r="H228" s="159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</row>
    <row r="229">
      <c r="A229" s="140"/>
      <c r="B229" s="140"/>
      <c r="C229" s="140"/>
      <c r="D229" s="140"/>
      <c r="E229" s="140"/>
      <c r="F229" s="159"/>
      <c r="G229" s="159"/>
      <c r="H229" s="159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</row>
    <row r="230">
      <c r="A230" s="140"/>
      <c r="B230" s="140"/>
      <c r="C230" s="140"/>
      <c r="D230" s="140"/>
      <c r="E230" s="140"/>
      <c r="F230" s="159"/>
      <c r="G230" s="159"/>
      <c r="H230" s="159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</row>
    <row r="231">
      <c r="A231" s="140"/>
      <c r="B231" s="140"/>
      <c r="C231" s="140"/>
      <c r="D231" s="140"/>
      <c r="E231" s="140"/>
      <c r="F231" s="159"/>
      <c r="G231" s="159"/>
      <c r="H231" s="159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</row>
    <row r="232">
      <c r="A232" s="140"/>
      <c r="B232" s="140"/>
      <c r="C232" s="140"/>
      <c r="D232" s="140"/>
      <c r="E232" s="140"/>
      <c r="F232" s="159"/>
      <c r="G232" s="159"/>
      <c r="H232" s="159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</row>
    <row r="233">
      <c r="A233" s="140"/>
      <c r="B233" s="140"/>
      <c r="C233" s="140"/>
      <c r="D233" s="140"/>
      <c r="E233" s="140"/>
      <c r="F233" s="159"/>
      <c r="G233" s="159"/>
      <c r="H233" s="159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</row>
    <row r="234">
      <c r="A234" s="140"/>
      <c r="B234" s="140"/>
      <c r="C234" s="140"/>
      <c r="D234" s="140"/>
      <c r="E234" s="140"/>
      <c r="F234" s="159"/>
      <c r="G234" s="159"/>
      <c r="H234" s="159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</row>
    <row r="235">
      <c r="A235" s="140"/>
      <c r="B235" s="140"/>
      <c r="C235" s="140"/>
      <c r="D235" s="140"/>
      <c r="E235" s="140"/>
      <c r="F235" s="159"/>
      <c r="G235" s="159"/>
      <c r="H235" s="159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</row>
    <row r="236">
      <c r="A236" s="140"/>
      <c r="B236" s="140"/>
      <c r="C236" s="140"/>
      <c r="D236" s="140"/>
      <c r="E236" s="140"/>
      <c r="F236" s="159"/>
      <c r="G236" s="159"/>
      <c r="H236" s="159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</row>
    <row r="237">
      <c r="A237" s="140"/>
      <c r="B237" s="140"/>
      <c r="C237" s="140"/>
      <c r="D237" s="140"/>
      <c r="E237" s="140"/>
      <c r="F237" s="159"/>
      <c r="G237" s="159"/>
      <c r="H237" s="159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</row>
    <row r="238">
      <c r="A238" s="140"/>
      <c r="B238" s="140"/>
      <c r="C238" s="140"/>
      <c r="D238" s="140"/>
      <c r="E238" s="140"/>
      <c r="F238" s="159"/>
      <c r="G238" s="159"/>
      <c r="H238" s="159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</row>
    <row r="239">
      <c r="A239" s="140"/>
      <c r="B239" s="140"/>
      <c r="C239" s="140"/>
      <c r="D239" s="140"/>
      <c r="E239" s="140"/>
      <c r="F239" s="159"/>
      <c r="G239" s="159"/>
      <c r="H239" s="159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</row>
    <row r="240">
      <c r="A240" s="140"/>
      <c r="B240" s="140"/>
      <c r="C240" s="140"/>
      <c r="D240" s="140"/>
      <c r="E240" s="140"/>
      <c r="F240" s="159"/>
      <c r="G240" s="159"/>
      <c r="H240" s="159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</row>
    <row r="241">
      <c r="A241" s="140"/>
      <c r="B241" s="140"/>
      <c r="C241" s="140"/>
      <c r="D241" s="140"/>
      <c r="E241" s="140"/>
      <c r="F241" s="159"/>
      <c r="G241" s="159"/>
      <c r="H241" s="159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</row>
    <row r="242">
      <c r="A242" s="140"/>
      <c r="B242" s="140"/>
      <c r="C242" s="140"/>
      <c r="D242" s="140"/>
      <c r="E242" s="140"/>
      <c r="F242" s="159"/>
      <c r="G242" s="159"/>
      <c r="H242" s="159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</row>
    <row r="243">
      <c r="A243" s="140"/>
      <c r="B243" s="140"/>
      <c r="C243" s="140"/>
      <c r="D243" s="140"/>
      <c r="E243" s="140"/>
      <c r="F243" s="159"/>
      <c r="G243" s="159"/>
      <c r="H243" s="159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</row>
    <row r="244">
      <c r="A244" s="140"/>
      <c r="B244" s="140"/>
      <c r="C244" s="140"/>
      <c r="D244" s="140"/>
      <c r="E244" s="140"/>
      <c r="F244" s="159"/>
      <c r="G244" s="159"/>
      <c r="H244" s="159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</row>
    <row r="245">
      <c r="A245" s="140"/>
      <c r="B245" s="140"/>
      <c r="C245" s="140"/>
      <c r="D245" s="140"/>
      <c r="E245" s="140"/>
      <c r="F245" s="159"/>
      <c r="G245" s="159"/>
      <c r="H245" s="159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</row>
    <row r="246">
      <c r="A246" s="140"/>
      <c r="B246" s="140"/>
      <c r="C246" s="140"/>
      <c r="D246" s="140"/>
      <c r="E246" s="140"/>
      <c r="F246" s="159"/>
      <c r="G246" s="159"/>
      <c r="H246" s="159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</row>
    <row r="247">
      <c r="A247" s="140"/>
      <c r="B247" s="140"/>
      <c r="C247" s="140"/>
      <c r="D247" s="140"/>
      <c r="E247" s="140"/>
      <c r="F247" s="159"/>
      <c r="G247" s="159"/>
      <c r="H247" s="159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</row>
    <row r="248">
      <c r="A248" s="140"/>
      <c r="B248" s="140"/>
      <c r="C248" s="140"/>
      <c r="D248" s="140"/>
      <c r="E248" s="140"/>
      <c r="F248" s="159"/>
      <c r="G248" s="159"/>
      <c r="H248" s="159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</row>
    <row r="249">
      <c r="A249" s="140"/>
      <c r="B249" s="140"/>
      <c r="C249" s="140"/>
      <c r="D249" s="140"/>
      <c r="E249" s="140"/>
      <c r="F249" s="159"/>
      <c r="G249" s="159"/>
      <c r="H249" s="159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</row>
    <row r="250">
      <c r="A250" s="140"/>
      <c r="B250" s="140"/>
      <c r="C250" s="140"/>
      <c r="D250" s="140"/>
      <c r="E250" s="140"/>
      <c r="F250" s="159"/>
      <c r="G250" s="159"/>
      <c r="H250" s="159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</row>
    <row r="251">
      <c r="A251" s="140"/>
      <c r="B251" s="140"/>
      <c r="C251" s="140"/>
      <c r="D251" s="140"/>
      <c r="E251" s="140"/>
      <c r="F251" s="159"/>
      <c r="G251" s="159"/>
      <c r="H251" s="159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</row>
    <row r="252">
      <c r="A252" s="140"/>
      <c r="B252" s="140"/>
      <c r="C252" s="140"/>
      <c r="D252" s="140"/>
      <c r="E252" s="140"/>
      <c r="F252" s="159"/>
      <c r="G252" s="159"/>
      <c r="H252" s="159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</row>
    <row r="253">
      <c r="A253" s="140"/>
      <c r="B253" s="140"/>
      <c r="C253" s="140"/>
      <c r="D253" s="140"/>
      <c r="E253" s="140"/>
      <c r="F253" s="159"/>
      <c r="G253" s="159"/>
      <c r="H253" s="159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</row>
    <row r="254">
      <c r="A254" s="140"/>
      <c r="B254" s="140"/>
      <c r="C254" s="140"/>
      <c r="D254" s="140"/>
      <c r="E254" s="140"/>
      <c r="F254" s="159"/>
      <c r="G254" s="159"/>
      <c r="H254" s="159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</row>
    <row r="255">
      <c r="A255" s="140"/>
      <c r="B255" s="140"/>
      <c r="C255" s="140"/>
      <c r="D255" s="140"/>
      <c r="E255" s="140"/>
      <c r="F255" s="159"/>
      <c r="G255" s="159"/>
      <c r="H255" s="159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</row>
    <row r="256">
      <c r="A256" s="140"/>
      <c r="B256" s="140"/>
      <c r="C256" s="140"/>
      <c r="D256" s="140"/>
      <c r="E256" s="140"/>
      <c r="F256" s="159"/>
      <c r="G256" s="159"/>
      <c r="H256" s="159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</row>
    <row r="257">
      <c r="A257" s="140"/>
      <c r="B257" s="140"/>
      <c r="C257" s="140"/>
      <c r="D257" s="140"/>
      <c r="E257" s="140"/>
      <c r="F257" s="159"/>
      <c r="G257" s="159"/>
      <c r="H257" s="159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</row>
    <row r="258">
      <c r="A258" s="140"/>
      <c r="B258" s="140"/>
      <c r="C258" s="140"/>
      <c r="D258" s="140"/>
      <c r="E258" s="140"/>
      <c r="F258" s="159"/>
      <c r="G258" s="159"/>
      <c r="H258" s="159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</row>
    <row r="259">
      <c r="A259" s="140"/>
      <c r="B259" s="140"/>
      <c r="C259" s="140"/>
      <c r="D259" s="140"/>
      <c r="E259" s="140"/>
      <c r="F259" s="159"/>
      <c r="G259" s="159"/>
      <c r="H259" s="159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</row>
    <row r="260">
      <c r="A260" s="140"/>
      <c r="B260" s="140"/>
      <c r="C260" s="140"/>
      <c r="D260" s="140"/>
      <c r="E260" s="140"/>
      <c r="F260" s="159"/>
      <c r="G260" s="159"/>
      <c r="H260" s="159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</row>
    <row r="261">
      <c r="A261" s="140"/>
      <c r="B261" s="140"/>
      <c r="C261" s="140"/>
      <c r="D261" s="140"/>
      <c r="E261" s="140"/>
      <c r="F261" s="159"/>
      <c r="G261" s="159"/>
      <c r="H261" s="159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</row>
    <row r="262">
      <c r="A262" s="140"/>
      <c r="B262" s="140"/>
      <c r="C262" s="140"/>
      <c r="D262" s="140"/>
      <c r="E262" s="140"/>
      <c r="F262" s="159"/>
      <c r="G262" s="159"/>
      <c r="H262" s="159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</row>
    <row r="263">
      <c r="A263" s="140"/>
      <c r="B263" s="140"/>
      <c r="C263" s="140"/>
      <c r="D263" s="140"/>
      <c r="E263" s="140"/>
      <c r="F263" s="159"/>
      <c r="G263" s="159"/>
      <c r="H263" s="159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</row>
    <row r="264">
      <c r="A264" s="140"/>
      <c r="B264" s="140"/>
      <c r="C264" s="140"/>
      <c r="D264" s="140"/>
      <c r="E264" s="140"/>
      <c r="F264" s="159"/>
      <c r="G264" s="159"/>
      <c r="H264" s="159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</row>
    <row r="265">
      <c r="A265" s="140"/>
      <c r="B265" s="140"/>
      <c r="C265" s="140"/>
      <c r="D265" s="140"/>
      <c r="E265" s="140"/>
      <c r="F265" s="159"/>
      <c r="G265" s="159"/>
      <c r="H265" s="159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</row>
    <row r="266">
      <c r="A266" s="140"/>
      <c r="B266" s="140"/>
      <c r="C266" s="140"/>
      <c r="D266" s="140"/>
      <c r="E266" s="140"/>
      <c r="F266" s="159"/>
      <c r="G266" s="159"/>
      <c r="H266" s="159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</row>
    <row r="267">
      <c r="A267" s="140"/>
      <c r="B267" s="140"/>
      <c r="C267" s="140"/>
      <c r="D267" s="140"/>
      <c r="E267" s="140"/>
      <c r="F267" s="159"/>
      <c r="G267" s="159"/>
      <c r="H267" s="159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</row>
    <row r="268">
      <c r="A268" s="140"/>
      <c r="B268" s="140"/>
      <c r="C268" s="140"/>
      <c r="D268" s="140"/>
      <c r="E268" s="140"/>
      <c r="F268" s="159"/>
      <c r="G268" s="159"/>
      <c r="H268" s="159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</row>
    <row r="269">
      <c r="A269" s="140"/>
      <c r="B269" s="140"/>
      <c r="C269" s="140"/>
      <c r="D269" s="140"/>
      <c r="E269" s="140"/>
      <c r="F269" s="159"/>
      <c r="G269" s="159"/>
      <c r="H269" s="159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</row>
    <row r="270">
      <c r="A270" s="140"/>
      <c r="B270" s="140"/>
      <c r="C270" s="140"/>
      <c r="D270" s="140"/>
      <c r="E270" s="140"/>
      <c r="F270" s="159"/>
      <c r="G270" s="159"/>
      <c r="H270" s="159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</row>
    <row r="271">
      <c r="A271" s="140"/>
      <c r="B271" s="140"/>
      <c r="C271" s="140"/>
      <c r="D271" s="140"/>
      <c r="E271" s="140"/>
      <c r="F271" s="159"/>
      <c r="G271" s="159"/>
      <c r="H271" s="159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</row>
    <row r="272">
      <c r="A272" s="140"/>
      <c r="B272" s="140"/>
      <c r="C272" s="140"/>
      <c r="D272" s="140"/>
      <c r="E272" s="140"/>
      <c r="F272" s="159"/>
      <c r="G272" s="159"/>
      <c r="H272" s="159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</row>
    <row r="273">
      <c r="A273" s="140"/>
      <c r="B273" s="140"/>
      <c r="C273" s="140"/>
      <c r="D273" s="140"/>
      <c r="E273" s="140"/>
      <c r="F273" s="159"/>
      <c r="G273" s="159"/>
      <c r="H273" s="159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</row>
    <row r="274">
      <c r="A274" s="140"/>
      <c r="B274" s="140"/>
      <c r="C274" s="140"/>
      <c r="D274" s="140"/>
      <c r="E274" s="140"/>
      <c r="F274" s="159"/>
      <c r="G274" s="159"/>
      <c r="H274" s="159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</row>
    <row r="275">
      <c r="A275" s="140"/>
      <c r="B275" s="140"/>
      <c r="C275" s="140"/>
      <c r="D275" s="140"/>
      <c r="E275" s="140"/>
      <c r="F275" s="159"/>
      <c r="G275" s="159"/>
      <c r="H275" s="159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</row>
    <row r="276">
      <c r="A276" s="140"/>
      <c r="B276" s="140"/>
      <c r="C276" s="140"/>
      <c r="D276" s="140"/>
      <c r="E276" s="140"/>
      <c r="F276" s="159"/>
      <c r="G276" s="159"/>
      <c r="H276" s="159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</row>
    <row r="277">
      <c r="A277" s="140"/>
      <c r="B277" s="140"/>
      <c r="C277" s="140"/>
      <c r="D277" s="140"/>
      <c r="E277" s="140"/>
      <c r="F277" s="159"/>
      <c r="G277" s="159"/>
      <c r="H277" s="159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</row>
    <row r="278">
      <c r="A278" s="140"/>
      <c r="B278" s="140"/>
      <c r="C278" s="140"/>
      <c r="D278" s="140"/>
      <c r="E278" s="140"/>
      <c r="F278" s="159"/>
      <c r="G278" s="159"/>
      <c r="H278" s="159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</row>
    <row r="279">
      <c r="A279" s="140"/>
      <c r="B279" s="140"/>
      <c r="C279" s="140"/>
      <c r="D279" s="140"/>
      <c r="E279" s="140"/>
      <c r="F279" s="159"/>
      <c r="G279" s="159"/>
      <c r="H279" s="159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</row>
    <row r="280">
      <c r="A280" s="140"/>
      <c r="B280" s="140"/>
      <c r="C280" s="140"/>
      <c r="D280" s="140"/>
      <c r="E280" s="140"/>
      <c r="F280" s="159"/>
      <c r="G280" s="159"/>
      <c r="H280" s="159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</row>
    <row r="281">
      <c r="A281" s="140"/>
      <c r="B281" s="140"/>
      <c r="C281" s="140"/>
      <c r="D281" s="140"/>
      <c r="E281" s="140"/>
      <c r="F281" s="159"/>
      <c r="G281" s="159"/>
      <c r="H281" s="159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</row>
    <row r="282">
      <c r="A282" s="140"/>
      <c r="B282" s="140"/>
      <c r="C282" s="140"/>
      <c r="D282" s="140"/>
      <c r="E282" s="140"/>
      <c r="F282" s="159"/>
      <c r="G282" s="159"/>
      <c r="H282" s="159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</row>
    <row r="283">
      <c r="A283" s="140"/>
      <c r="B283" s="140"/>
      <c r="C283" s="140"/>
      <c r="D283" s="140"/>
      <c r="E283" s="140"/>
      <c r="F283" s="159"/>
      <c r="G283" s="159"/>
      <c r="H283" s="159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</row>
    <row r="284">
      <c r="A284" s="140"/>
      <c r="B284" s="140"/>
      <c r="C284" s="140"/>
      <c r="D284" s="140"/>
      <c r="E284" s="140"/>
      <c r="F284" s="159"/>
      <c r="G284" s="159"/>
      <c r="H284" s="159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</row>
    <row r="285">
      <c r="A285" s="140"/>
      <c r="B285" s="140"/>
      <c r="C285" s="140"/>
      <c r="D285" s="140"/>
      <c r="E285" s="140"/>
      <c r="F285" s="159"/>
      <c r="G285" s="159"/>
      <c r="H285" s="159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</row>
    <row r="286">
      <c r="A286" s="140"/>
      <c r="B286" s="140"/>
      <c r="C286" s="140"/>
      <c r="D286" s="140"/>
      <c r="E286" s="140"/>
      <c r="F286" s="159"/>
      <c r="G286" s="159"/>
      <c r="H286" s="159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</row>
    <row r="287">
      <c r="A287" s="140"/>
      <c r="B287" s="140"/>
      <c r="C287" s="140"/>
      <c r="D287" s="140"/>
      <c r="E287" s="140"/>
      <c r="F287" s="159"/>
      <c r="G287" s="159"/>
      <c r="H287" s="159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</row>
    <row r="288">
      <c r="A288" s="140"/>
      <c r="B288" s="140"/>
      <c r="C288" s="140"/>
      <c r="D288" s="140"/>
      <c r="E288" s="140"/>
      <c r="F288" s="159"/>
      <c r="G288" s="159"/>
      <c r="H288" s="159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</row>
    <row r="289">
      <c r="A289" s="140"/>
      <c r="B289" s="140"/>
      <c r="C289" s="140"/>
      <c r="D289" s="140"/>
      <c r="E289" s="140"/>
      <c r="F289" s="159"/>
      <c r="G289" s="159"/>
      <c r="H289" s="159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</row>
    <row r="290">
      <c r="A290" s="140"/>
      <c r="B290" s="140"/>
      <c r="C290" s="140"/>
      <c r="D290" s="140"/>
      <c r="E290" s="140"/>
      <c r="F290" s="159"/>
      <c r="G290" s="159"/>
      <c r="H290" s="159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</row>
    <row r="291">
      <c r="A291" s="140"/>
      <c r="B291" s="140"/>
      <c r="C291" s="140"/>
      <c r="D291" s="140"/>
      <c r="E291" s="140"/>
      <c r="F291" s="159"/>
      <c r="G291" s="159"/>
      <c r="H291" s="159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</row>
    <row r="292">
      <c r="A292" s="140"/>
      <c r="B292" s="140"/>
      <c r="C292" s="140"/>
      <c r="D292" s="140"/>
      <c r="E292" s="140"/>
      <c r="F292" s="159"/>
      <c r="G292" s="159"/>
      <c r="H292" s="159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</row>
    <row r="293">
      <c r="A293" s="140"/>
      <c r="B293" s="140"/>
      <c r="C293" s="140"/>
      <c r="D293" s="140"/>
      <c r="E293" s="140"/>
      <c r="F293" s="159"/>
      <c r="G293" s="159"/>
      <c r="H293" s="159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</row>
    <row r="294">
      <c r="A294" s="140"/>
      <c r="B294" s="140"/>
      <c r="C294" s="140"/>
      <c r="D294" s="140"/>
      <c r="E294" s="140"/>
      <c r="F294" s="159"/>
      <c r="G294" s="159"/>
      <c r="H294" s="159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</row>
    <row r="295">
      <c r="A295" s="140"/>
      <c r="B295" s="140"/>
      <c r="C295" s="140"/>
      <c r="D295" s="140"/>
      <c r="E295" s="140"/>
      <c r="F295" s="159"/>
      <c r="G295" s="159"/>
      <c r="H295" s="159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</row>
    <row r="296">
      <c r="A296" s="140"/>
      <c r="B296" s="140"/>
      <c r="C296" s="140"/>
      <c r="D296" s="140"/>
      <c r="E296" s="140"/>
      <c r="F296" s="159"/>
      <c r="G296" s="159"/>
      <c r="H296" s="159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</row>
    <row r="297">
      <c r="A297" s="140"/>
      <c r="B297" s="140"/>
      <c r="C297" s="140"/>
      <c r="D297" s="140"/>
      <c r="E297" s="140"/>
      <c r="F297" s="159"/>
      <c r="G297" s="159"/>
      <c r="H297" s="159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</row>
    <row r="298">
      <c r="A298" s="140"/>
      <c r="B298" s="140"/>
      <c r="C298" s="140"/>
      <c r="D298" s="140"/>
      <c r="E298" s="140"/>
      <c r="F298" s="159"/>
      <c r="G298" s="159"/>
      <c r="H298" s="159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</row>
    <row r="299">
      <c r="A299" s="140"/>
      <c r="B299" s="140"/>
      <c r="C299" s="140"/>
      <c r="D299" s="140"/>
      <c r="E299" s="140"/>
      <c r="F299" s="159"/>
      <c r="G299" s="159"/>
      <c r="H299" s="159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</row>
    <row r="300">
      <c r="A300" s="140"/>
      <c r="B300" s="140"/>
      <c r="C300" s="140"/>
      <c r="D300" s="140"/>
      <c r="E300" s="140"/>
      <c r="F300" s="159"/>
      <c r="G300" s="159"/>
      <c r="H300" s="159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</row>
    <row r="301">
      <c r="A301" s="140"/>
      <c r="B301" s="140"/>
      <c r="C301" s="140"/>
      <c r="D301" s="140"/>
      <c r="E301" s="140"/>
      <c r="F301" s="159"/>
      <c r="G301" s="159"/>
      <c r="H301" s="159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</row>
    <row r="302">
      <c r="A302" s="140"/>
      <c r="B302" s="140"/>
      <c r="C302" s="140"/>
      <c r="D302" s="140"/>
      <c r="E302" s="140"/>
      <c r="F302" s="159"/>
      <c r="G302" s="159"/>
      <c r="H302" s="159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</row>
    <row r="303">
      <c r="A303" s="140"/>
      <c r="B303" s="140"/>
      <c r="C303" s="140"/>
      <c r="D303" s="140"/>
      <c r="E303" s="140"/>
      <c r="F303" s="159"/>
      <c r="G303" s="159"/>
      <c r="H303" s="159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</row>
    <row r="304">
      <c r="A304" s="140"/>
      <c r="B304" s="140"/>
      <c r="C304" s="140"/>
      <c r="D304" s="140"/>
      <c r="E304" s="140"/>
      <c r="F304" s="159"/>
      <c r="G304" s="159"/>
      <c r="H304" s="159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</row>
    <row r="305">
      <c r="A305" s="140"/>
      <c r="B305" s="140"/>
      <c r="C305" s="140"/>
      <c r="D305" s="140"/>
      <c r="E305" s="140"/>
      <c r="F305" s="159"/>
      <c r="G305" s="159"/>
      <c r="H305" s="159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</row>
    <row r="306">
      <c r="A306" s="140"/>
      <c r="B306" s="140"/>
      <c r="C306" s="140"/>
      <c r="D306" s="140"/>
      <c r="E306" s="140"/>
      <c r="F306" s="159"/>
      <c r="G306" s="159"/>
      <c r="H306" s="159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</row>
    <row r="307">
      <c r="A307" s="140"/>
      <c r="B307" s="140"/>
      <c r="C307" s="140"/>
      <c r="D307" s="140"/>
      <c r="E307" s="140"/>
      <c r="F307" s="159"/>
      <c r="G307" s="159"/>
      <c r="H307" s="159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</row>
    <row r="308">
      <c r="A308" s="140"/>
      <c r="B308" s="140"/>
      <c r="C308" s="140"/>
      <c r="D308" s="140"/>
      <c r="E308" s="140"/>
      <c r="F308" s="159"/>
      <c r="G308" s="159"/>
      <c r="H308" s="159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</row>
    <row r="309">
      <c r="A309" s="140"/>
      <c r="B309" s="140"/>
      <c r="C309" s="140"/>
      <c r="D309" s="140"/>
      <c r="E309" s="140"/>
      <c r="F309" s="159"/>
      <c r="G309" s="159"/>
      <c r="H309" s="159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</row>
    <row r="310">
      <c r="A310" s="140"/>
      <c r="B310" s="140"/>
      <c r="C310" s="140"/>
      <c r="D310" s="140"/>
      <c r="E310" s="140"/>
      <c r="F310" s="159"/>
      <c r="G310" s="159"/>
      <c r="H310" s="159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</row>
    <row r="311">
      <c r="A311" s="140"/>
      <c r="B311" s="140"/>
      <c r="C311" s="140"/>
      <c r="D311" s="140"/>
      <c r="E311" s="140"/>
      <c r="F311" s="159"/>
      <c r="G311" s="159"/>
      <c r="H311" s="159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</row>
    <row r="312">
      <c r="A312" s="140"/>
      <c r="B312" s="140"/>
      <c r="C312" s="140"/>
      <c r="D312" s="140"/>
      <c r="E312" s="140"/>
      <c r="F312" s="159"/>
      <c r="G312" s="159"/>
      <c r="H312" s="159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</row>
    <row r="313">
      <c r="A313" s="140"/>
      <c r="B313" s="140"/>
      <c r="C313" s="140"/>
      <c r="D313" s="140"/>
      <c r="E313" s="140"/>
      <c r="F313" s="159"/>
      <c r="G313" s="159"/>
      <c r="H313" s="159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</row>
    <row r="314">
      <c r="A314" s="140"/>
      <c r="B314" s="140"/>
      <c r="C314" s="140"/>
      <c r="D314" s="140"/>
      <c r="E314" s="140"/>
      <c r="F314" s="159"/>
      <c r="G314" s="159"/>
      <c r="H314" s="159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</row>
    <row r="315">
      <c r="A315" s="140"/>
      <c r="B315" s="140"/>
      <c r="C315" s="140"/>
      <c r="D315" s="140"/>
      <c r="E315" s="140"/>
      <c r="F315" s="159"/>
      <c r="G315" s="159"/>
      <c r="H315" s="159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</row>
    <row r="316">
      <c r="A316" s="140"/>
      <c r="B316" s="140"/>
      <c r="C316" s="140"/>
      <c r="D316" s="140"/>
      <c r="E316" s="140"/>
      <c r="F316" s="159"/>
      <c r="G316" s="159"/>
      <c r="H316" s="159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</row>
    <row r="317">
      <c r="A317" s="140"/>
      <c r="B317" s="140"/>
      <c r="C317" s="140"/>
      <c r="D317" s="140"/>
      <c r="E317" s="140"/>
      <c r="F317" s="159"/>
      <c r="G317" s="159"/>
      <c r="H317" s="159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</row>
    <row r="318">
      <c r="A318" s="140"/>
      <c r="B318" s="140"/>
      <c r="C318" s="140"/>
      <c r="D318" s="140"/>
      <c r="E318" s="140"/>
      <c r="F318" s="159"/>
      <c r="G318" s="159"/>
      <c r="H318" s="159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</row>
    <row r="319">
      <c r="A319" s="140"/>
      <c r="B319" s="140"/>
      <c r="C319" s="140"/>
      <c r="D319" s="140"/>
      <c r="E319" s="140"/>
      <c r="F319" s="159"/>
      <c r="G319" s="159"/>
      <c r="H319" s="159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</row>
    <row r="320">
      <c r="A320" s="140"/>
      <c r="B320" s="140"/>
      <c r="C320" s="140"/>
      <c r="D320" s="140"/>
      <c r="E320" s="140"/>
      <c r="F320" s="159"/>
      <c r="G320" s="159"/>
      <c r="H320" s="159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</row>
    <row r="321">
      <c r="A321" s="140"/>
      <c r="B321" s="140"/>
      <c r="C321" s="140"/>
      <c r="D321" s="140"/>
      <c r="E321" s="140"/>
      <c r="F321" s="159"/>
      <c r="G321" s="159"/>
      <c r="H321" s="159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</row>
    <row r="322">
      <c r="A322" s="140"/>
      <c r="B322" s="140"/>
      <c r="C322" s="140"/>
      <c r="D322" s="140"/>
      <c r="E322" s="140"/>
      <c r="F322" s="159"/>
      <c r="G322" s="159"/>
      <c r="H322" s="159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</row>
    <row r="323">
      <c r="A323" s="140"/>
      <c r="B323" s="140"/>
      <c r="C323" s="140"/>
      <c r="D323" s="140"/>
      <c r="E323" s="140"/>
      <c r="F323" s="159"/>
      <c r="G323" s="159"/>
      <c r="H323" s="159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</row>
    <row r="324">
      <c r="A324" s="140"/>
      <c r="B324" s="140"/>
      <c r="C324" s="140"/>
      <c r="D324" s="140"/>
      <c r="E324" s="140"/>
      <c r="F324" s="159"/>
      <c r="G324" s="159"/>
      <c r="H324" s="159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</row>
    <row r="325">
      <c r="A325" s="140"/>
      <c r="B325" s="140"/>
      <c r="C325" s="140"/>
      <c r="D325" s="140"/>
      <c r="E325" s="140"/>
      <c r="F325" s="159"/>
      <c r="G325" s="159"/>
      <c r="H325" s="159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</row>
    <row r="326">
      <c r="A326" s="140"/>
      <c r="B326" s="140"/>
      <c r="C326" s="140"/>
      <c r="D326" s="140"/>
      <c r="E326" s="140"/>
      <c r="F326" s="159"/>
      <c r="G326" s="159"/>
      <c r="H326" s="159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</row>
    <row r="327">
      <c r="A327" s="140"/>
      <c r="B327" s="140"/>
      <c r="C327" s="140"/>
      <c r="D327" s="140"/>
      <c r="E327" s="140"/>
      <c r="F327" s="159"/>
      <c r="G327" s="159"/>
      <c r="H327" s="159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</row>
    <row r="328">
      <c r="A328" s="140"/>
      <c r="B328" s="140"/>
      <c r="C328" s="140"/>
      <c r="D328" s="140"/>
      <c r="E328" s="140"/>
      <c r="F328" s="159"/>
      <c r="G328" s="159"/>
      <c r="H328" s="159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</row>
    <row r="329">
      <c r="A329" s="140"/>
      <c r="B329" s="140"/>
      <c r="C329" s="140"/>
      <c r="D329" s="140"/>
      <c r="E329" s="140"/>
      <c r="F329" s="159"/>
      <c r="G329" s="159"/>
      <c r="H329" s="159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</row>
    <row r="330">
      <c r="A330" s="140"/>
      <c r="B330" s="140"/>
      <c r="C330" s="140"/>
      <c r="D330" s="140"/>
      <c r="E330" s="140"/>
      <c r="F330" s="159"/>
      <c r="G330" s="159"/>
      <c r="H330" s="159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</row>
    <row r="331">
      <c r="A331" s="140"/>
      <c r="B331" s="140"/>
      <c r="C331" s="140"/>
      <c r="D331" s="140"/>
      <c r="E331" s="140"/>
      <c r="F331" s="159"/>
      <c r="G331" s="159"/>
      <c r="H331" s="159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</row>
    <row r="332">
      <c r="A332" s="140"/>
      <c r="B332" s="140"/>
      <c r="C332" s="140"/>
      <c r="D332" s="140"/>
      <c r="E332" s="140"/>
      <c r="F332" s="159"/>
      <c r="G332" s="159"/>
      <c r="H332" s="159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</row>
    <row r="333">
      <c r="A333" s="140"/>
      <c r="B333" s="140"/>
      <c r="C333" s="140"/>
      <c r="D333" s="140"/>
      <c r="E333" s="140"/>
      <c r="F333" s="159"/>
      <c r="G333" s="159"/>
      <c r="H333" s="159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</row>
    <row r="334">
      <c r="A334" s="140"/>
      <c r="B334" s="140"/>
      <c r="C334" s="140"/>
      <c r="D334" s="140"/>
      <c r="E334" s="140"/>
      <c r="F334" s="159"/>
      <c r="G334" s="159"/>
      <c r="H334" s="159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</row>
    <row r="335">
      <c r="A335" s="140"/>
      <c r="B335" s="140"/>
      <c r="C335" s="140"/>
      <c r="D335" s="140"/>
      <c r="E335" s="140"/>
      <c r="F335" s="159"/>
      <c r="G335" s="159"/>
      <c r="H335" s="159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</row>
    <row r="336">
      <c r="A336" s="140"/>
      <c r="B336" s="140"/>
      <c r="C336" s="140"/>
      <c r="D336" s="140"/>
      <c r="E336" s="140"/>
      <c r="F336" s="159"/>
      <c r="G336" s="159"/>
      <c r="H336" s="159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</row>
    <row r="337">
      <c r="A337" s="140"/>
      <c r="B337" s="140"/>
      <c r="C337" s="140"/>
      <c r="D337" s="140"/>
      <c r="E337" s="140"/>
      <c r="F337" s="159"/>
      <c r="G337" s="159"/>
      <c r="H337" s="159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</row>
    <row r="338">
      <c r="A338" s="140"/>
      <c r="B338" s="140"/>
      <c r="C338" s="140"/>
      <c r="D338" s="140"/>
      <c r="E338" s="140"/>
      <c r="F338" s="159"/>
      <c r="G338" s="159"/>
      <c r="H338" s="159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</row>
    <row r="339">
      <c r="A339" s="140"/>
      <c r="B339" s="140"/>
      <c r="C339" s="140"/>
      <c r="D339" s="140"/>
      <c r="E339" s="140"/>
      <c r="F339" s="159"/>
      <c r="G339" s="159"/>
      <c r="H339" s="159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</row>
    <row r="340">
      <c r="A340" s="140"/>
      <c r="B340" s="140"/>
      <c r="C340" s="140"/>
      <c r="D340" s="140"/>
      <c r="E340" s="140"/>
      <c r="F340" s="159"/>
      <c r="G340" s="159"/>
      <c r="H340" s="159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</row>
    <row r="341">
      <c r="A341" s="140"/>
      <c r="B341" s="140"/>
      <c r="C341" s="140"/>
      <c r="D341" s="140"/>
      <c r="E341" s="140"/>
      <c r="F341" s="159"/>
      <c r="G341" s="159"/>
      <c r="H341" s="159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</row>
    <row r="342">
      <c r="A342" s="140"/>
      <c r="B342" s="140"/>
      <c r="C342" s="140"/>
      <c r="D342" s="140"/>
      <c r="E342" s="140"/>
      <c r="F342" s="159"/>
      <c r="G342" s="159"/>
      <c r="H342" s="159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</row>
    <row r="343">
      <c r="A343" s="140"/>
      <c r="B343" s="140"/>
      <c r="C343" s="140"/>
      <c r="D343" s="140"/>
      <c r="E343" s="140"/>
      <c r="F343" s="159"/>
      <c r="G343" s="159"/>
      <c r="H343" s="159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</row>
    <row r="344">
      <c r="A344" s="140"/>
      <c r="B344" s="140"/>
      <c r="C344" s="140"/>
      <c r="D344" s="140"/>
      <c r="E344" s="140"/>
      <c r="F344" s="159"/>
      <c r="G344" s="159"/>
      <c r="H344" s="159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</row>
    <row r="345">
      <c r="A345" s="140"/>
      <c r="B345" s="140"/>
      <c r="C345" s="140"/>
      <c r="D345" s="140"/>
      <c r="E345" s="140"/>
      <c r="F345" s="159"/>
      <c r="G345" s="159"/>
      <c r="H345" s="159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</row>
    <row r="346">
      <c r="A346" s="140"/>
      <c r="B346" s="140"/>
      <c r="C346" s="140"/>
      <c r="D346" s="140"/>
      <c r="E346" s="140"/>
      <c r="F346" s="159"/>
      <c r="G346" s="159"/>
      <c r="H346" s="159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</row>
    <row r="347">
      <c r="A347" s="140"/>
      <c r="B347" s="140"/>
      <c r="C347" s="140"/>
      <c r="D347" s="140"/>
      <c r="E347" s="140"/>
      <c r="F347" s="159"/>
      <c r="G347" s="159"/>
      <c r="H347" s="159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</row>
    <row r="348">
      <c r="A348" s="140"/>
      <c r="B348" s="140"/>
      <c r="C348" s="140"/>
      <c r="D348" s="140"/>
      <c r="E348" s="140"/>
      <c r="F348" s="159"/>
      <c r="G348" s="159"/>
      <c r="H348" s="159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</row>
    <row r="349">
      <c r="A349" s="140"/>
      <c r="B349" s="140"/>
      <c r="C349" s="140"/>
      <c r="D349" s="140"/>
      <c r="E349" s="140"/>
      <c r="F349" s="159"/>
      <c r="G349" s="159"/>
      <c r="H349" s="159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</row>
    <row r="350">
      <c r="A350" s="140"/>
      <c r="B350" s="140"/>
      <c r="C350" s="140"/>
      <c r="D350" s="140"/>
      <c r="E350" s="140"/>
      <c r="F350" s="159"/>
      <c r="G350" s="159"/>
      <c r="H350" s="159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</row>
    <row r="351">
      <c r="A351" s="140"/>
      <c r="B351" s="140"/>
      <c r="C351" s="140"/>
      <c r="D351" s="140"/>
      <c r="E351" s="140"/>
      <c r="F351" s="159"/>
      <c r="G351" s="159"/>
      <c r="H351" s="159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</row>
    <row r="352">
      <c r="A352" s="140"/>
      <c r="B352" s="140"/>
      <c r="C352" s="140"/>
      <c r="D352" s="140"/>
      <c r="E352" s="140"/>
      <c r="F352" s="159"/>
      <c r="G352" s="159"/>
      <c r="H352" s="159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</row>
    <row r="353">
      <c r="A353" s="140"/>
      <c r="B353" s="140"/>
      <c r="C353" s="140"/>
      <c r="D353" s="140"/>
      <c r="E353" s="140"/>
      <c r="F353" s="159"/>
      <c r="G353" s="159"/>
      <c r="H353" s="159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</row>
    <row r="354">
      <c r="A354" s="140"/>
      <c r="B354" s="140"/>
      <c r="C354" s="140"/>
      <c r="D354" s="140"/>
      <c r="E354" s="140"/>
      <c r="F354" s="159"/>
      <c r="G354" s="159"/>
      <c r="H354" s="159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</row>
    <row r="355">
      <c r="A355" s="140"/>
      <c r="B355" s="140"/>
      <c r="C355" s="140"/>
      <c r="D355" s="140"/>
      <c r="E355" s="140"/>
      <c r="F355" s="159"/>
      <c r="G355" s="159"/>
      <c r="H355" s="159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</row>
    <row r="356">
      <c r="A356" s="140"/>
      <c r="B356" s="140"/>
      <c r="C356" s="140"/>
      <c r="D356" s="140"/>
      <c r="E356" s="140"/>
      <c r="F356" s="159"/>
      <c r="G356" s="159"/>
      <c r="H356" s="159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</row>
    <row r="357">
      <c r="A357" s="140"/>
      <c r="B357" s="140"/>
      <c r="C357" s="140"/>
      <c r="D357" s="140"/>
      <c r="E357" s="140"/>
      <c r="F357" s="159"/>
      <c r="G357" s="159"/>
      <c r="H357" s="159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</row>
    <row r="358">
      <c r="A358" s="140"/>
      <c r="B358" s="140"/>
      <c r="C358" s="140"/>
      <c r="D358" s="140"/>
      <c r="E358" s="140"/>
      <c r="F358" s="159"/>
      <c r="G358" s="159"/>
      <c r="H358" s="159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</row>
    <row r="359">
      <c r="A359" s="140"/>
      <c r="B359" s="140"/>
      <c r="C359" s="140"/>
      <c r="D359" s="140"/>
      <c r="E359" s="140"/>
      <c r="F359" s="159"/>
      <c r="G359" s="159"/>
      <c r="H359" s="159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</row>
    <row r="360">
      <c r="A360" s="140"/>
      <c r="B360" s="140"/>
      <c r="C360" s="140"/>
      <c r="D360" s="140"/>
      <c r="E360" s="140"/>
      <c r="F360" s="159"/>
      <c r="G360" s="159"/>
      <c r="H360" s="159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</row>
    <row r="361">
      <c r="A361" s="140"/>
      <c r="B361" s="140"/>
      <c r="C361" s="140"/>
      <c r="D361" s="140"/>
      <c r="E361" s="140"/>
      <c r="F361" s="159"/>
      <c r="G361" s="159"/>
      <c r="H361" s="159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</row>
    <row r="362">
      <c r="A362" s="140"/>
      <c r="B362" s="140"/>
      <c r="C362" s="140"/>
      <c r="D362" s="140"/>
      <c r="E362" s="140"/>
      <c r="F362" s="159"/>
      <c r="G362" s="159"/>
      <c r="H362" s="159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</row>
    <row r="363">
      <c r="A363" s="140"/>
      <c r="B363" s="140"/>
      <c r="C363" s="140"/>
      <c r="D363" s="140"/>
      <c r="E363" s="140"/>
      <c r="F363" s="159"/>
      <c r="G363" s="159"/>
      <c r="H363" s="159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</row>
    <row r="364">
      <c r="A364" s="140"/>
      <c r="B364" s="140"/>
      <c r="C364" s="140"/>
      <c r="D364" s="140"/>
      <c r="E364" s="140"/>
      <c r="F364" s="159"/>
      <c r="G364" s="159"/>
      <c r="H364" s="159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</row>
    <row r="365">
      <c r="A365" s="140"/>
      <c r="B365" s="140"/>
      <c r="C365" s="140"/>
      <c r="D365" s="140"/>
      <c r="E365" s="140"/>
      <c r="F365" s="159"/>
      <c r="G365" s="159"/>
      <c r="H365" s="159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</row>
    <row r="366">
      <c r="A366" s="140"/>
      <c r="B366" s="140"/>
      <c r="C366" s="140"/>
      <c r="D366" s="140"/>
      <c r="E366" s="140"/>
      <c r="F366" s="159"/>
      <c r="G366" s="159"/>
      <c r="H366" s="159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</row>
    <row r="367">
      <c r="A367" s="140"/>
      <c r="B367" s="140"/>
      <c r="C367" s="140"/>
      <c r="D367" s="140"/>
      <c r="E367" s="140"/>
      <c r="F367" s="159"/>
      <c r="G367" s="159"/>
      <c r="H367" s="159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</row>
    <row r="368">
      <c r="A368" s="140"/>
      <c r="B368" s="140"/>
      <c r="C368" s="140"/>
      <c r="D368" s="140"/>
      <c r="E368" s="140"/>
      <c r="F368" s="159"/>
      <c r="G368" s="159"/>
      <c r="H368" s="159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</row>
    <row r="369">
      <c r="A369" s="140"/>
      <c r="B369" s="140"/>
      <c r="C369" s="140"/>
      <c r="D369" s="140"/>
      <c r="E369" s="140"/>
      <c r="F369" s="159"/>
      <c r="G369" s="159"/>
      <c r="H369" s="159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</row>
    <row r="370">
      <c r="A370" s="140"/>
      <c r="B370" s="140"/>
      <c r="C370" s="140"/>
      <c r="D370" s="140"/>
      <c r="E370" s="140"/>
      <c r="F370" s="159"/>
      <c r="G370" s="159"/>
      <c r="H370" s="159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</row>
    <row r="371">
      <c r="A371" s="140"/>
      <c r="B371" s="140"/>
      <c r="C371" s="140"/>
      <c r="D371" s="140"/>
      <c r="E371" s="140"/>
      <c r="F371" s="159"/>
      <c r="G371" s="159"/>
      <c r="H371" s="159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</row>
    <row r="372">
      <c r="A372" s="140"/>
      <c r="B372" s="140"/>
      <c r="C372" s="140"/>
      <c r="D372" s="140"/>
      <c r="E372" s="140"/>
      <c r="F372" s="159"/>
      <c r="G372" s="159"/>
      <c r="H372" s="159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</row>
    <row r="373">
      <c r="A373" s="140"/>
      <c r="B373" s="140"/>
      <c r="C373" s="140"/>
      <c r="D373" s="140"/>
      <c r="E373" s="140"/>
      <c r="F373" s="159"/>
      <c r="G373" s="159"/>
      <c r="H373" s="159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</row>
    <row r="374">
      <c r="A374" s="140"/>
      <c r="B374" s="140"/>
      <c r="C374" s="140"/>
      <c r="D374" s="140"/>
      <c r="E374" s="140"/>
      <c r="F374" s="159"/>
      <c r="G374" s="159"/>
      <c r="H374" s="159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</row>
    <row r="375">
      <c r="A375" s="140"/>
      <c r="B375" s="140"/>
      <c r="C375" s="140"/>
      <c r="D375" s="140"/>
      <c r="E375" s="140"/>
      <c r="F375" s="159"/>
      <c r="G375" s="159"/>
      <c r="H375" s="159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</row>
    <row r="376">
      <c r="A376" s="140"/>
      <c r="B376" s="140"/>
      <c r="C376" s="140"/>
      <c r="D376" s="140"/>
      <c r="E376" s="140"/>
      <c r="F376" s="159"/>
      <c r="G376" s="159"/>
      <c r="H376" s="159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</row>
    <row r="377">
      <c r="A377" s="140"/>
      <c r="B377" s="140"/>
      <c r="C377" s="140"/>
      <c r="D377" s="140"/>
      <c r="E377" s="140"/>
      <c r="F377" s="159"/>
      <c r="G377" s="159"/>
      <c r="H377" s="159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</row>
    <row r="378">
      <c r="A378" s="140"/>
      <c r="B378" s="140"/>
      <c r="C378" s="140"/>
      <c r="D378" s="140"/>
      <c r="E378" s="140"/>
      <c r="F378" s="159"/>
      <c r="G378" s="159"/>
      <c r="H378" s="159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</row>
    <row r="379">
      <c r="A379" s="140"/>
      <c r="B379" s="140"/>
      <c r="C379" s="140"/>
      <c r="D379" s="140"/>
      <c r="E379" s="140"/>
      <c r="F379" s="159"/>
      <c r="G379" s="159"/>
      <c r="H379" s="159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</row>
    <row r="380">
      <c r="A380" s="140"/>
      <c r="B380" s="140"/>
      <c r="C380" s="140"/>
      <c r="D380" s="140"/>
      <c r="E380" s="140"/>
      <c r="F380" s="159"/>
      <c r="G380" s="159"/>
      <c r="H380" s="159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</row>
    <row r="381">
      <c r="A381" s="140"/>
      <c r="B381" s="140"/>
      <c r="C381" s="140"/>
      <c r="D381" s="140"/>
      <c r="E381" s="140"/>
      <c r="F381" s="159"/>
      <c r="G381" s="159"/>
      <c r="H381" s="159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</row>
    <row r="382">
      <c r="A382" s="140"/>
      <c r="B382" s="140"/>
      <c r="C382" s="140"/>
      <c r="D382" s="140"/>
      <c r="E382" s="140"/>
      <c r="F382" s="159"/>
      <c r="G382" s="159"/>
      <c r="H382" s="159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</row>
    <row r="383">
      <c r="A383" s="140"/>
      <c r="B383" s="140"/>
      <c r="C383" s="140"/>
      <c r="D383" s="140"/>
      <c r="E383" s="140"/>
      <c r="F383" s="159"/>
      <c r="G383" s="159"/>
      <c r="H383" s="159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</row>
    <row r="384">
      <c r="A384" s="140"/>
      <c r="B384" s="140"/>
      <c r="C384" s="140"/>
      <c r="D384" s="140"/>
      <c r="E384" s="140"/>
      <c r="F384" s="159"/>
      <c r="G384" s="159"/>
      <c r="H384" s="159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</row>
    <row r="385">
      <c r="A385" s="140"/>
      <c r="B385" s="140"/>
      <c r="C385" s="140"/>
      <c r="D385" s="140"/>
      <c r="E385" s="140"/>
      <c r="F385" s="159"/>
      <c r="G385" s="159"/>
      <c r="H385" s="159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</row>
    <row r="386">
      <c r="A386" s="140"/>
      <c r="B386" s="140"/>
      <c r="C386" s="140"/>
      <c r="D386" s="140"/>
      <c r="E386" s="140"/>
      <c r="F386" s="159"/>
      <c r="G386" s="159"/>
      <c r="H386" s="159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</row>
    <row r="387">
      <c r="A387" s="140"/>
      <c r="B387" s="140"/>
      <c r="C387" s="140"/>
      <c r="D387" s="140"/>
      <c r="E387" s="140"/>
      <c r="F387" s="159"/>
      <c r="G387" s="159"/>
      <c r="H387" s="159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</row>
    <row r="388">
      <c r="A388" s="140"/>
      <c r="B388" s="140"/>
      <c r="C388" s="140"/>
      <c r="D388" s="140"/>
      <c r="E388" s="140"/>
      <c r="F388" s="159"/>
      <c r="G388" s="159"/>
      <c r="H388" s="159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</row>
    <row r="389">
      <c r="A389" s="140"/>
      <c r="B389" s="140"/>
      <c r="C389" s="140"/>
      <c r="D389" s="140"/>
      <c r="E389" s="140"/>
      <c r="F389" s="159"/>
      <c r="G389" s="159"/>
      <c r="H389" s="159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</row>
    <row r="390">
      <c r="A390" s="140"/>
      <c r="B390" s="140"/>
      <c r="C390" s="140"/>
      <c r="D390" s="140"/>
      <c r="E390" s="140"/>
      <c r="F390" s="159"/>
      <c r="G390" s="159"/>
      <c r="H390" s="159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</row>
    <row r="391">
      <c r="A391" s="140"/>
      <c r="B391" s="140"/>
      <c r="C391" s="140"/>
      <c r="D391" s="140"/>
      <c r="E391" s="140"/>
      <c r="F391" s="159"/>
      <c r="G391" s="159"/>
      <c r="H391" s="159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</row>
    <row r="392">
      <c r="A392" s="140"/>
      <c r="B392" s="140"/>
      <c r="C392" s="140"/>
      <c r="D392" s="140"/>
      <c r="E392" s="140"/>
      <c r="F392" s="159"/>
      <c r="G392" s="159"/>
      <c r="H392" s="159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</row>
    <row r="393">
      <c r="A393" s="140"/>
      <c r="B393" s="140"/>
      <c r="C393" s="140"/>
      <c r="D393" s="140"/>
      <c r="E393" s="140"/>
      <c r="F393" s="159"/>
      <c r="G393" s="159"/>
      <c r="H393" s="159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</row>
    <row r="394">
      <c r="A394" s="140"/>
      <c r="B394" s="140"/>
      <c r="C394" s="140"/>
      <c r="D394" s="140"/>
      <c r="E394" s="140"/>
      <c r="F394" s="159"/>
      <c r="G394" s="159"/>
      <c r="H394" s="159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</row>
    <row r="395">
      <c r="A395" s="140"/>
      <c r="B395" s="140"/>
      <c r="C395" s="140"/>
      <c r="D395" s="140"/>
      <c r="E395" s="140"/>
      <c r="F395" s="159"/>
      <c r="G395" s="159"/>
      <c r="H395" s="159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</row>
    <row r="396">
      <c r="A396" s="140"/>
      <c r="B396" s="140"/>
      <c r="C396" s="140"/>
      <c r="D396" s="140"/>
      <c r="E396" s="140"/>
      <c r="F396" s="159"/>
      <c r="G396" s="159"/>
      <c r="H396" s="159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</row>
    <row r="397">
      <c r="A397" s="140"/>
      <c r="B397" s="140"/>
      <c r="C397" s="140"/>
      <c r="D397" s="140"/>
      <c r="E397" s="140"/>
      <c r="F397" s="159"/>
      <c r="G397" s="159"/>
      <c r="H397" s="159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</row>
    <row r="398">
      <c r="A398" s="140"/>
      <c r="B398" s="140"/>
      <c r="C398" s="140"/>
      <c r="D398" s="140"/>
      <c r="E398" s="140"/>
      <c r="F398" s="159"/>
      <c r="G398" s="159"/>
      <c r="H398" s="159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</row>
    <row r="399">
      <c r="A399" s="140"/>
      <c r="B399" s="140"/>
      <c r="C399" s="140"/>
      <c r="D399" s="140"/>
      <c r="E399" s="140"/>
      <c r="F399" s="159"/>
      <c r="G399" s="159"/>
      <c r="H399" s="159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</row>
    <row r="400">
      <c r="A400" s="140"/>
      <c r="B400" s="140"/>
      <c r="C400" s="140"/>
      <c r="D400" s="140"/>
      <c r="E400" s="140"/>
      <c r="F400" s="159"/>
      <c r="G400" s="159"/>
      <c r="H400" s="159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</row>
    <row r="401">
      <c r="A401" s="140"/>
      <c r="B401" s="140"/>
      <c r="C401" s="140"/>
      <c r="D401" s="140"/>
      <c r="E401" s="140"/>
      <c r="F401" s="159"/>
      <c r="G401" s="159"/>
      <c r="H401" s="159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</row>
    <row r="402">
      <c r="A402" s="140"/>
      <c r="B402" s="140"/>
      <c r="C402" s="140"/>
      <c r="D402" s="140"/>
      <c r="E402" s="140"/>
      <c r="F402" s="159"/>
      <c r="G402" s="159"/>
      <c r="H402" s="159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</row>
    <row r="403">
      <c r="A403" s="140"/>
      <c r="B403" s="140"/>
      <c r="C403" s="140"/>
      <c r="D403" s="140"/>
      <c r="E403" s="140"/>
      <c r="F403" s="159"/>
      <c r="G403" s="159"/>
      <c r="H403" s="159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</row>
    <row r="404">
      <c r="A404" s="140"/>
      <c r="B404" s="140"/>
      <c r="C404" s="140"/>
      <c r="D404" s="140"/>
      <c r="E404" s="140"/>
      <c r="F404" s="159"/>
      <c r="G404" s="159"/>
      <c r="H404" s="159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</row>
    <row r="405">
      <c r="A405" s="140"/>
      <c r="B405" s="140"/>
      <c r="C405" s="140"/>
      <c r="D405" s="140"/>
      <c r="E405" s="140"/>
      <c r="F405" s="159"/>
      <c r="G405" s="159"/>
      <c r="H405" s="159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</row>
    <row r="406">
      <c r="A406" s="140"/>
      <c r="B406" s="140"/>
      <c r="C406" s="140"/>
      <c r="D406" s="140"/>
      <c r="E406" s="140"/>
      <c r="F406" s="159"/>
      <c r="G406" s="159"/>
      <c r="H406" s="159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</row>
    <row r="407">
      <c r="A407" s="140"/>
      <c r="B407" s="140"/>
      <c r="C407" s="140"/>
      <c r="D407" s="140"/>
      <c r="E407" s="140"/>
      <c r="F407" s="159"/>
      <c r="G407" s="159"/>
      <c r="H407" s="159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</row>
    <row r="408">
      <c r="A408" s="140"/>
      <c r="B408" s="140"/>
      <c r="C408" s="140"/>
      <c r="D408" s="140"/>
      <c r="E408" s="140"/>
      <c r="F408" s="159"/>
      <c r="G408" s="159"/>
      <c r="H408" s="159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</row>
    <row r="409">
      <c r="A409" s="140"/>
      <c r="B409" s="140"/>
      <c r="C409" s="140"/>
      <c r="D409" s="140"/>
      <c r="E409" s="140"/>
      <c r="F409" s="159"/>
      <c r="G409" s="159"/>
      <c r="H409" s="159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</row>
    <row r="410">
      <c r="A410" s="140"/>
      <c r="B410" s="140"/>
      <c r="C410" s="140"/>
      <c r="D410" s="140"/>
      <c r="E410" s="140"/>
      <c r="F410" s="159"/>
      <c r="G410" s="159"/>
      <c r="H410" s="159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</row>
    <row r="411">
      <c r="A411" s="140"/>
      <c r="B411" s="140"/>
      <c r="C411" s="140"/>
      <c r="D411" s="140"/>
      <c r="E411" s="140"/>
      <c r="F411" s="159"/>
      <c r="G411" s="159"/>
      <c r="H411" s="159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</row>
    <row r="412">
      <c r="A412" s="140"/>
      <c r="B412" s="140"/>
      <c r="C412" s="140"/>
      <c r="D412" s="140"/>
      <c r="E412" s="140"/>
      <c r="F412" s="159"/>
      <c r="G412" s="159"/>
      <c r="H412" s="159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</row>
    <row r="413">
      <c r="A413" s="140"/>
      <c r="B413" s="140"/>
      <c r="C413" s="140"/>
      <c r="D413" s="140"/>
      <c r="E413" s="140"/>
      <c r="F413" s="159"/>
      <c r="G413" s="159"/>
      <c r="H413" s="159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</row>
    <row r="414">
      <c r="A414" s="140"/>
      <c r="B414" s="140"/>
      <c r="C414" s="140"/>
      <c r="D414" s="140"/>
      <c r="E414" s="140"/>
      <c r="F414" s="159"/>
      <c r="G414" s="159"/>
      <c r="H414" s="159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</row>
    <row r="415">
      <c r="A415" s="140"/>
      <c r="B415" s="140"/>
      <c r="C415" s="140"/>
      <c r="D415" s="140"/>
      <c r="E415" s="140"/>
      <c r="F415" s="159"/>
      <c r="G415" s="159"/>
      <c r="H415" s="159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</row>
    <row r="416">
      <c r="A416" s="140"/>
      <c r="B416" s="140"/>
      <c r="C416" s="140"/>
      <c r="D416" s="140"/>
      <c r="E416" s="140"/>
      <c r="F416" s="159"/>
      <c r="G416" s="159"/>
      <c r="H416" s="159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</row>
    <row r="417">
      <c r="A417" s="140"/>
      <c r="B417" s="140"/>
      <c r="C417" s="140"/>
      <c r="D417" s="140"/>
      <c r="E417" s="140"/>
      <c r="F417" s="159"/>
      <c r="G417" s="159"/>
      <c r="H417" s="159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</row>
    <row r="418">
      <c r="A418" s="140"/>
      <c r="B418" s="140"/>
      <c r="C418" s="140"/>
      <c r="D418" s="140"/>
      <c r="E418" s="140"/>
      <c r="F418" s="159"/>
      <c r="G418" s="159"/>
      <c r="H418" s="159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</row>
    <row r="419">
      <c r="A419" s="140"/>
      <c r="B419" s="140"/>
      <c r="C419" s="140"/>
      <c r="D419" s="140"/>
      <c r="E419" s="140"/>
      <c r="F419" s="159"/>
      <c r="G419" s="159"/>
      <c r="H419" s="159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</row>
    <row r="420">
      <c r="A420" s="140"/>
      <c r="B420" s="140"/>
      <c r="C420" s="140"/>
      <c r="D420" s="140"/>
      <c r="E420" s="140"/>
      <c r="F420" s="159"/>
      <c r="G420" s="159"/>
      <c r="H420" s="159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</row>
    <row r="421">
      <c r="A421" s="140"/>
      <c r="B421" s="140"/>
      <c r="C421" s="140"/>
      <c r="D421" s="140"/>
      <c r="E421" s="140"/>
      <c r="F421" s="159"/>
      <c r="G421" s="159"/>
      <c r="H421" s="159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</row>
    <row r="422">
      <c r="A422" s="140"/>
      <c r="B422" s="140"/>
      <c r="C422" s="140"/>
      <c r="D422" s="140"/>
      <c r="E422" s="140"/>
      <c r="F422" s="159"/>
      <c r="G422" s="159"/>
      <c r="H422" s="159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</row>
    <row r="423">
      <c r="A423" s="140"/>
      <c r="B423" s="140"/>
      <c r="C423" s="140"/>
      <c r="D423" s="140"/>
      <c r="E423" s="140"/>
      <c r="F423" s="159"/>
      <c r="G423" s="159"/>
      <c r="H423" s="159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</row>
    <row r="424">
      <c r="A424" s="140"/>
      <c r="B424" s="140"/>
      <c r="C424" s="140"/>
      <c r="D424" s="140"/>
      <c r="E424" s="140"/>
      <c r="F424" s="159"/>
      <c r="G424" s="159"/>
      <c r="H424" s="159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</row>
    <row r="425">
      <c r="A425" s="140"/>
      <c r="B425" s="140"/>
      <c r="C425" s="140"/>
      <c r="D425" s="140"/>
      <c r="E425" s="140"/>
      <c r="F425" s="159"/>
      <c r="G425" s="159"/>
      <c r="H425" s="159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</row>
    <row r="426">
      <c r="A426" s="140"/>
      <c r="B426" s="140"/>
      <c r="C426" s="140"/>
      <c r="D426" s="140"/>
      <c r="E426" s="140"/>
      <c r="F426" s="159"/>
      <c r="G426" s="159"/>
      <c r="H426" s="159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</row>
    <row r="427">
      <c r="A427" s="140"/>
      <c r="B427" s="140"/>
      <c r="C427" s="140"/>
      <c r="D427" s="140"/>
      <c r="E427" s="140"/>
      <c r="F427" s="159"/>
      <c r="G427" s="159"/>
      <c r="H427" s="159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</row>
    <row r="428">
      <c r="A428" s="140"/>
      <c r="B428" s="140"/>
      <c r="C428" s="140"/>
      <c r="D428" s="140"/>
      <c r="E428" s="140"/>
      <c r="F428" s="159"/>
      <c r="G428" s="159"/>
      <c r="H428" s="159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</row>
    <row r="429">
      <c r="A429" s="140"/>
      <c r="B429" s="140"/>
      <c r="C429" s="140"/>
      <c r="D429" s="140"/>
      <c r="E429" s="140"/>
      <c r="F429" s="159"/>
      <c r="G429" s="159"/>
      <c r="H429" s="159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</row>
    <row r="430">
      <c r="A430" s="140"/>
      <c r="B430" s="140"/>
      <c r="C430" s="140"/>
      <c r="D430" s="140"/>
      <c r="E430" s="140"/>
      <c r="F430" s="159"/>
      <c r="G430" s="159"/>
      <c r="H430" s="159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</row>
    <row r="431">
      <c r="A431" s="140"/>
      <c r="B431" s="140"/>
      <c r="C431" s="140"/>
      <c r="D431" s="140"/>
      <c r="E431" s="140"/>
      <c r="F431" s="159"/>
      <c r="G431" s="159"/>
      <c r="H431" s="159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</row>
    <row r="432">
      <c r="A432" s="140"/>
      <c r="B432" s="140"/>
      <c r="C432" s="140"/>
      <c r="D432" s="140"/>
      <c r="E432" s="140"/>
      <c r="F432" s="159"/>
      <c r="G432" s="159"/>
      <c r="H432" s="159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</row>
    <row r="433">
      <c r="A433" s="140"/>
      <c r="B433" s="140"/>
      <c r="C433" s="140"/>
      <c r="D433" s="140"/>
      <c r="E433" s="140"/>
      <c r="F433" s="159"/>
      <c r="G433" s="159"/>
      <c r="H433" s="159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</row>
    <row r="434">
      <c r="A434" s="140"/>
      <c r="B434" s="140"/>
      <c r="C434" s="140"/>
      <c r="D434" s="140"/>
      <c r="E434" s="140"/>
      <c r="F434" s="159"/>
      <c r="G434" s="159"/>
      <c r="H434" s="159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</row>
    <row r="435">
      <c r="A435" s="140"/>
      <c r="B435" s="140"/>
      <c r="C435" s="140"/>
      <c r="D435" s="140"/>
      <c r="E435" s="140"/>
      <c r="F435" s="159"/>
      <c r="G435" s="159"/>
      <c r="H435" s="159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</row>
    <row r="436">
      <c r="A436" s="140"/>
      <c r="B436" s="140"/>
      <c r="C436" s="140"/>
      <c r="D436" s="140"/>
      <c r="E436" s="140"/>
      <c r="F436" s="159"/>
      <c r="G436" s="159"/>
      <c r="H436" s="159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</row>
    <row r="437">
      <c r="A437" s="140"/>
      <c r="B437" s="140"/>
      <c r="C437" s="140"/>
      <c r="D437" s="140"/>
      <c r="E437" s="140"/>
      <c r="F437" s="159"/>
      <c r="G437" s="159"/>
      <c r="H437" s="159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</row>
    <row r="438">
      <c r="A438" s="140"/>
      <c r="B438" s="140"/>
      <c r="C438" s="140"/>
      <c r="D438" s="140"/>
      <c r="E438" s="140"/>
      <c r="F438" s="159"/>
      <c r="G438" s="159"/>
      <c r="H438" s="159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</row>
    <row r="439">
      <c r="A439" s="140"/>
      <c r="B439" s="140"/>
      <c r="C439" s="140"/>
      <c r="D439" s="140"/>
      <c r="E439" s="140"/>
      <c r="F439" s="159"/>
      <c r="G439" s="159"/>
      <c r="H439" s="159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</row>
    <row r="440">
      <c r="A440" s="140"/>
      <c r="B440" s="140"/>
      <c r="C440" s="140"/>
      <c r="D440" s="140"/>
      <c r="E440" s="140"/>
      <c r="F440" s="159"/>
      <c r="G440" s="159"/>
      <c r="H440" s="159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</row>
    <row r="441">
      <c r="A441" s="140"/>
      <c r="B441" s="140"/>
      <c r="C441" s="140"/>
      <c r="D441" s="140"/>
      <c r="E441" s="140"/>
      <c r="F441" s="159"/>
      <c r="G441" s="159"/>
      <c r="H441" s="159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</row>
    <row r="442">
      <c r="A442" s="140"/>
      <c r="B442" s="140"/>
      <c r="C442" s="140"/>
      <c r="D442" s="140"/>
      <c r="E442" s="140"/>
      <c r="F442" s="159"/>
      <c r="G442" s="159"/>
      <c r="H442" s="159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</row>
    <row r="443">
      <c r="A443" s="140"/>
      <c r="B443" s="140"/>
      <c r="C443" s="140"/>
      <c r="D443" s="140"/>
      <c r="E443" s="140"/>
      <c r="F443" s="159"/>
      <c r="G443" s="159"/>
      <c r="H443" s="159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</row>
    <row r="444">
      <c r="A444" s="140"/>
      <c r="B444" s="140"/>
      <c r="C444" s="140"/>
      <c r="D444" s="140"/>
      <c r="E444" s="140"/>
      <c r="F444" s="159"/>
      <c r="G444" s="159"/>
      <c r="H444" s="159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</row>
    <row r="445">
      <c r="A445" s="140"/>
      <c r="B445" s="140"/>
      <c r="C445" s="140"/>
      <c r="D445" s="140"/>
      <c r="E445" s="140"/>
      <c r="F445" s="159"/>
      <c r="G445" s="159"/>
      <c r="H445" s="159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</row>
    <row r="446">
      <c r="A446" s="140"/>
      <c r="B446" s="140"/>
      <c r="C446" s="140"/>
      <c r="D446" s="140"/>
      <c r="E446" s="140"/>
      <c r="F446" s="159"/>
      <c r="G446" s="159"/>
      <c r="H446" s="159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</row>
    <row r="447">
      <c r="A447" s="140"/>
      <c r="B447" s="140"/>
      <c r="C447" s="140"/>
      <c r="D447" s="140"/>
      <c r="E447" s="140"/>
      <c r="F447" s="159"/>
      <c r="G447" s="159"/>
      <c r="H447" s="159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</row>
    <row r="448">
      <c r="A448" s="140"/>
      <c r="B448" s="140"/>
      <c r="C448" s="140"/>
      <c r="D448" s="140"/>
      <c r="E448" s="140"/>
      <c r="F448" s="159"/>
      <c r="G448" s="159"/>
      <c r="H448" s="159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</row>
    <row r="449">
      <c r="A449" s="140"/>
      <c r="B449" s="140"/>
      <c r="C449" s="140"/>
      <c r="D449" s="140"/>
      <c r="E449" s="140"/>
      <c r="F449" s="159"/>
      <c r="G449" s="159"/>
      <c r="H449" s="159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</row>
    <row r="450">
      <c r="A450" s="140"/>
      <c r="B450" s="140"/>
      <c r="C450" s="140"/>
      <c r="D450" s="140"/>
      <c r="E450" s="140"/>
      <c r="F450" s="159"/>
      <c r="G450" s="159"/>
      <c r="H450" s="159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</row>
    <row r="451">
      <c r="A451" s="140"/>
      <c r="B451" s="140"/>
      <c r="C451" s="140"/>
      <c r="D451" s="140"/>
      <c r="E451" s="140"/>
      <c r="F451" s="159"/>
      <c r="G451" s="159"/>
      <c r="H451" s="159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</row>
    <row r="452">
      <c r="A452" s="140"/>
      <c r="B452" s="140"/>
      <c r="C452" s="140"/>
      <c r="D452" s="140"/>
      <c r="E452" s="140"/>
      <c r="F452" s="159"/>
      <c r="G452" s="159"/>
      <c r="H452" s="159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</row>
    <row r="453">
      <c r="A453" s="140"/>
      <c r="B453" s="140"/>
      <c r="C453" s="140"/>
      <c r="D453" s="140"/>
      <c r="E453" s="140"/>
      <c r="F453" s="159"/>
      <c r="G453" s="159"/>
      <c r="H453" s="159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</row>
    <row r="454">
      <c r="A454" s="140"/>
      <c r="B454" s="140"/>
      <c r="C454" s="140"/>
      <c r="D454" s="140"/>
      <c r="E454" s="140"/>
      <c r="F454" s="159"/>
      <c r="G454" s="159"/>
      <c r="H454" s="159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</row>
    <row r="455">
      <c r="A455" s="140"/>
      <c r="B455" s="140"/>
      <c r="C455" s="140"/>
      <c r="D455" s="140"/>
      <c r="E455" s="140"/>
      <c r="F455" s="159"/>
      <c r="G455" s="159"/>
      <c r="H455" s="159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</row>
    <row r="456">
      <c r="A456" s="140"/>
      <c r="B456" s="140"/>
      <c r="C456" s="140"/>
      <c r="D456" s="140"/>
      <c r="E456" s="140"/>
      <c r="F456" s="159"/>
      <c r="G456" s="159"/>
      <c r="H456" s="159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</row>
    <row r="457">
      <c r="A457" s="140"/>
      <c r="B457" s="140"/>
      <c r="C457" s="140"/>
      <c r="D457" s="140"/>
      <c r="E457" s="140"/>
      <c r="F457" s="159"/>
      <c r="G457" s="159"/>
      <c r="H457" s="159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</row>
    <row r="458">
      <c r="A458" s="140"/>
      <c r="B458" s="140"/>
      <c r="C458" s="140"/>
      <c r="D458" s="140"/>
      <c r="E458" s="140"/>
      <c r="F458" s="159"/>
      <c r="G458" s="159"/>
      <c r="H458" s="159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</row>
    <row r="459">
      <c r="A459" s="140"/>
      <c r="B459" s="140"/>
      <c r="C459" s="140"/>
      <c r="D459" s="140"/>
      <c r="E459" s="140"/>
      <c r="F459" s="159"/>
      <c r="G459" s="159"/>
      <c r="H459" s="159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</row>
    <row r="460">
      <c r="A460" s="140"/>
      <c r="B460" s="140"/>
      <c r="C460" s="140"/>
      <c r="D460" s="140"/>
      <c r="E460" s="140"/>
      <c r="F460" s="159"/>
      <c r="G460" s="159"/>
      <c r="H460" s="159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</row>
    <row r="461">
      <c r="A461" s="140"/>
      <c r="B461" s="140"/>
      <c r="C461" s="140"/>
      <c r="D461" s="140"/>
      <c r="E461" s="140"/>
      <c r="F461" s="159"/>
      <c r="G461" s="159"/>
      <c r="H461" s="159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</row>
    <row r="462">
      <c r="A462" s="140"/>
      <c r="B462" s="140"/>
      <c r="C462" s="140"/>
      <c r="D462" s="140"/>
      <c r="E462" s="140"/>
      <c r="F462" s="159"/>
      <c r="G462" s="159"/>
      <c r="H462" s="159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</row>
    <row r="463">
      <c r="A463" s="140"/>
      <c r="B463" s="140"/>
      <c r="C463" s="140"/>
      <c r="D463" s="140"/>
      <c r="E463" s="140"/>
      <c r="F463" s="159"/>
      <c r="G463" s="159"/>
      <c r="H463" s="159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</row>
    <row r="464">
      <c r="A464" s="140"/>
      <c r="B464" s="140"/>
      <c r="C464" s="140"/>
      <c r="D464" s="140"/>
      <c r="E464" s="140"/>
      <c r="F464" s="159"/>
      <c r="G464" s="159"/>
      <c r="H464" s="159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</row>
    <row r="465">
      <c r="A465" s="140"/>
      <c r="B465" s="140"/>
      <c r="C465" s="140"/>
      <c r="D465" s="140"/>
      <c r="E465" s="140"/>
      <c r="F465" s="159"/>
      <c r="G465" s="159"/>
      <c r="H465" s="159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</row>
    <row r="466">
      <c r="A466" s="140"/>
      <c r="B466" s="140"/>
      <c r="C466" s="140"/>
      <c r="D466" s="140"/>
      <c r="E466" s="140"/>
      <c r="F466" s="159"/>
      <c r="G466" s="159"/>
      <c r="H466" s="159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</row>
    <row r="467">
      <c r="A467" s="140"/>
      <c r="B467" s="140"/>
      <c r="C467" s="140"/>
      <c r="D467" s="140"/>
      <c r="E467" s="140"/>
      <c r="F467" s="159"/>
      <c r="G467" s="159"/>
      <c r="H467" s="159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</row>
    <row r="468">
      <c r="A468" s="140"/>
      <c r="B468" s="140"/>
      <c r="C468" s="140"/>
      <c r="D468" s="140"/>
      <c r="E468" s="140"/>
      <c r="F468" s="159"/>
      <c r="G468" s="159"/>
      <c r="H468" s="159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</row>
    <row r="469">
      <c r="A469" s="140"/>
      <c r="B469" s="140"/>
      <c r="C469" s="140"/>
      <c r="D469" s="140"/>
      <c r="E469" s="140"/>
      <c r="F469" s="159"/>
      <c r="G469" s="159"/>
      <c r="H469" s="159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</row>
    <row r="470">
      <c r="A470" s="140"/>
      <c r="B470" s="140"/>
      <c r="C470" s="140"/>
      <c r="D470" s="140"/>
      <c r="E470" s="140"/>
      <c r="F470" s="159"/>
      <c r="G470" s="159"/>
      <c r="H470" s="159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</row>
    <row r="471">
      <c r="A471" s="140"/>
      <c r="B471" s="140"/>
      <c r="C471" s="140"/>
      <c r="D471" s="140"/>
      <c r="E471" s="140"/>
      <c r="F471" s="159"/>
      <c r="G471" s="159"/>
      <c r="H471" s="159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</row>
    <row r="472">
      <c r="A472" s="140"/>
      <c r="B472" s="140"/>
      <c r="C472" s="140"/>
      <c r="D472" s="140"/>
      <c r="E472" s="140"/>
      <c r="F472" s="159"/>
      <c r="G472" s="159"/>
      <c r="H472" s="159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</row>
    <row r="473">
      <c r="A473" s="140"/>
      <c r="B473" s="140"/>
      <c r="C473" s="140"/>
      <c r="D473" s="140"/>
      <c r="E473" s="140"/>
      <c r="F473" s="159"/>
      <c r="G473" s="159"/>
      <c r="H473" s="159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</row>
    <row r="474">
      <c r="A474" s="140"/>
      <c r="B474" s="140"/>
      <c r="C474" s="140"/>
      <c r="D474" s="140"/>
      <c r="E474" s="140"/>
      <c r="F474" s="159"/>
      <c r="G474" s="159"/>
      <c r="H474" s="159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</row>
    <row r="475">
      <c r="A475" s="140"/>
      <c r="B475" s="140"/>
      <c r="C475" s="140"/>
      <c r="D475" s="140"/>
      <c r="E475" s="140"/>
      <c r="F475" s="159"/>
      <c r="G475" s="159"/>
      <c r="H475" s="159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</row>
    <row r="476">
      <c r="A476" s="140"/>
      <c r="B476" s="140"/>
      <c r="C476" s="140"/>
      <c r="D476" s="140"/>
      <c r="E476" s="140"/>
      <c r="F476" s="159"/>
      <c r="G476" s="159"/>
      <c r="H476" s="159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</row>
    <row r="477">
      <c r="A477" s="140"/>
      <c r="B477" s="140"/>
      <c r="C477" s="140"/>
      <c r="D477" s="140"/>
      <c r="E477" s="140"/>
      <c r="F477" s="159"/>
      <c r="G477" s="159"/>
      <c r="H477" s="159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</row>
    <row r="478">
      <c r="A478" s="140"/>
      <c r="B478" s="140"/>
      <c r="C478" s="140"/>
      <c r="D478" s="140"/>
      <c r="E478" s="140"/>
      <c r="F478" s="159"/>
      <c r="G478" s="159"/>
      <c r="H478" s="159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</row>
    <row r="479">
      <c r="A479" s="140"/>
      <c r="B479" s="140"/>
      <c r="C479" s="140"/>
      <c r="D479" s="140"/>
      <c r="E479" s="140"/>
      <c r="F479" s="159"/>
      <c r="G479" s="159"/>
      <c r="H479" s="159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</row>
    <row r="480">
      <c r="A480" s="140"/>
      <c r="B480" s="140"/>
      <c r="C480" s="140"/>
      <c r="D480" s="140"/>
      <c r="E480" s="140"/>
      <c r="F480" s="159"/>
      <c r="G480" s="159"/>
      <c r="H480" s="159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</row>
    <row r="481">
      <c r="A481" s="140"/>
      <c r="B481" s="140"/>
      <c r="C481" s="140"/>
      <c r="D481" s="140"/>
      <c r="E481" s="140"/>
      <c r="F481" s="159"/>
      <c r="G481" s="159"/>
      <c r="H481" s="159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</row>
    <row r="482">
      <c r="A482" s="140"/>
      <c r="B482" s="140"/>
      <c r="C482" s="140"/>
      <c r="D482" s="140"/>
      <c r="E482" s="140"/>
      <c r="F482" s="159"/>
      <c r="G482" s="159"/>
      <c r="H482" s="159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</row>
    <row r="483">
      <c r="A483" s="140"/>
      <c r="B483" s="140"/>
      <c r="C483" s="140"/>
      <c r="D483" s="140"/>
      <c r="E483" s="140"/>
      <c r="F483" s="159"/>
      <c r="G483" s="159"/>
      <c r="H483" s="159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</row>
    <row r="484">
      <c r="A484" s="140"/>
      <c r="B484" s="140"/>
      <c r="C484" s="140"/>
      <c r="D484" s="140"/>
      <c r="E484" s="140"/>
      <c r="F484" s="159"/>
      <c r="G484" s="159"/>
      <c r="H484" s="159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</row>
    <row r="485">
      <c r="A485" s="140"/>
      <c r="B485" s="140"/>
      <c r="C485" s="140"/>
      <c r="D485" s="140"/>
      <c r="E485" s="140"/>
      <c r="F485" s="159"/>
      <c r="G485" s="159"/>
      <c r="H485" s="159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</row>
    <row r="486">
      <c r="A486" s="140"/>
      <c r="B486" s="140"/>
      <c r="C486" s="140"/>
      <c r="D486" s="140"/>
      <c r="E486" s="140"/>
      <c r="F486" s="159"/>
      <c r="G486" s="159"/>
      <c r="H486" s="159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</row>
    <row r="487">
      <c r="A487" s="140"/>
      <c r="B487" s="140"/>
      <c r="C487" s="140"/>
      <c r="D487" s="140"/>
      <c r="E487" s="140"/>
      <c r="F487" s="159"/>
      <c r="G487" s="159"/>
      <c r="H487" s="159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</row>
    <row r="488">
      <c r="A488" s="140"/>
      <c r="B488" s="140"/>
      <c r="C488" s="140"/>
      <c r="D488" s="140"/>
      <c r="E488" s="140"/>
      <c r="F488" s="159"/>
      <c r="G488" s="159"/>
      <c r="H488" s="159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</row>
    <row r="489">
      <c r="A489" s="140"/>
      <c r="B489" s="140"/>
      <c r="C489" s="140"/>
      <c r="D489" s="140"/>
      <c r="E489" s="140"/>
      <c r="F489" s="159"/>
      <c r="G489" s="159"/>
      <c r="H489" s="159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</row>
    <row r="490">
      <c r="A490" s="140"/>
      <c r="B490" s="140"/>
      <c r="C490" s="140"/>
      <c r="D490" s="140"/>
      <c r="E490" s="140"/>
      <c r="F490" s="159"/>
      <c r="G490" s="159"/>
      <c r="H490" s="159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</row>
    <row r="491">
      <c r="A491" s="140"/>
      <c r="B491" s="140"/>
      <c r="C491" s="140"/>
      <c r="D491" s="140"/>
      <c r="E491" s="140"/>
      <c r="F491" s="159"/>
      <c r="G491" s="159"/>
      <c r="H491" s="159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</row>
    <row r="492">
      <c r="A492" s="140"/>
      <c r="B492" s="140"/>
      <c r="C492" s="140"/>
      <c r="D492" s="140"/>
      <c r="E492" s="140"/>
      <c r="F492" s="159"/>
      <c r="G492" s="159"/>
      <c r="H492" s="159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</row>
    <row r="493">
      <c r="A493" s="140"/>
      <c r="B493" s="140"/>
      <c r="C493" s="140"/>
      <c r="D493" s="140"/>
      <c r="E493" s="140"/>
      <c r="F493" s="159"/>
      <c r="G493" s="159"/>
      <c r="H493" s="159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</row>
    <row r="494">
      <c r="A494" s="140"/>
      <c r="B494" s="140"/>
      <c r="C494" s="140"/>
      <c r="D494" s="140"/>
      <c r="E494" s="140"/>
      <c r="F494" s="159"/>
      <c r="G494" s="159"/>
      <c r="H494" s="159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</row>
    <row r="495">
      <c r="A495" s="140"/>
      <c r="B495" s="140"/>
      <c r="C495" s="140"/>
      <c r="D495" s="140"/>
      <c r="E495" s="140"/>
      <c r="F495" s="159"/>
      <c r="G495" s="159"/>
      <c r="H495" s="159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</row>
    <row r="496">
      <c r="A496" s="140"/>
      <c r="B496" s="140"/>
      <c r="C496" s="140"/>
      <c r="D496" s="140"/>
      <c r="E496" s="140"/>
      <c r="F496" s="159"/>
      <c r="G496" s="159"/>
      <c r="H496" s="159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</row>
    <row r="497">
      <c r="A497" s="140"/>
      <c r="B497" s="140"/>
      <c r="C497" s="140"/>
      <c r="D497" s="140"/>
      <c r="E497" s="140"/>
      <c r="F497" s="159"/>
      <c r="G497" s="159"/>
      <c r="H497" s="159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</row>
    <row r="498">
      <c r="A498" s="140"/>
      <c r="B498" s="140"/>
      <c r="C498" s="140"/>
      <c r="D498" s="140"/>
      <c r="E498" s="140"/>
      <c r="F498" s="159"/>
      <c r="G498" s="159"/>
      <c r="H498" s="159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</row>
    <row r="499">
      <c r="A499" s="140"/>
      <c r="B499" s="140"/>
      <c r="C499" s="140"/>
      <c r="D499" s="140"/>
      <c r="E499" s="140"/>
      <c r="F499" s="159"/>
      <c r="G499" s="159"/>
      <c r="H499" s="159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</row>
    <row r="500">
      <c r="A500" s="140"/>
      <c r="B500" s="140"/>
      <c r="C500" s="140"/>
      <c r="D500" s="140"/>
      <c r="E500" s="140"/>
      <c r="F500" s="159"/>
      <c r="G500" s="159"/>
      <c r="H500" s="159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</row>
    <row r="501">
      <c r="A501" s="140"/>
      <c r="B501" s="140"/>
      <c r="C501" s="140"/>
      <c r="D501" s="140"/>
      <c r="E501" s="140"/>
      <c r="F501" s="159"/>
      <c r="G501" s="159"/>
      <c r="H501" s="159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</row>
    <row r="502">
      <c r="A502" s="140"/>
      <c r="B502" s="140"/>
      <c r="C502" s="140"/>
      <c r="D502" s="140"/>
      <c r="E502" s="140"/>
      <c r="F502" s="159"/>
      <c r="G502" s="159"/>
      <c r="H502" s="159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</row>
    <row r="503">
      <c r="A503" s="140"/>
      <c r="B503" s="140"/>
      <c r="C503" s="140"/>
      <c r="D503" s="140"/>
      <c r="E503" s="140"/>
      <c r="F503" s="159"/>
      <c r="G503" s="159"/>
      <c r="H503" s="159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</row>
    <row r="504">
      <c r="A504" s="140"/>
      <c r="B504" s="140"/>
      <c r="C504" s="140"/>
      <c r="D504" s="140"/>
      <c r="E504" s="140"/>
      <c r="F504" s="159"/>
      <c r="G504" s="159"/>
      <c r="H504" s="159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</row>
    <row r="505">
      <c r="A505" s="140"/>
      <c r="B505" s="140"/>
      <c r="C505" s="140"/>
      <c r="D505" s="140"/>
      <c r="E505" s="140"/>
      <c r="F505" s="159"/>
      <c r="G505" s="159"/>
      <c r="H505" s="159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</row>
    <row r="506">
      <c r="A506" s="140"/>
      <c r="B506" s="140"/>
      <c r="C506" s="140"/>
      <c r="D506" s="140"/>
      <c r="E506" s="140"/>
      <c r="F506" s="159"/>
      <c r="G506" s="159"/>
      <c r="H506" s="159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</row>
    <row r="507">
      <c r="A507" s="140"/>
      <c r="B507" s="140"/>
      <c r="C507" s="140"/>
      <c r="D507" s="140"/>
      <c r="E507" s="140"/>
      <c r="F507" s="159"/>
      <c r="G507" s="159"/>
      <c r="H507" s="159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</row>
    <row r="508">
      <c r="A508" s="140"/>
      <c r="B508" s="140"/>
      <c r="C508" s="140"/>
      <c r="D508" s="140"/>
      <c r="E508" s="140"/>
      <c r="F508" s="159"/>
      <c r="G508" s="159"/>
      <c r="H508" s="159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</row>
    <row r="509">
      <c r="A509" s="140"/>
      <c r="B509" s="140"/>
      <c r="C509" s="140"/>
      <c r="D509" s="140"/>
      <c r="E509" s="140"/>
      <c r="F509" s="159"/>
      <c r="G509" s="159"/>
      <c r="H509" s="159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</row>
    <row r="510">
      <c r="A510" s="140"/>
      <c r="B510" s="140"/>
      <c r="C510" s="140"/>
      <c r="D510" s="140"/>
      <c r="E510" s="140"/>
      <c r="F510" s="159"/>
      <c r="G510" s="159"/>
      <c r="H510" s="159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</row>
    <row r="511">
      <c r="A511" s="140"/>
      <c r="B511" s="140"/>
      <c r="C511" s="140"/>
      <c r="D511" s="140"/>
      <c r="E511" s="140"/>
      <c r="F511" s="159"/>
      <c r="G511" s="159"/>
      <c r="H511" s="159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</row>
    <row r="512">
      <c r="A512" s="140"/>
      <c r="B512" s="140"/>
      <c r="C512" s="140"/>
      <c r="D512" s="140"/>
      <c r="E512" s="140"/>
      <c r="F512" s="159"/>
      <c r="G512" s="159"/>
      <c r="H512" s="159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</row>
    <row r="513">
      <c r="A513" s="140"/>
      <c r="B513" s="140"/>
      <c r="C513" s="140"/>
      <c r="D513" s="140"/>
      <c r="E513" s="140"/>
      <c r="F513" s="159"/>
      <c r="G513" s="159"/>
      <c r="H513" s="159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</row>
    <row r="514">
      <c r="A514" s="140"/>
      <c r="B514" s="140"/>
      <c r="C514" s="140"/>
      <c r="D514" s="140"/>
      <c r="E514" s="140"/>
      <c r="F514" s="159"/>
      <c r="G514" s="159"/>
      <c r="H514" s="159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</row>
    <row r="515">
      <c r="A515" s="140"/>
      <c r="B515" s="140"/>
      <c r="C515" s="140"/>
      <c r="D515" s="140"/>
      <c r="E515" s="140"/>
      <c r="F515" s="159"/>
      <c r="G515" s="159"/>
      <c r="H515" s="159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</row>
    <row r="516">
      <c r="A516" s="140"/>
      <c r="B516" s="140"/>
      <c r="C516" s="140"/>
      <c r="D516" s="140"/>
      <c r="E516" s="140"/>
      <c r="F516" s="159"/>
      <c r="G516" s="159"/>
      <c r="H516" s="159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</row>
    <row r="517">
      <c r="A517" s="140"/>
      <c r="B517" s="140"/>
      <c r="C517" s="140"/>
      <c r="D517" s="140"/>
      <c r="E517" s="140"/>
      <c r="F517" s="159"/>
      <c r="G517" s="159"/>
      <c r="H517" s="159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</row>
    <row r="518">
      <c r="A518" s="140"/>
      <c r="B518" s="140"/>
      <c r="C518" s="140"/>
      <c r="D518" s="140"/>
      <c r="E518" s="140"/>
      <c r="F518" s="159"/>
      <c r="G518" s="159"/>
      <c r="H518" s="159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</row>
    <row r="519">
      <c r="A519" s="140"/>
      <c r="B519" s="140"/>
      <c r="C519" s="140"/>
      <c r="D519" s="140"/>
      <c r="E519" s="140"/>
      <c r="F519" s="159"/>
      <c r="G519" s="159"/>
      <c r="H519" s="159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</row>
    <row r="520">
      <c r="A520" s="140"/>
      <c r="B520" s="140"/>
      <c r="C520" s="140"/>
      <c r="D520" s="140"/>
      <c r="E520" s="140"/>
      <c r="F520" s="159"/>
      <c r="G520" s="159"/>
      <c r="H520" s="159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</row>
    <row r="521">
      <c r="A521" s="140"/>
      <c r="B521" s="140"/>
      <c r="C521" s="140"/>
      <c r="D521" s="140"/>
      <c r="E521" s="140"/>
      <c r="F521" s="159"/>
      <c r="G521" s="159"/>
      <c r="H521" s="159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</row>
    <row r="522">
      <c r="A522" s="140"/>
      <c r="B522" s="140"/>
      <c r="C522" s="140"/>
      <c r="D522" s="140"/>
      <c r="E522" s="140"/>
      <c r="F522" s="159"/>
      <c r="G522" s="159"/>
      <c r="H522" s="159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</row>
    <row r="523">
      <c r="A523" s="140"/>
      <c r="B523" s="140"/>
      <c r="C523" s="140"/>
      <c r="D523" s="140"/>
      <c r="E523" s="140"/>
      <c r="F523" s="159"/>
      <c r="G523" s="159"/>
      <c r="H523" s="159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</row>
    <row r="524">
      <c r="A524" s="140"/>
      <c r="B524" s="140"/>
      <c r="C524" s="140"/>
      <c r="D524" s="140"/>
      <c r="E524" s="140"/>
      <c r="F524" s="159"/>
      <c r="G524" s="159"/>
      <c r="H524" s="159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</row>
    <row r="525">
      <c r="A525" s="140"/>
      <c r="B525" s="140"/>
      <c r="C525" s="140"/>
      <c r="D525" s="140"/>
      <c r="E525" s="140"/>
      <c r="F525" s="159"/>
      <c r="G525" s="159"/>
      <c r="H525" s="159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</row>
    <row r="526">
      <c r="A526" s="140"/>
      <c r="B526" s="140"/>
      <c r="C526" s="140"/>
      <c r="D526" s="140"/>
      <c r="E526" s="140"/>
      <c r="F526" s="159"/>
      <c r="G526" s="159"/>
      <c r="H526" s="159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</row>
    <row r="527">
      <c r="A527" s="140"/>
      <c r="B527" s="140"/>
      <c r="C527" s="140"/>
      <c r="D527" s="140"/>
      <c r="E527" s="140"/>
      <c r="F527" s="159"/>
      <c r="G527" s="159"/>
      <c r="H527" s="159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</row>
    <row r="528">
      <c r="A528" s="140"/>
      <c r="B528" s="140"/>
      <c r="C528" s="140"/>
      <c r="D528" s="140"/>
      <c r="E528" s="140"/>
      <c r="F528" s="159"/>
      <c r="G528" s="159"/>
      <c r="H528" s="159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</row>
    <row r="529">
      <c r="A529" s="140"/>
      <c r="B529" s="140"/>
      <c r="C529" s="140"/>
      <c r="D529" s="140"/>
      <c r="E529" s="140"/>
      <c r="F529" s="159"/>
      <c r="G529" s="159"/>
      <c r="H529" s="159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</row>
    <row r="530">
      <c r="A530" s="140"/>
      <c r="B530" s="140"/>
      <c r="C530" s="140"/>
      <c r="D530" s="140"/>
      <c r="E530" s="140"/>
      <c r="F530" s="159"/>
      <c r="G530" s="159"/>
      <c r="H530" s="159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</row>
    <row r="531">
      <c r="A531" s="140"/>
      <c r="B531" s="140"/>
      <c r="C531" s="140"/>
      <c r="D531" s="140"/>
      <c r="E531" s="140"/>
      <c r="F531" s="159"/>
      <c r="G531" s="159"/>
      <c r="H531" s="159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</row>
    <row r="532">
      <c r="A532" s="140"/>
      <c r="B532" s="140"/>
      <c r="C532" s="140"/>
      <c r="D532" s="140"/>
      <c r="E532" s="140"/>
      <c r="F532" s="159"/>
      <c r="G532" s="159"/>
      <c r="H532" s="159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</row>
    <row r="533">
      <c r="A533" s="140"/>
      <c r="B533" s="140"/>
      <c r="C533" s="140"/>
      <c r="D533" s="140"/>
      <c r="E533" s="140"/>
      <c r="F533" s="159"/>
      <c r="G533" s="159"/>
      <c r="H533" s="159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</row>
    <row r="534">
      <c r="A534" s="140"/>
      <c r="B534" s="140"/>
      <c r="C534" s="140"/>
      <c r="D534" s="140"/>
      <c r="E534" s="140"/>
      <c r="F534" s="159"/>
      <c r="G534" s="159"/>
      <c r="H534" s="159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</row>
    <row r="535">
      <c r="A535" s="140"/>
      <c r="B535" s="140"/>
      <c r="C535" s="140"/>
      <c r="D535" s="140"/>
      <c r="E535" s="140"/>
      <c r="F535" s="159"/>
      <c r="G535" s="159"/>
      <c r="H535" s="159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</row>
    <row r="536">
      <c r="A536" s="140"/>
      <c r="B536" s="140"/>
      <c r="C536" s="140"/>
      <c r="D536" s="140"/>
      <c r="E536" s="140"/>
      <c r="F536" s="159"/>
      <c r="G536" s="159"/>
      <c r="H536" s="159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</row>
    <row r="537">
      <c r="A537" s="140"/>
      <c r="B537" s="140"/>
      <c r="C537" s="140"/>
      <c r="D537" s="140"/>
      <c r="E537" s="140"/>
      <c r="F537" s="159"/>
      <c r="G537" s="159"/>
      <c r="H537" s="159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</row>
    <row r="538">
      <c r="A538" s="140"/>
      <c r="B538" s="140"/>
      <c r="C538" s="140"/>
      <c r="D538" s="140"/>
      <c r="E538" s="140"/>
      <c r="F538" s="159"/>
      <c r="G538" s="159"/>
      <c r="H538" s="159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</row>
    <row r="539">
      <c r="A539" s="140"/>
      <c r="B539" s="140"/>
      <c r="C539" s="140"/>
      <c r="D539" s="140"/>
      <c r="E539" s="140"/>
      <c r="F539" s="159"/>
      <c r="G539" s="159"/>
      <c r="H539" s="159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</row>
    <row r="540">
      <c r="A540" s="140"/>
      <c r="B540" s="140"/>
      <c r="C540" s="140"/>
      <c r="D540" s="140"/>
      <c r="E540" s="140"/>
      <c r="F540" s="159"/>
      <c r="G540" s="159"/>
      <c r="H540" s="159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</row>
    <row r="541">
      <c r="A541" s="140"/>
      <c r="B541" s="140"/>
      <c r="C541" s="140"/>
      <c r="D541" s="140"/>
      <c r="E541" s="140"/>
      <c r="F541" s="159"/>
      <c r="G541" s="159"/>
      <c r="H541" s="159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</row>
    <row r="542">
      <c r="A542" s="140"/>
      <c r="B542" s="140"/>
      <c r="C542" s="140"/>
      <c r="D542" s="140"/>
      <c r="E542" s="140"/>
      <c r="F542" s="159"/>
      <c r="G542" s="159"/>
      <c r="H542" s="159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</row>
    <row r="543">
      <c r="A543" s="140"/>
      <c r="B543" s="140"/>
      <c r="C543" s="140"/>
      <c r="D543" s="140"/>
      <c r="E543" s="140"/>
      <c r="F543" s="159"/>
      <c r="G543" s="159"/>
      <c r="H543" s="159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</row>
    <row r="544">
      <c r="A544" s="140"/>
      <c r="B544" s="140"/>
      <c r="C544" s="140"/>
      <c r="D544" s="140"/>
      <c r="E544" s="140"/>
      <c r="F544" s="159"/>
      <c r="G544" s="159"/>
      <c r="H544" s="159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</row>
    <row r="545">
      <c r="A545" s="140"/>
      <c r="B545" s="140"/>
      <c r="C545" s="140"/>
      <c r="D545" s="140"/>
      <c r="E545" s="140"/>
      <c r="F545" s="159"/>
      <c r="G545" s="159"/>
      <c r="H545" s="159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</row>
    <row r="546">
      <c r="A546" s="140"/>
      <c r="B546" s="140"/>
      <c r="C546" s="140"/>
      <c r="D546" s="140"/>
      <c r="E546" s="140"/>
      <c r="F546" s="159"/>
      <c r="G546" s="159"/>
      <c r="H546" s="159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</row>
    <row r="547">
      <c r="A547" s="140"/>
      <c r="B547" s="140"/>
      <c r="C547" s="140"/>
      <c r="D547" s="140"/>
      <c r="E547" s="140"/>
      <c r="F547" s="159"/>
      <c r="G547" s="159"/>
      <c r="H547" s="159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</row>
    <row r="548">
      <c r="A548" s="140"/>
      <c r="B548" s="140"/>
      <c r="C548" s="140"/>
      <c r="D548" s="140"/>
      <c r="E548" s="140"/>
      <c r="F548" s="159"/>
      <c r="G548" s="159"/>
      <c r="H548" s="159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</row>
    <row r="549">
      <c r="A549" s="140"/>
      <c r="B549" s="140"/>
      <c r="C549" s="140"/>
      <c r="D549" s="140"/>
      <c r="E549" s="140"/>
      <c r="F549" s="159"/>
      <c r="G549" s="159"/>
      <c r="H549" s="159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</row>
    <row r="550">
      <c r="A550" s="140"/>
      <c r="B550" s="140"/>
      <c r="C550" s="140"/>
      <c r="D550" s="140"/>
      <c r="E550" s="140"/>
      <c r="F550" s="159"/>
      <c r="G550" s="159"/>
      <c r="H550" s="159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</row>
    <row r="551">
      <c r="A551" s="140"/>
      <c r="B551" s="140"/>
      <c r="C551" s="140"/>
      <c r="D551" s="140"/>
      <c r="E551" s="140"/>
      <c r="F551" s="159"/>
      <c r="G551" s="159"/>
      <c r="H551" s="159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</row>
    <row r="552">
      <c r="A552" s="140"/>
      <c r="B552" s="140"/>
      <c r="C552" s="140"/>
      <c r="D552" s="140"/>
      <c r="E552" s="140"/>
      <c r="F552" s="159"/>
      <c r="G552" s="159"/>
      <c r="H552" s="159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</row>
    <row r="553">
      <c r="A553" s="140"/>
      <c r="B553" s="140"/>
      <c r="C553" s="140"/>
      <c r="D553" s="140"/>
      <c r="E553" s="140"/>
      <c r="F553" s="159"/>
      <c r="G553" s="159"/>
      <c r="H553" s="159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</row>
    <row r="554">
      <c r="A554" s="140"/>
      <c r="B554" s="140"/>
      <c r="C554" s="140"/>
      <c r="D554" s="140"/>
      <c r="E554" s="140"/>
      <c r="F554" s="159"/>
      <c r="G554" s="159"/>
      <c r="H554" s="159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</row>
    <row r="555">
      <c r="A555" s="140"/>
      <c r="B555" s="140"/>
      <c r="C555" s="140"/>
      <c r="D555" s="140"/>
      <c r="E555" s="140"/>
      <c r="F555" s="159"/>
      <c r="G555" s="159"/>
      <c r="H555" s="159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</row>
    <row r="556">
      <c r="A556" s="140"/>
      <c r="B556" s="140"/>
      <c r="C556" s="140"/>
      <c r="D556" s="140"/>
      <c r="E556" s="140"/>
      <c r="F556" s="159"/>
      <c r="G556" s="159"/>
      <c r="H556" s="159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</row>
    <row r="557">
      <c r="A557" s="140"/>
      <c r="B557" s="140"/>
      <c r="C557" s="140"/>
      <c r="D557" s="140"/>
      <c r="E557" s="140"/>
      <c r="F557" s="159"/>
      <c r="G557" s="159"/>
      <c r="H557" s="159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</row>
    <row r="558">
      <c r="A558" s="140"/>
      <c r="B558" s="140"/>
      <c r="C558" s="140"/>
      <c r="D558" s="140"/>
      <c r="E558" s="140"/>
      <c r="F558" s="159"/>
      <c r="G558" s="159"/>
      <c r="H558" s="159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</row>
    <row r="559">
      <c r="A559" s="140"/>
      <c r="B559" s="140"/>
      <c r="C559" s="140"/>
      <c r="D559" s="140"/>
      <c r="E559" s="140"/>
      <c r="F559" s="159"/>
      <c r="G559" s="159"/>
      <c r="H559" s="159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</row>
    <row r="560">
      <c r="A560" s="140"/>
      <c r="B560" s="140"/>
      <c r="C560" s="140"/>
      <c r="D560" s="140"/>
      <c r="E560" s="140"/>
      <c r="F560" s="159"/>
      <c r="G560" s="159"/>
      <c r="H560" s="159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</row>
    <row r="561">
      <c r="A561" s="140"/>
      <c r="B561" s="140"/>
      <c r="C561" s="140"/>
      <c r="D561" s="140"/>
      <c r="E561" s="140"/>
      <c r="F561" s="159"/>
      <c r="G561" s="159"/>
      <c r="H561" s="159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</row>
    <row r="562">
      <c r="A562" s="140"/>
      <c r="B562" s="140"/>
      <c r="C562" s="140"/>
      <c r="D562" s="140"/>
      <c r="E562" s="140"/>
      <c r="F562" s="159"/>
      <c r="G562" s="159"/>
      <c r="H562" s="159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</row>
    <row r="563">
      <c r="A563" s="140"/>
      <c r="B563" s="140"/>
      <c r="C563" s="140"/>
      <c r="D563" s="140"/>
      <c r="E563" s="140"/>
      <c r="F563" s="159"/>
      <c r="G563" s="159"/>
      <c r="H563" s="159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</row>
    <row r="564">
      <c r="A564" s="140"/>
      <c r="B564" s="140"/>
      <c r="C564" s="140"/>
      <c r="D564" s="140"/>
      <c r="E564" s="140"/>
      <c r="F564" s="159"/>
      <c r="G564" s="159"/>
      <c r="H564" s="159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</row>
    <row r="565">
      <c r="A565" s="140"/>
      <c r="B565" s="140"/>
      <c r="C565" s="140"/>
      <c r="D565" s="140"/>
      <c r="E565" s="140"/>
      <c r="F565" s="159"/>
      <c r="G565" s="159"/>
      <c r="H565" s="159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</row>
    <row r="566">
      <c r="A566" s="140"/>
      <c r="B566" s="140"/>
      <c r="C566" s="140"/>
      <c r="D566" s="140"/>
      <c r="E566" s="140"/>
      <c r="F566" s="159"/>
      <c r="G566" s="159"/>
      <c r="H566" s="159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</row>
    <row r="567">
      <c r="A567" s="140"/>
      <c r="B567" s="140"/>
      <c r="C567" s="140"/>
      <c r="D567" s="140"/>
      <c r="E567" s="140"/>
      <c r="F567" s="159"/>
      <c r="G567" s="159"/>
      <c r="H567" s="159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</row>
    <row r="568">
      <c r="A568" s="140"/>
      <c r="B568" s="140"/>
      <c r="C568" s="140"/>
      <c r="D568" s="140"/>
      <c r="E568" s="140"/>
      <c r="F568" s="159"/>
      <c r="G568" s="159"/>
      <c r="H568" s="159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</row>
    <row r="569">
      <c r="A569" s="140"/>
      <c r="B569" s="140"/>
      <c r="C569" s="140"/>
      <c r="D569" s="140"/>
      <c r="E569" s="140"/>
      <c r="F569" s="159"/>
      <c r="G569" s="159"/>
      <c r="H569" s="159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</row>
    <row r="570">
      <c r="A570" s="140"/>
      <c r="B570" s="140"/>
      <c r="C570" s="140"/>
      <c r="D570" s="140"/>
      <c r="E570" s="140"/>
      <c r="F570" s="159"/>
      <c r="G570" s="159"/>
      <c r="H570" s="159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</row>
    <row r="571">
      <c r="A571" s="140"/>
      <c r="B571" s="140"/>
      <c r="C571" s="140"/>
      <c r="D571" s="140"/>
      <c r="E571" s="140"/>
      <c r="F571" s="159"/>
      <c r="G571" s="159"/>
      <c r="H571" s="159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</row>
    <row r="572">
      <c r="A572" s="140"/>
      <c r="B572" s="140"/>
      <c r="C572" s="140"/>
      <c r="D572" s="140"/>
      <c r="E572" s="140"/>
      <c r="F572" s="159"/>
      <c r="G572" s="159"/>
      <c r="H572" s="159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</row>
    <row r="573">
      <c r="A573" s="140"/>
      <c r="B573" s="140"/>
      <c r="C573" s="140"/>
      <c r="D573" s="140"/>
      <c r="E573" s="140"/>
      <c r="F573" s="159"/>
      <c r="G573" s="159"/>
      <c r="H573" s="159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</row>
    <row r="574">
      <c r="A574" s="140"/>
      <c r="B574" s="140"/>
      <c r="C574" s="140"/>
      <c r="D574" s="140"/>
      <c r="E574" s="140"/>
      <c r="F574" s="159"/>
      <c r="G574" s="159"/>
      <c r="H574" s="159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</row>
    <row r="575">
      <c r="A575" s="140"/>
      <c r="B575" s="140"/>
      <c r="C575" s="140"/>
      <c r="D575" s="140"/>
      <c r="E575" s="140"/>
      <c r="F575" s="159"/>
      <c r="G575" s="159"/>
      <c r="H575" s="159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</row>
    <row r="576">
      <c r="A576" s="140"/>
      <c r="B576" s="140"/>
      <c r="C576" s="140"/>
      <c r="D576" s="140"/>
      <c r="E576" s="140"/>
      <c r="F576" s="159"/>
      <c r="G576" s="159"/>
      <c r="H576" s="159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</row>
    <row r="577">
      <c r="A577" s="140"/>
      <c r="B577" s="140"/>
      <c r="C577" s="140"/>
      <c r="D577" s="140"/>
      <c r="E577" s="140"/>
      <c r="F577" s="159"/>
      <c r="G577" s="159"/>
      <c r="H577" s="159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</row>
    <row r="578">
      <c r="A578" s="140"/>
      <c r="B578" s="140"/>
      <c r="C578" s="140"/>
      <c r="D578" s="140"/>
      <c r="E578" s="140"/>
      <c r="F578" s="159"/>
      <c r="G578" s="159"/>
      <c r="H578" s="159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</row>
    <row r="579">
      <c r="A579" s="140"/>
      <c r="B579" s="140"/>
      <c r="C579" s="140"/>
      <c r="D579" s="140"/>
      <c r="E579" s="140"/>
      <c r="F579" s="159"/>
      <c r="G579" s="159"/>
      <c r="H579" s="159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</row>
    <row r="580">
      <c r="A580" s="140"/>
      <c r="B580" s="140"/>
      <c r="C580" s="140"/>
      <c r="D580" s="140"/>
      <c r="E580" s="140"/>
      <c r="F580" s="159"/>
      <c r="G580" s="159"/>
      <c r="H580" s="159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</row>
    <row r="581">
      <c r="A581" s="140"/>
      <c r="B581" s="140"/>
      <c r="C581" s="140"/>
      <c r="D581" s="140"/>
      <c r="E581" s="140"/>
      <c r="F581" s="159"/>
      <c r="G581" s="159"/>
      <c r="H581" s="159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</row>
    <row r="582">
      <c r="A582" s="140"/>
      <c r="B582" s="140"/>
      <c r="C582" s="140"/>
      <c r="D582" s="140"/>
      <c r="E582" s="140"/>
      <c r="F582" s="159"/>
      <c r="G582" s="159"/>
      <c r="H582" s="159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</row>
    <row r="583">
      <c r="A583" s="140"/>
      <c r="B583" s="140"/>
      <c r="C583" s="140"/>
      <c r="D583" s="140"/>
      <c r="E583" s="140"/>
      <c r="F583" s="159"/>
      <c r="G583" s="159"/>
      <c r="H583" s="159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</row>
    <row r="584">
      <c r="A584" s="140"/>
      <c r="B584" s="140"/>
      <c r="C584" s="140"/>
      <c r="D584" s="140"/>
      <c r="E584" s="140"/>
      <c r="F584" s="159"/>
      <c r="G584" s="159"/>
      <c r="H584" s="159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</row>
    <row r="585">
      <c r="A585" s="140"/>
      <c r="B585" s="140"/>
      <c r="C585" s="140"/>
      <c r="D585" s="140"/>
      <c r="E585" s="140"/>
      <c r="F585" s="159"/>
      <c r="G585" s="159"/>
      <c r="H585" s="159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</row>
    <row r="586">
      <c r="A586" s="140"/>
      <c r="B586" s="140"/>
      <c r="C586" s="140"/>
      <c r="D586" s="140"/>
      <c r="E586" s="140"/>
      <c r="F586" s="159"/>
      <c r="G586" s="159"/>
      <c r="H586" s="159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</row>
    <row r="587">
      <c r="A587" s="140"/>
      <c r="B587" s="140"/>
      <c r="C587" s="140"/>
      <c r="D587" s="140"/>
      <c r="E587" s="140"/>
      <c r="F587" s="159"/>
      <c r="G587" s="159"/>
      <c r="H587" s="159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</row>
    <row r="588">
      <c r="A588" s="140"/>
      <c r="B588" s="140"/>
      <c r="C588" s="140"/>
      <c r="D588" s="140"/>
      <c r="E588" s="140"/>
      <c r="F588" s="159"/>
      <c r="G588" s="159"/>
      <c r="H588" s="159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</row>
    <row r="589">
      <c r="A589" s="140"/>
      <c r="B589" s="140"/>
      <c r="C589" s="140"/>
      <c r="D589" s="140"/>
      <c r="E589" s="140"/>
      <c r="F589" s="159"/>
      <c r="G589" s="159"/>
      <c r="H589" s="159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</row>
    <row r="590">
      <c r="A590" s="140"/>
      <c r="B590" s="140"/>
      <c r="C590" s="140"/>
      <c r="D590" s="140"/>
      <c r="E590" s="140"/>
      <c r="F590" s="159"/>
      <c r="G590" s="159"/>
      <c r="H590" s="159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</row>
    <row r="591">
      <c r="A591" s="140"/>
      <c r="B591" s="140"/>
      <c r="C591" s="140"/>
      <c r="D591" s="140"/>
      <c r="E591" s="140"/>
      <c r="F591" s="159"/>
      <c r="G591" s="159"/>
      <c r="H591" s="159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</row>
    <row r="592">
      <c r="A592" s="140"/>
      <c r="B592" s="140"/>
      <c r="C592" s="140"/>
      <c r="D592" s="140"/>
      <c r="E592" s="140"/>
      <c r="F592" s="159"/>
      <c r="G592" s="159"/>
      <c r="H592" s="159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</row>
    <row r="593">
      <c r="A593" s="140"/>
      <c r="B593" s="140"/>
      <c r="C593" s="140"/>
      <c r="D593" s="140"/>
      <c r="E593" s="140"/>
      <c r="F593" s="159"/>
      <c r="G593" s="159"/>
      <c r="H593" s="159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</row>
    <row r="594">
      <c r="A594" s="140"/>
      <c r="B594" s="140"/>
      <c r="C594" s="140"/>
      <c r="D594" s="140"/>
      <c r="E594" s="140"/>
      <c r="F594" s="159"/>
      <c r="G594" s="159"/>
      <c r="H594" s="159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</row>
    <row r="595">
      <c r="A595" s="140"/>
      <c r="B595" s="140"/>
      <c r="C595" s="140"/>
      <c r="D595" s="140"/>
      <c r="E595" s="140"/>
      <c r="F595" s="159"/>
      <c r="G595" s="159"/>
      <c r="H595" s="159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</row>
    <row r="596">
      <c r="A596" s="140"/>
      <c r="B596" s="140"/>
      <c r="C596" s="140"/>
      <c r="D596" s="140"/>
      <c r="E596" s="140"/>
      <c r="F596" s="159"/>
      <c r="G596" s="159"/>
      <c r="H596" s="159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</row>
    <row r="597">
      <c r="A597" s="140"/>
      <c r="B597" s="140"/>
      <c r="C597" s="140"/>
      <c r="D597" s="140"/>
      <c r="E597" s="140"/>
      <c r="F597" s="159"/>
      <c r="G597" s="159"/>
      <c r="H597" s="159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</row>
    <row r="598">
      <c r="A598" s="140"/>
      <c r="B598" s="140"/>
      <c r="C598" s="140"/>
      <c r="D598" s="140"/>
      <c r="E598" s="140"/>
      <c r="F598" s="159"/>
      <c r="G598" s="159"/>
      <c r="H598" s="159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</row>
    <row r="599">
      <c r="A599" s="140"/>
      <c r="B599" s="140"/>
      <c r="C599" s="140"/>
      <c r="D599" s="140"/>
      <c r="E599" s="140"/>
      <c r="F599" s="159"/>
      <c r="G599" s="159"/>
      <c r="H599" s="159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</row>
    <row r="600">
      <c r="A600" s="140"/>
      <c r="B600" s="140"/>
      <c r="C600" s="140"/>
      <c r="D600" s="140"/>
      <c r="E600" s="140"/>
      <c r="F600" s="159"/>
      <c r="G600" s="159"/>
      <c r="H600" s="159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</row>
    <row r="601">
      <c r="A601" s="140"/>
      <c r="B601" s="140"/>
      <c r="C601" s="140"/>
      <c r="D601" s="140"/>
      <c r="E601" s="140"/>
      <c r="F601" s="159"/>
      <c r="G601" s="159"/>
      <c r="H601" s="159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</row>
    <row r="602">
      <c r="A602" s="140"/>
      <c r="B602" s="140"/>
      <c r="C602" s="140"/>
      <c r="D602" s="140"/>
      <c r="E602" s="140"/>
      <c r="F602" s="159"/>
      <c r="G602" s="159"/>
      <c r="H602" s="159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</row>
    <row r="603">
      <c r="A603" s="140"/>
      <c r="B603" s="140"/>
      <c r="C603" s="140"/>
      <c r="D603" s="140"/>
      <c r="E603" s="140"/>
      <c r="F603" s="159"/>
      <c r="G603" s="159"/>
      <c r="H603" s="159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</row>
    <row r="604">
      <c r="A604" s="140"/>
      <c r="B604" s="140"/>
      <c r="C604" s="140"/>
      <c r="D604" s="140"/>
      <c r="E604" s="140"/>
      <c r="F604" s="159"/>
      <c r="G604" s="159"/>
      <c r="H604" s="159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</row>
    <row r="605">
      <c r="A605" s="140"/>
      <c r="B605" s="140"/>
      <c r="C605" s="140"/>
      <c r="D605" s="140"/>
      <c r="E605" s="140"/>
      <c r="F605" s="159"/>
      <c r="G605" s="159"/>
      <c r="H605" s="159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</row>
    <row r="606">
      <c r="A606" s="140"/>
      <c r="B606" s="140"/>
      <c r="C606" s="140"/>
      <c r="D606" s="140"/>
      <c r="E606" s="140"/>
      <c r="F606" s="159"/>
      <c r="G606" s="159"/>
      <c r="H606" s="159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</row>
    <row r="607">
      <c r="A607" s="140"/>
      <c r="B607" s="140"/>
      <c r="C607" s="140"/>
      <c r="D607" s="140"/>
      <c r="E607" s="140"/>
      <c r="F607" s="159"/>
      <c r="G607" s="159"/>
      <c r="H607" s="159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</row>
    <row r="608">
      <c r="A608" s="140"/>
      <c r="B608" s="140"/>
      <c r="C608" s="140"/>
      <c r="D608" s="140"/>
      <c r="E608" s="140"/>
      <c r="F608" s="159"/>
      <c r="G608" s="159"/>
      <c r="H608" s="159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</row>
    <row r="609">
      <c r="A609" s="140"/>
      <c r="B609" s="140"/>
      <c r="C609" s="140"/>
      <c r="D609" s="140"/>
      <c r="E609" s="140"/>
      <c r="F609" s="159"/>
      <c r="G609" s="159"/>
      <c r="H609" s="159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</row>
    <row r="610">
      <c r="A610" s="140"/>
      <c r="B610" s="140"/>
      <c r="C610" s="140"/>
      <c r="D610" s="140"/>
      <c r="E610" s="140"/>
      <c r="F610" s="159"/>
      <c r="G610" s="159"/>
      <c r="H610" s="159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</row>
    <row r="611">
      <c r="A611" s="140"/>
      <c r="B611" s="140"/>
      <c r="C611" s="140"/>
      <c r="D611" s="140"/>
      <c r="E611" s="140"/>
      <c r="F611" s="159"/>
      <c r="G611" s="159"/>
      <c r="H611" s="159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</row>
    <row r="612">
      <c r="A612" s="140"/>
      <c r="B612" s="140"/>
      <c r="C612" s="140"/>
      <c r="D612" s="140"/>
      <c r="E612" s="140"/>
      <c r="F612" s="159"/>
      <c r="G612" s="159"/>
      <c r="H612" s="159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</row>
    <row r="613">
      <c r="A613" s="140"/>
      <c r="B613" s="140"/>
      <c r="C613" s="140"/>
      <c r="D613" s="140"/>
      <c r="E613" s="140"/>
      <c r="F613" s="159"/>
      <c r="G613" s="159"/>
      <c r="H613" s="159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</row>
    <row r="614">
      <c r="A614" s="140"/>
      <c r="B614" s="140"/>
      <c r="C614" s="140"/>
      <c r="D614" s="140"/>
      <c r="E614" s="140"/>
      <c r="F614" s="159"/>
      <c r="G614" s="159"/>
      <c r="H614" s="159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</row>
    <row r="615">
      <c r="A615" s="140"/>
      <c r="B615" s="140"/>
      <c r="C615" s="140"/>
      <c r="D615" s="140"/>
      <c r="E615" s="140"/>
      <c r="F615" s="159"/>
      <c r="G615" s="159"/>
      <c r="H615" s="159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</row>
    <row r="616">
      <c r="A616" s="140"/>
      <c r="B616" s="140"/>
      <c r="C616" s="140"/>
      <c r="D616" s="140"/>
      <c r="E616" s="140"/>
      <c r="F616" s="159"/>
      <c r="G616" s="159"/>
      <c r="H616" s="159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</row>
    <row r="617">
      <c r="A617" s="140"/>
      <c r="B617" s="140"/>
      <c r="C617" s="140"/>
      <c r="D617" s="140"/>
      <c r="E617" s="140"/>
      <c r="F617" s="159"/>
      <c r="G617" s="159"/>
      <c r="H617" s="159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</row>
    <row r="618">
      <c r="A618" s="140"/>
      <c r="B618" s="140"/>
      <c r="C618" s="140"/>
      <c r="D618" s="140"/>
      <c r="E618" s="140"/>
      <c r="F618" s="159"/>
      <c r="G618" s="159"/>
      <c r="H618" s="159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</row>
    <row r="619">
      <c r="A619" s="140"/>
      <c r="B619" s="140"/>
      <c r="C619" s="140"/>
      <c r="D619" s="140"/>
      <c r="E619" s="140"/>
      <c r="F619" s="159"/>
      <c r="G619" s="159"/>
      <c r="H619" s="159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</row>
    <row r="620">
      <c r="A620" s="140"/>
      <c r="B620" s="140"/>
      <c r="C620" s="140"/>
      <c r="D620" s="140"/>
      <c r="E620" s="140"/>
      <c r="F620" s="159"/>
      <c r="G620" s="159"/>
      <c r="H620" s="159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</row>
    <row r="621">
      <c r="A621" s="140"/>
      <c r="B621" s="140"/>
      <c r="C621" s="140"/>
      <c r="D621" s="140"/>
      <c r="E621" s="140"/>
      <c r="F621" s="159"/>
      <c r="G621" s="159"/>
      <c r="H621" s="159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</row>
    <row r="622">
      <c r="A622" s="140"/>
      <c r="B622" s="140"/>
      <c r="C622" s="140"/>
      <c r="D622" s="140"/>
      <c r="E622" s="140"/>
      <c r="F622" s="159"/>
      <c r="G622" s="159"/>
      <c r="H622" s="159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</row>
    <row r="623">
      <c r="A623" s="140"/>
      <c r="B623" s="140"/>
      <c r="C623" s="140"/>
      <c r="D623" s="140"/>
      <c r="E623" s="140"/>
      <c r="F623" s="159"/>
      <c r="G623" s="159"/>
      <c r="H623" s="159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</row>
    <row r="624">
      <c r="A624" s="140"/>
      <c r="B624" s="140"/>
      <c r="C624" s="140"/>
      <c r="D624" s="140"/>
      <c r="E624" s="140"/>
      <c r="F624" s="159"/>
      <c r="G624" s="159"/>
      <c r="H624" s="159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</row>
    <row r="625">
      <c r="A625" s="140"/>
      <c r="B625" s="140"/>
      <c r="C625" s="140"/>
      <c r="D625" s="140"/>
      <c r="E625" s="140"/>
      <c r="F625" s="159"/>
      <c r="G625" s="159"/>
      <c r="H625" s="159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</row>
    <row r="626">
      <c r="A626" s="140"/>
      <c r="B626" s="140"/>
      <c r="C626" s="140"/>
      <c r="D626" s="140"/>
      <c r="E626" s="140"/>
      <c r="F626" s="159"/>
      <c r="G626" s="159"/>
      <c r="H626" s="159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</row>
    <row r="627">
      <c r="A627" s="140"/>
      <c r="B627" s="140"/>
      <c r="C627" s="140"/>
      <c r="D627" s="140"/>
      <c r="E627" s="140"/>
      <c r="F627" s="159"/>
      <c r="G627" s="159"/>
      <c r="H627" s="159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</row>
    <row r="628">
      <c r="A628" s="140"/>
      <c r="B628" s="140"/>
      <c r="C628" s="140"/>
      <c r="D628" s="140"/>
      <c r="E628" s="140"/>
      <c r="F628" s="159"/>
      <c r="G628" s="159"/>
      <c r="H628" s="159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</row>
    <row r="629">
      <c r="A629" s="140"/>
      <c r="B629" s="140"/>
      <c r="C629" s="140"/>
      <c r="D629" s="140"/>
      <c r="E629" s="140"/>
      <c r="F629" s="159"/>
      <c r="G629" s="159"/>
      <c r="H629" s="159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</row>
    <row r="630">
      <c r="A630" s="140"/>
      <c r="B630" s="140"/>
      <c r="C630" s="140"/>
      <c r="D630" s="140"/>
      <c r="E630" s="140"/>
      <c r="F630" s="159"/>
      <c r="G630" s="159"/>
      <c r="H630" s="159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</row>
    <row r="631">
      <c r="A631" s="140"/>
      <c r="B631" s="140"/>
      <c r="C631" s="140"/>
      <c r="D631" s="140"/>
      <c r="E631" s="140"/>
      <c r="F631" s="159"/>
      <c r="G631" s="159"/>
      <c r="H631" s="159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</row>
    <row r="632">
      <c r="A632" s="140"/>
      <c r="B632" s="140"/>
      <c r="C632" s="140"/>
      <c r="D632" s="140"/>
      <c r="E632" s="140"/>
      <c r="F632" s="159"/>
      <c r="G632" s="159"/>
      <c r="H632" s="159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</row>
    <row r="633">
      <c r="A633" s="140"/>
      <c r="B633" s="140"/>
      <c r="C633" s="140"/>
      <c r="D633" s="140"/>
      <c r="E633" s="140"/>
      <c r="F633" s="159"/>
      <c r="G633" s="159"/>
      <c r="H633" s="159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</row>
    <row r="634">
      <c r="A634" s="140"/>
      <c r="B634" s="140"/>
      <c r="C634" s="140"/>
      <c r="D634" s="140"/>
      <c r="E634" s="140"/>
      <c r="F634" s="159"/>
      <c r="G634" s="159"/>
      <c r="H634" s="159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</row>
    <row r="635">
      <c r="A635" s="140"/>
      <c r="B635" s="140"/>
      <c r="C635" s="140"/>
      <c r="D635" s="140"/>
      <c r="E635" s="140"/>
      <c r="F635" s="159"/>
      <c r="G635" s="159"/>
      <c r="H635" s="159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</row>
    <row r="636">
      <c r="A636" s="140"/>
      <c r="B636" s="140"/>
      <c r="C636" s="140"/>
      <c r="D636" s="140"/>
      <c r="E636" s="140"/>
      <c r="F636" s="159"/>
      <c r="G636" s="159"/>
      <c r="H636" s="159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</row>
    <row r="637">
      <c r="A637" s="140"/>
      <c r="B637" s="140"/>
      <c r="C637" s="140"/>
      <c r="D637" s="140"/>
      <c r="E637" s="140"/>
      <c r="F637" s="159"/>
      <c r="G637" s="159"/>
      <c r="H637" s="159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</row>
    <row r="638">
      <c r="A638" s="140"/>
      <c r="B638" s="140"/>
      <c r="C638" s="140"/>
      <c r="D638" s="140"/>
      <c r="E638" s="140"/>
      <c r="F638" s="159"/>
      <c r="G638" s="159"/>
      <c r="H638" s="159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</row>
    <row r="639">
      <c r="A639" s="140"/>
      <c r="B639" s="140"/>
      <c r="C639" s="140"/>
      <c r="D639" s="140"/>
      <c r="E639" s="140"/>
      <c r="F639" s="159"/>
      <c r="G639" s="159"/>
      <c r="H639" s="159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</row>
    <row r="640">
      <c r="A640" s="140"/>
      <c r="B640" s="140"/>
      <c r="C640" s="140"/>
      <c r="D640" s="140"/>
      <c r="E640" s="140"/>
      <c r="F640" s="159"/>
      <c r="G640" s="159"/>
      <c r="H640" s="159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</row>
    <row r="641">
      <c r="A641" s="140"/>
      <c r="B641" s="140"/>
      <c r="C641" s="140"/>
      <c r="D641" s="140"/>
      <c r="E641" s="140"/>
      <c r="F641" s="159"/>
      <c r="G641" s="159"/>
      <c r="H641" s="159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</row>
    <row r="642">
      <c r="A642" s="140"/>
      <c r="B642" s="140"/>
      <c r="C642" s="140"/>
      <c r="D642" s="140"/>
      <c r="E642" s="140"/>
      <c r="F642" s="159"/>
      <c r="G642" s="159"/>
      <c r="H642" s="159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</row>
    <row r="643">
      <c r="A643" s="140"/>
      <c r="B643" s="140"/>
      <c r="C643" s="140"/>
      <c r="D643" s="140"/>
      <c r="E643" s="140"/>
      <c r="F643" s="159"/>
      <c r="G643" s="159"/>
      <c r="H643" s="159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</row>
    <row r="644">
      <c r="A644" s="140"/>
      <c r="B644" s="140"/>
      <c r="C644" s="140"/>
      <c r="D644" s="140"/>
      <c r="E644" s="140"/>
      <c r="F644" s="159"/>
      <c r="G644" s="159"/>
      <c r="H644" s="159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</row>
    <row r="645">
      <c r="A645" s="140"/>
      <c r="B645" s="140"/>
      <c r="C645" s="140"/>
      <c r="D645" s="140"/>
      <c r="E645" s="140"/>
      <c r="F645" s="159"/>
      <c r="G645" s="159"/>
      <c r="H645" s="159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</row>
    <row r="646">
      <c r="A646" s="140"/>
      <c r="B646" s="140"/>
      <c r="C646" s="140"/>
      <c r="D646" s="140"/>
      <c r="E646" s="140"/>
      <c r="F646" s="159"/>
      <c r="G646" s="159"/>
      <c r="H646" s="159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</row>
    <row r="647">
      <c r="A647" s="140"/>
      <c r="B647" s="140"/>
      <c r="C647" s="140"/>
      <c r="D647" s="140"/>
      <c r="E647" s="140"/>
      <c r="F647" s="159"/>
      <c r="G647" s="159"/>
      <c r="H647" s="159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</row>
    <row r="648">
      <c r="A648" s="140"/>
      <c r="B648" s="140"/>
      <c r="C648" s="140"/>
      <c r="D648" s="140"/>
      <c r="E648" s="140"/>
      <c r="F648" s="159"/>
      <c r="G648" s="159"/>
      <c r="H648" s="159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</row>
    <row r="649">
      <c r="A649" s="140"/>
      <c r="B649" s="140"/>
      <c r="C649" s="140"/>
      <c r="D649" s="140"/>
      <c r="E649" s="140"/>
      <c r="F649" s="159"/>
      <c r="G649" s="159"/>
      <c r="H649" s="159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</row>
    <row r="650">
      <c r="A650" s="140"/>
      <c r="B650" s="140"/>
      <c r="C650" s="140"/>
      <c r="D650" s="140"/>
      <c r="E650" s="140"/>
      <c r="F650" s="159"/>
      <c r="G650" s="159"/>
      <c r="H650" s="159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</row>
    <row r="651">
      <c r="A651" s="140"/>
      <c r="B651" s="140"/>
      <c r="C651" s="140"/>
      <c r="D651" s="140"/>
      <c r="E651" s="140"/>
      <c r="F651" s="159"/>
      <c r="G651" s="159"/>
      <c r="H651" s="159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</row>
    <row r="652">
      <c r="A652" s="140"/>
      <c r="B652" s="140"/>
      <c r="C652" s="140"/>
      <c r="D652" s="140"/>
      <c r="E652" s="140"/>
      <c r="F652" s="159"/>
      <c r="G652" s="159"/>
      <c r="H652" s="159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</row>
    <row r="653">
      <c r="A653" s="140"/>
      <c r="B653" s="140"/>
      <c r="C653" s="140"/>
      <c r="D653" s="140"/>
      <c r="E653" s="140"/>
      <c r="F653" s="159"/>
      <c r="G653" s="159"/>
      <c r="H653" s="159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</row>
    <row r="654">
      <c r="A654" s="140"/>
      <c r="B654" s="140"/>
      <c r="C654" s="140"/>
      <c r="D654" s="140"/>
      <c r="E654" s="140"/>
      <c r="F654" s="159"/>
      <c r="G654" s="159"/>
      <c r="H654" s="159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</row>
    <row r="655">
      <c r="A655" s="140"/>
      <c r="B655" s="140"/>
      <c r="C655" s="140"/>
      <c r="D655" s="140"/>
      <c r="E655" s="140"/>
      <c r="F655" s="159"/>
      <c r="G655" s="159"/>
      <c r="H655" s="159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</row>
    <row r="656">
      <c r="A656" s="140"/>
      <c r="B656" s="140"/>
      <c r="C656" s="140"/>
      <c r="D656" s="140"/>
      <c r="E656" s="140"/>
      <c r="F656" s="159"/>
      <c r="G656" s="159"/>
      <c r="H656" s="159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</row>
    <row r="657">
      <c r="A657" s="140"/>
      <c r="B657" s="140"/>
      <c r="C657" s="140"/>
      <c r="D657" s="140"/>
      <c r="E657" s="140"/>
      <c r="F657" s="159"/>
      <c r="G657" s="159"/>
      <c r="H657" s="159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</row>
    <row r="658">
      <c r="A658" s="140"/>
      <c r="B658" s="140"/>
      <c r="C658" s="140"/>
      <c r="D658" s="140"/>
      <c r="E658" s="140"/>
      <c r="F658" s="159"/>
      <c r="G658" s="159"/>
      <c r="H658" s="159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</row>
    <row r="659">
      <c r="A659" s="140"/>
      <c r="B659" s="140"/>
      <c r="C659" s="140"/>
      <c r="D659" s="140"/>
      <c r="E659" s="140"/>
      <c r="F659" s="159"/>
      <c r="G659" s="159"/>
      <c r="H659" s="159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</row>
    <row r="660">
      <c r="A660" s="140"/>
      <c r="B660" s="140"/>
      <c r="C660" s="140"/>
      <c r="D660" s="140"/>
      <c r="E660" s="140"/>
      <c r="F660" s="159"/>
      <c r="G660" s="159"/>
      <c r="H660" s="159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</row>
    <row r="661">
      <c r="A661" s="140"/>
      <c r="B661" s="140"/>
      <c r="C661" s="140"/>
      <c r="D661" s="140"/>
      <c r="E661" s="140"/>
      <c r="F661" s="159"/>
      <c r="G661" s="159"/>
      <c r="H661" s="159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</row>
    <row r="662">
      <c r="A662" s="140"/>
      <c r="B662" s="140"/>
      <c r="C662" s="140"/>
      <c r="D662" s="140"/>
      <c r="E662" s="140"/>
      <c r="F662" s="159"/>
      <c r="G662" s="159"/>
      <c r="H662" s="159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</row>
    <row r="663">
      <c r="A663" s="140"/>
      <c r="B663" s="140"/>
      <c r="C663" s="140"/>
      <c r="D663" s="140"/>
      <c r="E663" s="140"/>
      <c r="F663" s="159"/>
      <c r="G663" s="159"/>
      <c r="H663" s="159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</row>
    <row r="664">
      <c r="A664" s="140"/>
      <c r="B664" s="140"/>
      <c r="C664" s="140"/>
      <c r="D664" s="140"/>
      <c r="E664" s="140"/>
      <c r="F664" s="159"/>
      <c r="G664" s="159"/>
      <c r="H664" s="159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</row>
    <row r="665">
      <c r="A665" s="140"/>
      <c r="B665" s="140"/>
      <c r="C665" s="140"/>
      <c r="D665" s="140"/>
      <c r="E665" s="140"/>
      <c r="F665" s="159"/>
      <c r="G665" s="159"/>
      <c r="H665" s="159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</row>
    <row r="666">
      <c r="A666" s="140"/>
      <c r="B666" s="140"/>
      <c r="C666" s="140"/>
      <c r="D666" s="140"/>
      <c r="E666" s="140"/>
      <c r="F666" s="159"/>
      <c r="G666" s="159"/>
      <c r="H666" s="159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</row>
    <row r="667">
      <c r="A667" s="140"/>
      <c r="B667" s="140"/>
      <c r="C667" s="140"/>
      <c r="D667" s="140"/>
      <c r="E667" s="140"/>
      <c r="F667" s="159"/>
      <c r="G667" s="159"/>
      <c r="H667" s="159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</row>
    <row r="668">
      <c r="A668" s="140"/>
      <c r="B668" s="140"/>
      <c r="C668" s="140"/>
      <c r="D668" s="140"/>
      <c r="E668" s="140"/>
      <c r="F668" s="159"/>
      <c r="G668" s="159"/>
      <c r="H668" s="159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</row>
    <row r="669">
      <c r="A669" s="140"/>
      <c r="B669" s="140"/>
      <c r="C669" s="140"/>
      <c r="D669" s="140"/>
      <c r="E669" s="140"/>
      <c r="F669" s="159"/>
      <c r="G669" s="159"/>
      <c r="H669" s="159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</row>
    <row r="670">
      <c r="A670" s="140"/>
      <c r="B670" s="140"/>
      <c r="C670" s="140"/>
      <c r="D670" s="140"/>
      <c r="E670" s="140"/>
      <c r="F670" s="159"/>
      <c r="G670" s="159"/>
      <c r="H670" s="159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</row>
    <row r="671">
      <c r="A671" s="140"/>
      <c r="B671" s="140"/>
      <c r="C671" s="140"/>
      <c r="D671" s="140"/>
      <c r="E671" s="140"/>
      <c r="F671" s="159"/>
      <c r="G671" s="159"/>
      <c r="H671" s="159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</row>
    <row r="672">
      <c r="A672" s="140"/>
      <c r="B672" s="140"/>
      <c r="C672" s="140"/>
      <c r="D672" s="140"/>
      <c r="E672" s="140"/>
      <c r="F672" s="159"/>
      <c r="G672" s="159"/>
      <c r="H672" s="159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</row>
    <row r="673">
      <c r="A673" s="140"/>
      <c r="B673" s="140"/>
      <c r="C673" s="140"/>
      <c r="D673" s="140"/>
      <c r="E673" s="140"/>
      <c r="F673" s="159"/>
      <c r="G673" s="159"/>
      <c r="H673" s="159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</row>
    <row r="674">
      <c r="A674" s="140"/>
      <c r="B674" s="140"/>
      <c r="C674" s="140"/>
      <c r="D674" s="140"/>
      <c r="E674" s="140"/>
      <c r="F674" s="159"/>
      <c r="G674" s="159"/>
      <c r="H674" s="159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</row>
    <row r="675">
      <c r="A675" s="140"/>
      <c r="B675" s="140"/>
      <c r="C675" s="140"/>
      <c r="D675" s="140"/>
      <c r="E675" s="140"/>
      <c r="F675" s="159"/>
      <c r="G675" s="159"/>
      <c r="H675" s="159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</row>
    <row r="676">
      <c r="A676" s="140"/>
      <c r="B676" s="140"/>
      <c r="C676" s="140"/>
      <c r="D676" s="140"/>
      <c r="E676" s="140"/>
      <c r="F676" s="159"/>
      <c r="G676" s="159"/>
      <c r="H676" s="159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</row>
    <row r="677">
      <c r="A677" s="140"/>
      <c r="B677" s="140"/>
      <c r="C677" s="140"/>
      <c r="D677" s="140"/>
      <c r="E677" s="140"/>
      <c r="F677" s="159"/>
      <c r="G677" s="159"/>
      <c r="H677" s="159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</row>
    <row r="678">
      <c r="A678" s="140"/>
      <c r="B678" s="140"/>
      <c r="C678" s="140"/>
      <c r="D678" s="140"/>
      <c r="E678" s="140"/>
      <c r="F678" s="159"/>
      <c r="G678" s="159"/>
      <c r="H678" s="159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</row>
    <row r="679">
      <c r="A679" s="140"/>
      <c r="B679" s="140"/>
      <c r="C679" s="140"/>
      <c r="D679" s="140"/>
      <c r="E679" s="140"/>
      <c r="F679" s="159"/>
      <c r="G679" s="159"/>
      <c r="H679" s="159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</row>
    <row r="680">
      <c r="A680" s="140"/>
      <c r="B680" s="140"/>
      <c r="C680" s="140"/>
      <c r="D680" s="140"/>
      <c r="E680" s="140"/>
      <c r="F680" s="159"/>
      <c r="G680" s="159"/>
      <c r="H680" s="159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</row>
    <row r="681">
      <c r="A681" s="140"/>
      <c r="B681" s="140"/>
      <c r="C681" s="140"/>
      <c r="D681" s="140"/>
      <c r="E681" s="140"/>
      <c r="F681" s="159"/>
      <c r="G681" s="159"/>
      <c r="H681" s="159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</row>
    <row r="682">
      <c r="A682" s="140"/>
      <c r="B682" s="140"/>
      <c r="C682" s="140"/>
      <c r="D682" s="140"/>
      <c r="E682" s="140"/>
      <c r="F682" s="159"/>
      <c r="G682" s="159"/>
      <c r="H682" s="159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</row>
    <row r="683">
      <c r="A683" s="140"/>
      <c r="B683" s="140"/>
      <c r="C683" s="140"/>
      <c r="D683" s="140"/>
      <c r="E683" s="140"/>
      <c r="F683" s="159"/>
      <c r="G683" s="159"/>
      <c r="H683" s="159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</row>
    <row r="684">
      <c r="A684" s="140"/>
      <c r="B684" s="140"/>
      <c r="C684" s="140"/>
      <c r="D684" s="140"/>
      <c r="E684" s="140"/>
      <c r="F684" s="159"/>
      <c r="G684" s="159"/>
      <c r="H684" s="159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</row>
    <row r="685">
      <c r="A685" s="140"/>
      <c r="B685" s="140"/>
      <c r="C685" s="140"/>
      <c r="D685" s="140"/>
      <c r="E685" s="140"/>
      <c r="F685" s="159"/>
      <c r="G685" s="159"/>
      <c r="H685" s="159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</row>
    <row r="686">
      <c r="A686" s="140"/>
      <c r="B686" s="140"/>
      <c r="C686" s="140"/>
      <c r="D686" s="140"/>
      <c r="E686" s="140"/>
      <c r="F686" s="159"/>
      <c r="G686" s="159"/>
      <c r="H686" s="159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</row>
    <row r="687">
      <c r="A687" s="140"/>
      <c r="B687" s="140"/>
      <c r="C687" s="140"/>
      <c r="D687" s="140"/>
      <c r="E687" s="140"/>
      <c r="F687" s="159"/>
      <c r="G687" s="159"/>
      <c r="H687" s="159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</row>
    <row r="688">
      <c r="A688" s="140"/>
      <c r="B688" s="140"/>
      <c r="C688" s="140"/>
      <c r="D688" s="140"/>
      <c r="E688" s="140"/>
      <c r="F688" s="159"/>
      <c r="G688" s="159"/>
      <c r="H688" s="159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</row>
    <row r="689">
      <c r="A689" s="140"/>
      <c r="B689" s="140"/>
      <c r="C689" s="140"/>
      <c r="D689" s="140"/>
      <c r="E689" s="140"/>
      <c r="F689" s="159"/>
      <c r="G689" s="159"/>
      <c r="H689" s="159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</row>
    <row r="690">
      <c r="A690" s="140"/>
      <c r="B690" s="140"/>
      <c r="C690" s="140"/>
      <c r="D690" s="140"/>
      <c r="E690" s="140"/>
      <c r="F690" s="159"/>
      <c r="G690" s="159"/>
      <c r="H690" s="159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</row>
    <row r="691">
      <c r="A691" s="140"/>
      <c r="B691" s="140"/>
      <c r="C691" s="140"/>
      <c r="D691" s="140"/>
      <c r="E691" s="140"/>
      <c r="F691" s="159"/>
      <c r="G691" s="159"/>
      <c r="H691" s="159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</row>
    <row r="692">
      <c r="A692" s="140"/>
      <c r="B692" s="140"/>
      <c r="C692" s="140"/>
      <c r="D692" s="140"/>
      <c r="E692" s="140"/>
      <c r="F692" s="159"/>
      <c r="G692" s="159"/>
      <c r="H692" s="159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</row>
    <row r="693">
      <c r="A693" s="140"/>
      <c r="B693" s="140"/>
      <c r="C693" s="140"/>
      <c r="D693" s="140"/>
      <c r="E693" s="140"/>
      <c r="F693" s="159"/>
      <c r="G693" s="159"/>
      <c r="H693" s="159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</row>
    <row r="694">
      <c r="A694" s="140"/>
      <c r="B694" s="140"/>
      <c r="C694" s="140"/>
      <c r="D694" s="140"/>
      <c r="E694" s="140"/>
      <c r="F694" s="159"/>
      <c r="G694" s="159"/>
      <c r="H694" s="159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</row>
    <row r="695">
      <c r="A695" s="140"/>
      <c r="B695" s="140"/>
      <c r="C695" s="140"/>
      <c r="D695" s="140"/>
      <c r="E695" s="140"/>
      <c r="F695" s="159"/>
      <c r="G695" s="159"/>
      <c r="H695" s="159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</row>
    <row r="696">
      <c r="A696" s="140"/>
      <c r="B696" s="140"/>
      <c r="C696" s="140"/>
      <c r="D696" s="140"/>
      <c r="E696" s="140"/>
      <c r="F696" s="159"/>
      <c r="G696" s="159"/>
      <c r="H696" s="159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</row>
    <row r="697">
      <c r="A697" s="140"/>
      <c r="B697" s="140"/>
      <c r="C697" s="140"/>
      <c r="D697" s="140"/>
      <c r="E697" s="140"/>
      <c r="F697" s="159"/>
      <c r="G697" s="159"/>
      <c r="H697" s="159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</row>
    <row r="698">
      <c r="A698" s="140"/>
      <c r="B698" s="140"/>
      <c r="C698" s="140"/>
      <c r="D698" s="140"/>
      <c r="E698" s="140"/>
      <c r="F698" s="159"/>
      <c r="G698" s="159"/>
      <c r="H698" s="159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</row>
    <row r="699">
      <c r="A699" s="140"/>
      <c r="B699" s="140"/>
      <c r="C699" s="140"/>
      <c r="D699" s="140"/>
      <c r="E699" s="140"/>
      <c r="F699" s="159"/>
      <c r="G699" s="159"/>
      <c r="H699" s="159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</row>
    <row r="700">
      <c r="A700" s="140"/>
      <c r="B700" s="140"/>
      <c r="C700" s="140"/>
      <c r="D700" s="140"/>
      <c r="E700" s="140"/>
      <c r="F700" s="159"/>
      <c r="G700" s="159"/>
      <c r="H700" s="159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</row>
    <row r="701">
      <c r="A701" s="140"/>
      <c r="B701" s="140"/>
      <c r="C701" s="140"/>
      <c r="D701" s="140"/>
      <c r="E701" s="140"/>
      <c r="F701" s="159"/>
      <c r="G701" s="159"/>
      <c r="H701" s="159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</row>
    <row r="702">
      <c r="A702" s="140"/>
      <c r="B702" s="140"/>
      <c r="C702" s="140"/>
      <c r="D702" s="140"/>
      <c r="E702" s="140"/>
      <c r="F702" s="159"/>
      <c r="G702" s="159"/>
      <c r="H702" s="159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</row>
    <row r="703">
      <c r="A703" s="140"/>
      <c r="B703" s="140"/>
      <c r="C703" s="140"/>
      <c r="D703" s="140"/>
      <c r="E703" s="140"/>
      <c r="F703" s="159"/>
      <c r="G703" s="159"/>
      <c r="H703" s="159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</row>
    <row r="704">
      <c r="A704" s="140"/>
      <c r="B704" s="140"/>
      <c r="C704" s="140"/>
      <c r="D704" s="140"/>
      <c r="E704" s="140"/>
      <c r="F704" s="159"/>
      <c r="G704" s="159"/>
      <c r="H704" s="159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</row>
    <row r="705">
      <c r="A705" s="140"/>
      <c r="B705" s="140"/>
      <c r="C705" s="140"/>
      <c r="D705" s="140"/>
      <c r="E705" s="140"/>
      <c r="F705" s="159"/>
      <c r="G705" s="159"/>
      <c r="H705" s="159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</row>
    <row r="706">
      <c r="A706" s="140"/>
      <c r="B706" s="140"/>
      <c r="C706" s="140"/>
      <c r="D706" s="140"/>
      <c r="E706" s="140"/>
      <c r="F706" s="159"/>
      <c r="G706" s="159"/>
      <c r="H706" s="159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</row>
    <row r="707">
      <c r="A707" s="140"/>
      <c r="B707" s="140"/>
      <c r="C707" s="140"/>
      <c r="D707" s="140"/>
      <c r="E707" s="140"/>
      <c r="F707" s="159"/>
      <c r="G707" s="159"/>
      <c r="H707" s="159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</row>
    <row r="708">
      <c r="A708" s="140"/>
      <c r="B708" s="140"/>
      <c r="C708" s="140"/>
      <c r="D708" s="140"/>
      <c r="E708" s="140"/>
      <c r="F708" s="159"/>
      <c r="G708" s="159"/>
      <c r="H708" s="159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</row>
    <row r="709">
      <c r="A709" s="140"/>
      <c r="B709" s="140"/>
      <c r="C709" s="140"/>
      <c r="D709" s="140"/>
      <c r="E709" s="140"/>
      <c r="F709" s="159"/>
      <c r="G709" s="159"/>
      <c r="H709" s="159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</row>
    <row r="710">
      <c r="A710" s="140"/>
      <c r="B710" s="140"/>
      <c r="C710" s="140"/>
      <c r="D710" s="140"/>
      <c r="E710" s="140"/>
      <c r="F710" s="159"/>
      <c r="G710" s="159"/>
      <c r="H710" s="159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</row>
    <row r="711">
      <c r="A711" s="140"/>
      <c r="B711" s="140"/>
      <c r="C711" s="140"/>
      <c r="D711" s="140"/>
      <c r="E711" s="140"/>
      <c r="F711" s="159"/>
      <c r="G711" s="159"/>
      <c r="H711" s="159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</row>
    <row r="712">
      <c r="A712" s="140"/>
      <c r="B712" s="140"/>
      <c r="C712" s="140"/>
      <c r="D712" s="140"/>
      <c r="E712" s="140"/>
      <c r="F712" s="159"/>
      <c r="G712" s="159"/>
      <c r="H712" s="159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</row>
    <row r="713">
      <c r="A713" s="140"/>
      <c r="B713" s="140"/>
      <c r="C713" s="140"/>
      <c r="D713" s="140"/>
      <c r="E713" s="140"/>
      <c r="F713" s="159"/>
      <c r="G713" s="159"/>
      <c r="H713" s="159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</row>
    <row r="714">
      <c r="A714" s="140"/>
      <c r="B714" s="140"/>
      <c r="C714" s="140"/>
      <c r="D714" s="140"/>
      <c r="E714" s="140"/>
      <c r="F714" s="159"/>
      <c r="G714" s="159"/>
      <c r="H714" s="159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</row>
    <row r="715">
      <c r="A715" s="140"/>
      <c r="B715" s="140"/>
      <c r="C715" s="140"/>
      <c r="D715" s="140"/>
      <c r="E715" s="140"/>
      <c r="F715" s="159"/>
      <c r="G715" s="159"/>
      <c r="H715" s="159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</row>
    <row r="716">
      <c r="A716" s="140"/>
      <c r="B716" s="140"/>
      <c r="C716" s="140"/>
      <c r="D716" s="140"/>
      <c r="E716" s="140"/>
      <c r="F716" s="159"/>
      <c r="G716" s="159"/>
      <c r="H716" s="159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</row>
    <row r="717">
      <c r="A717" s="140"/>
      <c r="B717" s="140"/>
      <c r="C717" s="140"/>
      <c r="D717" s="140"/>
      <c r="E717" s="140"/>
      <c r="F717" s="159"/>
      <c r="G717" s="159"/>
      <c r="H717" s="159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</row>
    <row r="718">
      <c r="A718" s="140"/>
      <c r="B718" s="140"/>
      <c r="C718" s="140"/>
      <c r="D718" s="140"/>
      <c r="E718" s="140"/>
      <c r="F718" s="159"/>
      <c r="G718" s="159"/>
      <c r="H718" s="159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</row>
    <row r="719">
      <c r="A719" s="140"/>
      <c r="B719" s="140"/>
      <c r="C719" s="140"/>
      <c r="D719" s="140"/>
      <c r="E719" s="140"/>
      <c r="F719" s="159"/>
      <c r="G719" s="159"/>
      <c r="H719" s="159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</row>
    <row r="720">
      <c r="A720" s="140"/>
      <c r="B720" s="140"/>
      <c r="C720" s="140"/>
      <c r="D720" s="140"/>
      <c r="E720" s="140"/>
      <c r="F720" s="159"/>
      <c r="G720" s="159"/>
      <c r="H720" s="159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</row>
    <row r="721">
      <c r="A721" s="140"/>
      <c r="B721" s="140"/>
      <c r="C721" s="140"/>
      <c r="D721" s="140"/>
      <c r="E721" s="140"/>
      <c r="F721" s="159"/>
      <c r="G721" s="159"/>
      <c r="H721" s="159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</row>
    <row r="722">
      <c r="A722" s="140"/>
      <c r="B722" s="140"/>
      <c r="C722" s="140"/>
      <c r="D722" s="140"/>
      <c r="E722" s="140"/>
      <c r="F722" s="159"/>
      <c r="G722" s="159"/>
      <c r="H722" s="159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</row>
    <row r="723">
      <c r="A723" s="140"/>
      <c r="B723" s="140"/>
      <c r="C723" s="140"/>
      <c r="D723" s="140"/>
      <c r="E723" s="140"/>
      <c r="F723" s="159"/>
      <c r="G723" s="159"/>
      <c r="H723" s="159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</row>
    <row r="724">
      <c r="A724" s="140"/>
      <c r="B724" s="140"/>
      <c r="C724" s="140"/>
      <c r="D724" s="140"/>
      <c r="E724" s="140"/>
      <c r="F724" s="159"/>
      <c r="G724" s="159"/>
      <c r="H724" s="159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</row>
    <row r="725">
      <c r="A725" s="140"/>
      <c r="B725" s="140"/>
      <c r="C725" s="140"/>
      <c r="D725" s="140"/>
      <c r="E725" s="140"/>
      <c r="F725" s="159"/>
      <c r="G725" s="159"/>
      <c r="H725" s="159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</row>
    <row r="726">
      <c r="A726" s="140"/>
      <c r="B726" s="140"/>
      <c r="C726" s="140"/>
      <c r="D726" s="140"/>
      <c r="E726" s="140"/>
      <c r="F726" s="159"/>
      <c r="G726" s="159"/>
      <c r="H726" s="159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</row>
    <row r="727">
      <c r="A727" s="140"/>
      <c r="B727" s="140"/>
      <c r="C727" s="140"/>
      <c r="D727" s="140"/>
      <c r="E727" s="140"/>
      <c r="F727" s="159"/>
      <c r="G727" s="159"/>
      <c r="H727" s="159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</row>
    <row r="728">
      <c r="A728" s="140"/>
      <c r="B728" s="140"/>
      <c r="C728" s="140"/>
      <c r="D728" s="140"/>
      <c r="E728" s="140"/>
      <c r="F728" s="159"/>
      <c r="G728" s="159"/>
      <c r="H728" s="159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</row>
    <row r="729">
      <c r="A729" s="140"/>
      <c r="B729" s="140"/>
      <c r="C729" s="140"/>
      <c r="D729" s="140"/>
      <c r="E729" s="140"/>
      <c r="F729" s="159"/>
      <c r="G729" s="159"/>
      <c r="H729" s="159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</row>
    <row r="730">
      <c r="A730" s="140"/>
      <c r="B730" s="140"/>
      <c r="C730" s="140"/>
      <c r="D730" s="140"/>
      <c r="E730" s="140"/>
      <c r="F730" s="159"/>
      <c r="G730" s="159"/>
      <c r="H730" s="159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</row>
    <row r="731">
      <c r="A731" s="140"/>
      <c r="B731" s="140"/>
      <c r="C731" s="140"/>
      <c r="D731" s="140"/>
      <c r="E731" s="140"/>
      <c r="F731" s="159"/>
      <c r="G731" s="159"/>
      <c r="H731" s="159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</row>
    <row r="732">
      <c r="A732" s="140"/>
      <c r="B732" s="140"/>
      <c r="C732" s="140"/>
      <c r="D732" s="140"/>
      <c r="E732" s="140"/>
      <c r="F732" s="159"/>
      <c r="G732" s="159"/>
      <c r="H732" s="159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</row>
    <row r="733">
      <c r="A733" s="140"/>
      <c r="B733" s="140"/>
      <c r="C733" s="140"/>
      <c r="D733" s="140"/>
      <c r="E733" s="140"/>
      <c r="F733" s="159"/>
      <c r="G733" s="159"/>
      <c r="H733" s="159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</row>
    <row r="734">
      <c r="A734" s="140"/>
      <c r="B734" s="140"/>
      <c r="C734" s="140"/>
      <c r="D734" s="140"/>
      <c r="E734" s="140"/>
      <c r="F734" s="159"/>
      <c r="G734" s="159"/>
      <c r="H734" s="159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</row>
    <row r="735">
      <c r="A735" s="140"/>
      <c r="B735" s="140"/>
      <c r="C735" s="140"/>
      <c r="D735" s="140"/>
      <c r="E735" s="140"/>
      <c r="F735" s="159"/>
      <c r="G735" s="159"/>
      <c r="H735" s="159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</row>
    <row r="736">
      <c r="A736" s="140"/>
      <c r="B736" s="140"/>
      <c r="C736" s="140"/>
      <c r="D736" s="140"/>
      <c r="E736" s="140"/>
      <c r="F736" s="159"/>
      <c r="G736" s="159"/>
      <c r="H736" s="159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</row>
    <row r="737">
      <c r="A737" s="140"/>
      <c r="B737" s="140"/>
      <c r="C737" s="140"/>
      <c r="D737" s="140"/>
      <c r="E737" s="140"/>
      <c r="F737" s="159"/>
      <c r="G737" s="159"/>
      <c r="H737" s="159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</row>
    <row r="738">
      <c r="A738" s="140"/>
      <c r="B738" s="140"/>
      <c r="C738" s="140"/>
      <c r="D738" s="140"/>
      <c r="E738" s="140"/>
      <c r="F738" s="159"/>
      <c r="G738" s="159"/>
      <c r="H738" s="159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</row>
    <row r="739">
      <c r="A739" s="140"/>
      <c r="B739" s="140"/>
      <c r="C739" s="140"/>
      <c r="D739" s="140"/>
      <c r="E739" s="140"/>
      <c r="F739" s="159"/>
      <c r="G739" s="159"/>
      <c r="H739" s="159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</row>
    <row r="740">
      <c r="A740" s="140"/>
      <c r="B740" s="140"/>
      <c r="C740" s="140"/>
      <c r="D740" s="140"/>
      <c r="E740" s="140"/>
      <c r="F740" s="159"/>
      <c r="G740" s="159"/>
      <c r="H740" s="159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</row>
    <row r="741">
      <c r="A741" s="140"/>
      <c r="B741" s="140"/>
      <c r="C741" s="140"/>
      <c r="D741" s="140"/>
      <c r="E741" s="140"/>
      <c r="F741" s="159"/>
      <c r="G741" s="159"/>
      <c r="H741" s="159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</row>
    <row r="742">
      <c r="A742" s="140"/>
      <c r="B742" s="140"/>
      <c r="C742" s="140"/>
      <c r="D742" s="140"/>
      <c r="E742" s="140"/>
      <c r="F742" s="159"/>
      <c r="G742" s="159"/>
      <c r="H742" s="159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</row>
    <row r="743">
      <c r="A743" s="140"/>
      <c r="B743" s="140"/>
      <c r="C743" s="140"/>
      <c r="D743" s="140"/>
      <c r="E743" s="140"/>
      <c r="F743" s="159"/>
      <c r="G743" s="159"/>
      <c r="H743" s="159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</row>
    <row r="744">
      <c r="A744" s="140"/>
      <c r="B744" s="140"/>
      <c r="C744" s="140"/>
      <c r="D744" s="140"/>
      <c r="E744" s="140"/>
      <c r="F744" s="159"/>
      <c r="G744" s="159"/>
      <c r="H744" s="159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</row>
    <row r="745">
      <c r="A745" s="140"/>
      <c r="B745" s="140"/>
      <c r="C745" s="140"/>
      <c r="D745" s="140"/>
      <c r="E745" s="140"/>
      <c r="F745" s="159"/>
      <c r="G745" s="159"/>
      <c r="H745" s="159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</row>
    <row r="746">
      <c r="A746" s="140"/>
      <c r="B746" s="140"/>
      <c r="C746" s="140"/>
      <c r="D746" s="140"/>
      <c r="E746" s="140"/>
      <c r="F746" s="159"/>
      <c r="G746" s="159"/>
      <c r="H746" s="159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</row>
    <row r="747">
      <c r="A747" s="140"/>
      <c r="B747" s="140"/>
      <c r="C747" s="140"/>
      <c r="D747" s="140"/>
      <c r="E747" s="140"/>
      <c r="F747" s="159"/>
      <c r="G747" s="159"/>
      <c r="H747" s="159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</row>
    <row r="748">
      <c r="A748" s="140"/>
      <c r="B748" s="140"/>
      <c r="C748" s="140"/>
      <c r="D748" s="140"/>
      <c r="E748" s="140"/>
      <c r="F748" s="159"/>
      <c r="G748" s="159"/>
      <c r="H748" s="159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</row>
    <row r="749">
      <c r="A749" s="140"/>
      <c r="B749" s="140"/>
      <c r="C749" s="140"/>
      <c r="D749" s="140"/>
      <c r="E749" s="140"/>
      <c r="F749" s="159"/>
      <c r="G749" s="159"/>
      <c r="H749" s="159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</row>
    <row r="750">
      <c r="A750" s="140"/>
      <c r="B750" s="140"/>
      <c r="C750" s="140"/>
      <c r="D750" s="140"/>
      <c r="E750" s="140"/>
      <c r="F750" s="159"/>
      <c r="G750" s="159"/>
      <c r="H750" s="159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</row>
    <row r="751">
      <c r="A751" s="140"/>
      <c r="B751" s="140"/>
      <c r="C751" s="140"/>
      <c r="D751" s="140"/>
      <c r="E751" s="140"/>
      <c r="F751" s="159"/>
      <c r="G751" s="159"/>
      <c r="H751" s="159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</row>
    <row r="752">
      <c r="A752" s="140"/>
      <c r="B752" s="140"/>
      <c r="C752" s="140"/>
      <c r="D752" s="140"/>
      <c r="E752" s="140"/>
      <c r="F752" s="159"/>
      <c r="G752" s="159"/>
      <c r="H752" s="159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</row>
    <row r="753">
      <c r="A753" s="140"/>
      <c r="B753" s="140"/>
      <c r="C753" s="140"/>
      <c r="D753" s="140"/>
      <c r="E753" s="140"/>
      <c r="F753" s="159"/>
      <c r="G753" s="159"/>
      <c r="H753" s="159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</row>
    <row r="754">
      <c r="A754" s="140"/>
      <c r="B754" s="140"/>
      <c r="C754" s="140"/>
      <c r="D754" s="140"/>
      <c r="E754" s="140"/>
      <c r="F754" s="159"/>
      <c r="G754" s="159"/>
      <c r="H754" s="159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</row>
    <row r="755">
      <c r="A755" s="140"/>
      <c r="B755" s="140"/>
      <c r="C755" s="140"/>
      <c r="D755" s="140"/>
      <c r="E755" s="140"/>
      <c r="F755" s="159"/>
      <c r="G755" s="159"/>
      <c r="H755" s="159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</row>
    <row r="756">
      <c r="A756" s="140"/>
      <c r="B756" s="140"/>
      <c r="C756" s="140"/>
      <c r="D756" s="140"/>
      <c r="E756" s="140"/>
      <c r="F756" s="159"/>
      <c r="G756" s="159"/>
      <c r="H756" s="159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</row>
    <row r="757">
      <c r="A757" s="140"/>
      <c r="B757" s="140"/>
      <c r="C757" s="140"/>
      <c r="D757" s="140"/>
      <c r="E757" s="140"/>
      <c r="F757" s="159"/>
      <c r="G757" s="159"/>
      <c r="H757" s="159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</row>
    <row r="758">
      <c r="A758" s="140"/>
      <c r="B758" s="140"/>
      <c r="C758" s="140"/>
      <c r="D758" s="140"/>
      <c r="E758" s="140"/>
      <c r="F758" s="159"/>
      <c r="G758" s="159"/>
      <c r="H758" s="159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</row>
    <row r="759">
      <c r="A759" s="140"/>
      <c r="B759" s="140"/>
      <c r="C759" s="140"/>
      <c r="D759" s="140"/>
      <c r="E759" s="140"/>
      <c r="F759" s="159"/>
      <c r="G759" s="159"/>
      <c r="H759" s="159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</row>
    <row r="760">
      <c r="A760" s="140"/>
      <c r="B760" s="140"/>
      <c r="C760" s="140"/>
      <c r="D760" s="140"/>
      <c r="E760" s="140"/>
      <c r="F760" s="159"/>
      <c r="G760" s="159"/>
      <c r="H760" s="159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</row>
    <row r="761">
      <c r="A761" s="140"/>
      <c r="B761" s="140"/>
      <c r="C761" s="140"/>
      <c r="D761" s="140"/>
      <c r="E761" s="140"/>
      <c r="F761" s="159"/>
      <c r="G761" s="159"/>
      <c r="H761" s="159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</row>
    <row r="762">
      <c r="A762" s="140"/>
      <c r="B762" s="140"/>
      <c r="C762" s="140"/>
      <c r="D762" s="140"/>
      <c r="E762" s="140"/>
      <c r="F762" s="159"/>
      <c r="G762" s="159"/>
      <c r="H762" s="159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</row>
    <row r="763">
      <c r="A763" s="140"/>
      <c r="B763" s="140"/>
      <c r="C763" s="140"/>
      <c r="D763" s="140"/>
      <c r="E763" s="140"/>
      <c r="F763" s="159"/>
      <c r="G763" s="159"/>
      <c r="H763" s="159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</row>
    <row r="764">
      <c r="A764" s="140"/>
      <c r="B764" s="140"/>
      <c r="C764" s="140"/>
      <c r="D764" s="140"/>
      <c r="E764" s="140"/>
      <c r="F764" s="159"/>
      <c r="G764" s="159"/>
      <c r="H764" s="159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</row>
    <row r="765">
      <c r="A765" s="140"/>
      <c r="B765" s="140"/>
      <c r="C765" s="140"/>
      <c r="D765" s="140"/>
      <c r="E765" s="140"/>
      <c r="F765" s="159"/>
      <c r="G765" s="159"/>
      <c r="H765" s="159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</row>
    <row r="766">
      <c r="A766" s="140"/>
      <c r="B766" s="140"/>
      <c r="C766" s="140"/>
      <c r="D766" s="140"/>
      <c r="E766" s="140"/>
      <c r="F766" s="159"/>
      <c r="G766" s="159"/>
      <c r="H766" s="159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</row>
    <row r="767">
      <c r="A767" s="140"/>
      <c r="B767" s="140"/>
      <c r="C767" s="140"/>
      <c r="D767" s="140"/>
      <c r="E767" s="140"/>
      <c r="F767" s="159"/>
      <c r="G767" s="159"/>
      <c r="H767" s="159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</row>
    <row r="768">
      <c r="A768" s="140"/>
      <c r="B768" s="140"/>
      <c r="C768" s="140"/>
      <c r="D768" s="140"/>
      <c r="E768" s="140"/>
      <c r="F768" s="159"/>
      <c r="G768" s="159"/>
      <c r="H768" s="159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</row>
    <row r="769">
      <c r="A769" s="140"/>
      <c r="B769" s="140"/>
      <c r="C769" s="140"/>
      <c r="D769" s="140"/>
      <c r="E769" s="140"/>
      <c r="F769" s="159"/>
      <c r="G769" s="159"/>
      <c r="H769" s="159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</row>
    <row r="770">
      <c r="A770" s="140"/>
      <c r="B770" s="140"/>
      <c r="C770" s="140"/>
      <c r="D770" s="140"/>
      <c r="E770" s="140"/>
      <c r="F770" s="159"/>
      <c r="G770" s="159"/>
      <c r="H770" s="159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</row>
    <row r="771">
      <c r="A771" s="140"/>
      <c r="B771" s="140"/>
      <c r="C771" s="140"/>
      <c r="D771" s="140"/>
      <c r="E771" s="140"/>
      <c r="F771" s="159"/>
      <c r="G771" s="159"/>
      <c r="H771" s="159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</row>
    <row r="772">
      <c r="A772" s="140"/>
      <c r="B772" s="140"/>
      <c r="C772" s="140"/>
      <c r="D772" s="140"/>
      <c r="E772" s="140"/>
      <c r="F772" s="159"/>
      <c r="G772" s="159"/>
      <c r="H772" s="159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</row>
    <row r="773">
      <c r="A773" s="140"/>
      <c r="B773" s="140"/>
      <c r="C773" s="140"/>
      <c r="D773" s="140"/>
      <c r="E773" s="140"/>
      <c r="F773" s="159"/>
      <c r="G773" s="159"/>
      <c r="H773" s="159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</row>
    <row r="774">
      <c r="A774" s="140"/>
      <c r="B774" s="140"/>
      <c r="C774" s="140"/>
      <c r="D774" s="140"/>
      <c r="E774" s="140"/>
      <c r="F774" s="159"/>
      <c r="G774" s="159"/>
      <c r="H774" s="159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</row>
    <row r="775">
      <c r="A775" s="140"/>
      <c r="B775" s="140"/>
      <c r="C775" s="140"/>
      <c r="D775" s="140"/>
      <c r="E775" s="140"/>
      <c r="F775" s="159"/>
      <c r="G775" s="159"/>
      <c r="H775" s="159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</row>
    <row r="776">
      <c r="A776" s="140"/>
      <c r="B776" s="140"/>
      <c r="C776" s="140"/>
      <c r="D776" s="140"/>
      <c r="E776" s="140"/>
      <c r="F776" s="159"/>
      <c r="G776" s="159"/>
      <c r="H776" s="159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</row>
    <row r="777">
      <c r="A777" s="140"/>
      <c r="B777" s="140"/>
      <c r="C777" s="140"/>
      <c r="D777" s="140"/>
      <c r="E777" s="140"/>
      <c r="F777" s="159"/>
      <c r="G777" s="159"/>
      <c r="H777" s="159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</row>
    <row r="778">
      <c r="A778" s="140"/>
      <c r="B778" s="140"/>
      <c r="C778" s="140"/>
      <c r="D778" s="140"/>
      <c r="E778" s="140"/>
      <c r="F778" s="159"/>
      <c r="G778" s="159"/>
      <c r="H778" s="159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</row>
    <row r="779">
      <c r="A779" s="140"/>
      <c r="B779" s="140"/>
      <c r="C779" s="140"/>
      <c r="D779" s="140"/>
      <c r="E779" s="140"/>
      <c r="F779" s="159"/>
      <c r="G779" s="159"/>
      <c r="H779" s="159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</row>
    <row r="780">
      <c r="A780" s="140"/>
      <c r="B780" s="140"/>
      <c r="C780" s="140"/>
      <c r="D780" s="140"/>
      <c r="E780" s="140"/>
      <c r="F780" s="159"/>
      <c r="G780" s="159"/>
      <c r="H780" s="159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</row>
    <row r="781">
      <c r="A781" s="140"/>
      <c r="B781" s="140"/>
      <c r="C781" s="140"/>
      <c r="D781" s="140"/>
      <c r="E781" s="140"/>
      <c r="F781" s="159"/>
      <c r="G781" s="159"/>
      <c r="H781" s="159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</row>
    <row r="782">
      <c r="A782" s="140"/>
      <c r="B782" s="140"/>
      <c r="C782" s="140"/>
      <c r="D782" s="140"/>
      <c r="E782" s="140"/>
      <c r="F782" s="159"/>
      <c r="G782" s="159"/>
      <c r="H782" s="159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</row>
    <row r="783">
      <c r="A783" s="140"/>
      <c r="B783" s="140"/>
      <c r="C783" s="140"/>
      <c r="D783" s="140"/>
      <c r="E783" s="140"/>
      <c r="F783" s="159"/>
      <c r="G783" s="159"/>
      <c r="H783" s="159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</row>
    <row r="784">
      <c r="A784" s="140"/>
      <c r="B784" s="140"/>
      <c r="C784" s="140"/>
      <c r="D784" s="140"/>
      <c r="E784" s="140"/>
      <c r="F784" s="159"/>
      <c r="G784" s="159"/>
      <c r="H784" s="159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</row>
    <row r="785">
      <c r="A785" s="140"/>
      <c r="B785" s="140"/>
      <c r="C785" s="140"/>
      <c r="D785" s="140"/>
      <c r="E785" s="140"/>
      <c r="F785" s="159"/>
      <c r="G785" s="159"/>
      <c r="H785" s="159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</row>
    <row r="786">
      <c r="A786" s="140"/>
      <c r="B786" s="140"/>
      <c r="C786" s="140"/>
      <c r="D786" s="140"/>
      <c r="E786" s="140"/>
      <c r="F786" s="159"/>
      <c r="G786" s="159"/>
      <c r="H786" s="159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</row>
    <row r="787">
      <c r="A787" s="140"/>
      <c r="B787" s="140"/>
      <c r="C787" s="140"/>
      <c r="D787" s="140"/>
      <c r="E787" s="140"/>
      <c r="F787" s="159"/>
      <c r="G787" s="159"/>
      <c r="H787" s="159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</row>
    <row r="788">
      <c r="A788" s="140"/>
      <c r="B788" s="140"/>
      <c r="C788" s="140"/>
      <c r="D788" s="140"/>
      <c r="E788" s="140"/>
      <c r="F788" s="159"/>
      <c r="G788" s="159"/>
      <c r="H788" s="159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</row>
    <row r="789">
      <c r="A789" s="140"/>
      <c r="B789" s="140"/>
      <c r="C789" s="140"/>
      <c r="D789" s="140"/>
      <c r="E789" s="140"/>
      <c r="F789" s="159"/>
      <c r="G789" s="159"/>
      <c r="H789" s="159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</row>
    <row r="790">
      <c r="A790" s="140"/>
      <c r="B790" s="140"/>
      <c r="C790" s="140"/>
      <c r="D790" s="140"/>
      <c r="E790" s="140"/>
      <c r="F790" s="159"/>
      <c r="G790" s="159"/>
      <c r="H790" s="159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</row>
    <row r="791">
      <c r="A791" s="140"/>
      <c r="B791" s="140"/>
      <c r="C791" s="140"/>
      <c r="D791" s="140"/>
      <c r="E791" s="140"/>
      <c r="F791" s="159"/>
      <c r="G791" s="159"/>
      <c r="H791" s="159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</row>
    <row r="792">
      <c r="A792" s="140"/>
      <c r="B792" s="140"/>
      <c r="C792" s="140"/>
      <c r="D792" s="140"/>
      <c r="E792" s="140"/>
      <c r="F792" s="159"/>
      <c r="G792" s="159"/>
      <c r="H792" s="159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</row>
    <row r="793">
      <c r="A793" s="140"/>
      <c r="B793" s="140"/>
      <c r="C793" s="140"/>
      <c r="D793" s="140"/>
      <c r="E793" s="140"/>
      <c r="F793" s="159"/>
      <c r="G793" s="159"/>
      <c r="H793" s="159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</row>
    <row r="794">
      <c r="A794" s="140"/>
      <c r="B794" s="140"/>
      <c r="C794" s="140"/>
      <c r="D794" s="140"/>
      <c r="E794" s="140"/>
      <c r="F794" s="159"/>
      <c r="G794" s="159"/>
      <c r="H794" s="159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</row>
    <row r="795">
      <c r="A795" s="140"/>
      <c r="B795" s="140"/>
      <c r="C795" s="140"/>
      <c r="D795" s="140"/>
      <c r="E795" s="140"/>
      <c r="F795" s="159"/>
      <c r="G795" s="159"/>
      <c r="H795" s="159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</row>
    <row r="796">
      <c r="A796" s="140"/>
      <c r="B796" s="140"/>
      <c r="C796" s="140"/>
      <c r="D796" s="140"/>
      <c r="E796" s="140"/>
      <c r="F796" s="159"/>
      <c r="G796" s="159"/>
      <c r="H796" s="159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</row>
    <row r="797">
      <c r="A797" s="140"/>
      <c r="B797" s="140"/>
      <c r="C797" s="140"/>
      <c r="D797" s="140"/>
      <c r="E797" s="140"/>
      <c r="F797" s="159"/>
      <c r="G797" s="159"/>
      <c r="H797" s="159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</row>
    <row r="798">
      <c r="A798" s="140"/>
      <c r="B798" s="140"/>
      <c r="C798" s="140"/>
      <c r="D798" s="140"/>
      <c r="E798" s="140"/>
      <c r="F798" s="159"/>
      <c r="G798" s="159"/>
      <c r="H798" s="159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</row>
    <row r="799">
      <c r="A799" s="140"/>
      <c r="B799" s="140"/>
      <c r="C799" s="140"/>
      <c r="D799" s="140"/>
      <c r="E799" s="140"/>
      <c r="F799" s="159"/>
      <c r="G799" s="159"/>
      <c r="H799" s="159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</row>
    <row r="800">
      <c r="A800" s="140"/>
      <c r="B800" s="140"/>
      <c r="C800" s="140"/>
      <c r="D800" s="140"/>
      <c r="E800" s="140"/>
      <c r="F800" s="159"/>
      <c r="G800" s="159"/>
      <c r="H800" s="159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</row>
    <row r="801">
      <c r="A801" s="140"/>
      <c r="B801" s="140"/>
      <c r="C801" s="140"/>
      <c r="D801" s="140"/>
      <c r="E801" s="140"/>
      <c r="F801" s="159"/>
      <c r="G801" s="159"/>
      <c r="H801" s="159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</row>
    <row r="802">
      <c r="A802" s="140"/>
      <c r="B802" s="140"/>
      <c r="C802" s="140"/>
      <c r="D802" s="140"/>
      <c r="E802" s="140"/>
      <c r="F802" s="159"/>
      <c r="G802" s="159"/>
      <c r="H802" s="159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</row>
    <row r="803">
      <c r="A803" s="140"/>
      <c r="B803" s="140"/>
      <c r="C803" s="140"/>
      <c r="D803" s="140"/>
      <c r="E803" s="140"/>
      <c r="F803" s="159"/>
      <c r="G803" s="159"/>
      <c r="H803" s="159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</row>
    <row r="804">
      <c r="A804" s="140"/>
      <c r="B804" s="140"/>
      <c r="C804" s="140"/>
      <c r="D804" s="140"/>
      <c r="E804" s="140"/>
      <c r="F804" s="159"/>
      <c r="G804" s="159"/>
      <c r="H804" s="159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</row>
    <row r="805">
      <c r="A805" s="140"/>
      <c r="B805" s="140"/>
      <c r="C805" s="140"/>
      <c r="D805" s="140"/>
      <c r="E805" s="140"/>
      <c r="F805" s="159"/>
      <c r="G805" s="159"/>
      <c r="H805" s="159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</row>
    <row r="806">
      <c r="A806" s="140"/>
      <c r="B806" s="140"/>
      <c r="C806" s="140"/>
      <c r="D806" s="140"/>
      <c r="E806" s="140"/>
      <c r="F806" s="159"/>
      <c r="G806" s="159"/>
      <c r="H806" s="159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</row>
    <row r="807">
      <c r="A807" s="140"/>
      <c r="B807" s="140"/>
      <c r="C807" s="140"/>
      <c r="D807" s="140"/>
      <c r="E807" s="140"/>
      <c r="F807" s="159"/>
      <c r="G807" s="159"/>
      <c r="H807" s="159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</row>
    <row r="808">
      <c r="A808" s="140"/>
      <c r="B808" s="140"/>
      <c r="C808" s="140"/>
      <c r="D808" s="140"/>
      <c r="E808" s="140"/>
      <c r="F808" s="159"/>
      <c r="G808" s="159"/>
      <c r="H808" s="159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</row>
    <row r="809">
      <c r="A809" s="140"/>
      <c r="B809" s="140"/>
      <c r="C809" s="140"/>
      <c r="D809" s="140"/>
      <c r="E809" s="140"/>
      <c r="F809" s="159"/>
      <c r="G809" s="159"/>
      <c r="H809" s="159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</row>
    <row r="810">
      <c r="A810" s="140"/>
      <c r="B810" s="140"/>
      <c r="C810" s="140"/>
      <c r="D810" s="140"/>
      <c r="E810" s="140"/>
      <c r="F810" s="159"/>
      <c r="G810" s="159"/>
      <c r="H810" s="159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</row>
    <row r="811">
      <c r="A811" s="140"/>
      <c r="B811" s="140"/>
      <c r="C811" s="140"/>
      <c r="D811" s="140"/>
      <c r="E811" s="140"/>
      <c r="F811" s="159"/>
      <c r="G811" s="159"/>
      <c r="H811" s="159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</row>
    <row r="812">
      <c r="A812" s="140"/>
      <c r="B812" s="140"/>
      <c r="C812" s="140"/>
      <c r="D812" s="140"/>
      <c r="E812" s="140"/>
      <c r="F812" s="159"/>
      <c r="G812" s="159"/>
      <c r="H812" s="159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</row>
    <row r="813">
      <c r="A813" s="140"/>
      <c r="B813" s="140"/>
      <c r="C813" s="140"/>
      <c r="D813" s="140"/>
      <c r="E813" s="140"/>
      <c r="F813" s="159"/>
      <c r="G813" s="159"/>
      <c r="H813" s="159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</row>
    <row r="814">
      <c r="A814" s="140"/>
      <c r="B814" s="140"/>
      <c r="C814" s="140"/>
      <c r="D814" s="140"/>
      <c r="E814" s="140"/>
      <c r="F814" s="159"/>
      <c r="G814" s="159"/>
      <c r="H814" s="159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</row>
    <row r="815">
      <c r="A815" s="140"/>
      <c r="B815" s="140"/>
      <c r="C815" s="140"/>
      <c r="D815" s="140"/>
      <c r="E815" s="140"/>
      <c r="F815" s="159"/>
      <c r="G815" s="159"/>
      <c r="H815" s="159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</row>
    <row r="816">
      <c r="A816" s="140"/>
      <c r="B816" s="140"/>
      <c r="C816" s="140"/>
      <c r="D816" s="140"/>
      <c r="E816" s="140"/>
      <c r="F816" s="159"/>
      <c r="G816" s="159"/>
      <c r="H816" s="159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</row>
    <row r="817">
      <c r="A817" s="140"/>
      <c r="B817" s="140"/>
      <c r="C817" s="140"/>
      <c r="D817" s="140"/>
      <c r="E817" s="140"/>
      <c r="F817" s="159"/>
      <c r="G817" s="159"/>
      <c r="H817" s="159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</row>
    <row r="818">
      <c r="A818" s="140"/>
      <c r="B818" s="140"/>
      <c r="C818" s="140"/>
      <c r="D818" s="140"/>
      <c r="E818" s="140"/>
      <c r="F818" s="159"/>
      <c r="G818" s="159"/>
      <c r="H818" s="159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</row>
    <row r="819">
      <c r="A819" s="140"/>
      <c r="B819" s="140"/>
      <c r="C819" s="140"/>
      <c r="D819" s="140"/>
      <c r="E819" s="140"/>
      <c r="F819" s="159"/>
      <c r="G819" s="159"/>
      <c r="H819" s="159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</row>
    <row r="820">
      <c r="A820" s="140"/>
      <c r="B820" s="140"/>
      <c r="C820" s="140"/>
      <c r="D820" s="140"/>
      <c r="E820" s="140"/>
      <c r="F820" s="159"/>
      <c r="G820" s="159"/>
      <c r="H820" s="159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</row>
    <row r="821">
      <c r="A821" s="140"/>
      <c r="B821" s="140"/>
      <c r="C821" s="140"/>
      <c r="D821" s="140"/>
      <c r="E821" s="140"/>
      <c r="F821" s="159"/>
      <c r="G821" s="159"/>
      <c r="H821" s="159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</row>
    <row r="822">
      <c r="A822" s="140"/>
      <c r="B822" s="140"/>
      <c r="C822" s="140"/>
      <c r="D822" s="140"/>
      <c r="E822" s="140"/>
      <c r="F822" s="159"/>
      <c r="G822" s="159"/>
      <c r="H822" s="159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</row>
    <row r="823">
      <c r="A823" s="140"/>
      <c r="B823" s="140"/>
      <c r="C823" s="140"/>
      <c r="D823" s="140"/>
      <c r="E823" s="140"/>
      <c r="F823" s="159"/>
      <c r="G823" s="159"/>
      <c r="H823" s="159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</row>
    <row r="824">
      <c r="A824" s="140"/>
      <c r="B824" s="140"/>
      <c r="C824" s="140"/>
      <c r="D824" s="140"/>
      <c r="E824" s="140"/>
      <c r="F824" s="159"/>
      <c r="G824" s="159"/>
      <c r="H824" s="159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</row>
    <row r="825">
      <c r="A825" s="140"/>
      <c r="B825" s="140"/>
      <c r="C825" s="140"/>
      <c r="D825" s="140"/>
      <c r="E825" s="140"/>
      <c r="F825" s="159"/>
      <c r="G825" s="159"/>
      <c r="H825" s="159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</row>
    <row r="826">
      <c r="A826" s="140"/>
      <c r="B826" s="140"/>
      <c r="C826" s="140"/>
      <c r="D826" s="140"/>
      <c r="E826" s="140"/>
      <c r="F826" s="159"/>
      <c r="G826" s="159"/>
      <c r="H826" s="159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</row>
    <row r="827">
      <c r="A827" s="140"/>
      <c r="B827" s="140"/>
      <c r="C827" s="140"/>
      <c r="D827" s="140"/>
      <c r="E827" s="140"/>
      <c r="F827" s="159"/>
      <c r="G827" s="159"/>
      <c r="H827" s="159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</row>
    <row r="828">
      <c r="A828" s="140"/>
      <c r="B828" s="140"/>
      <c r="C828" s="140"/>
      <c r="D828" s="140"/>
      <c r="E828" s="140"/>
      <c r="F828" s="159"/>
      <c r="G828" s="159"/>
      <c r="H828" s="159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</row>
    <row r="829">
      <c r="A829" s="140"/>
      <c r="B829" s="140"/>
      <c r="C829" s="140"/>
      <c r="D829" s="140"/>
      <c r="E829" s="140"/>
      <c r="F829" s="159"/>
      <c r="G829" s="159"/>
      <c r="H829" s="159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</row>
    <row r="830">
      <c r="A830" s="140"/>
      <c r="B830" s="140"/>
      <c r="C830" s="140"/>
      <c r="D830" s="140"/>
      <c r="E830" s="140"/>
      <c r="F830" s="159"/>
      <c r="G830" s="159"/>
      <c r="H830" s="159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</row>
    <row r="831">
      <c r="A831" s="140"/>
      <c r="B831" s="140"/>
      <c r="C831" s="140"/>
      <c r="D831" s="140"/>
      <c r="E831" s="140"/>
      <c r="F831" s="159"/>
      <c r="G831" s="159"/>
      <c r="H831" s="159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</row>
    <row r="832">
      <c r="A832" s="140"/>
      <c r="B832" s="140"/>
      <c r="C832" s="140"/>
      <c r="D832" s="140"/>
      <c r="E832" s="140"/>
      <c r="F832" s="159"/>
      <c r="G832" s="159"/>
      <c r="H832" s="159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</row>
    <row r="833">
      <c r="A833" s="140"/>
      <c r="B833" s="140"/>
      <c r="C833" s="140"/>
      <c r="D833" s="140"/>
      <c r="E833" s="140"/>
      <c r="F833" s="159"/>
      <c r="G833" s="159"/>
      <c r="H833" s="159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</row>
    <row r="834">
      <c r="A834" s="140"/>
      <c r="B834" s="140"/>
      <c r="C834" s="140"/>
      <c r="D834" s="140"/>
      <c r="E834" s="140"/>
      <c r="F834" s="159"/>
      <c r="G834" s="159"/>
      <c r="H834" s="159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</row>
    <row r="835">
      <c r="A835" s="140"/>
      <c r="B835" s="140"/>
      <c r="C835" s="140"/>
      <c r="D835" s="140"/>
      <c r="E835" s="140"/>
      <c r="F835" s="159"/>
      <c r="G835" s="159"/>
      <c r="H835" s="159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</row>
    <row r="836">
      <c r="A836" s="140"/>
      <c r="B836" s="140"/>
      <c r="C836" s="140"/>
      <c r="D836" s="140"/>
      <c r="E836" s="140"/>
      <c r="F836" s="159"/>
      <c r="G836" s="159"/>
      <c r="H836" s="159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</row>
    <row r="837">
      <c r="A837" s="140"/>
      <c r="B837" s="140"/>
      <c r="C837" s="140"/>
      <c r="D837" s="140"/>
      <c r="E837" s="140"/>
      <c r="F837" s="159"/>
      <c r="G837" s="159"/>
      <c r="H837" s="159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</row>
    <row r="838">
      <c r="A838" s="140"/>
      <c r="B838" s="140"/>
      <c r="C838" s="140"/>
      <c r="D838" s="140"/>
      <c r="E838" s="140"/>
      <c r="F838" s="159"/>
      <c r="G838" s="159"/>
      <c r="H838" s="159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</row>
    <row r="839">
      <c r="A839" s="140"/>
      <c r="B839" s="140"/>
      <c r="C839" s="140"/>
      <c r="D839" s="140"/>
      <c r="E839" s="140"/>
      <c r="F839" s="159"/>
      <c r="G839" s="159"/>
      <c r="H839" s="159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</row>
    <row r="840">
      <c r="A840" s="140"/>
      <c r="B840" s="140"/>
      <c r="C840" s="140"/>
      <c r="D840" s="140"/>
      <c r="E840" s="140"/>
      <c r="F840" s="159"/>
      <c r="G840" s="159"/>
      <c r="H840" s="159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</row>
    <row r="841">
      <c r="A841" s="140"/>
      <c r="B841" s="140"/>
      <c r="C841" s="140"/>
      <c r="D841" s="140"/>
      <c r="E841" s="140"/>
      <c r="F841" s="159"/>
      <c r="G841" s="159"/>
      <c r="H841" s="159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</row>
    <row r="842">
      <c r="A842" s="140"/>
      <c r="B842" s="140"/>
      <c r="C842" s="140"/>
      <c r="D842" s="140"/>
      <c r="E842" s="140"/>
      <c r="F842" s="159"/>
      <c r="G842" s="159"/>
      <c r="H842" s="159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</row>
    <row r="843">
      <c r="A843" s="140"/>
      <c r="B843" s="140"/>
      <c r="C843" s="140"/>
      <c r="D843" s="140"/>
      <c r="E843" s="140"/>
      <c r="F843" s="159"/>
      <c r="G843" s="159"/>
      <c r="H843" s="159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</row>
    <row r="844">
      <c r="A844" s="140"/>
      <c r="B844" s="140"/>
      <c r="C844" s="140"/>
      <c r="D844" s="140"/>
      <c r="E844" s="140"/>
      <c r="F844" s="159"/>
      <c r="G844" s="159"/>
      <c r="H844" s="159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</row>
    <row r="845">
      <c r="A845" s="140"/>
      <c r="B845" s="140"/>
      <c r="C845" s="140"/>
      <c r="D845" s="140"/>
      <c r="E845" s="140"/>
      <c r="F845" s="159"/>
      <c r="G845" s="159"/>
      <c r="H845" s="159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</row>
    <row r="846">
      <c r="A846" s="140"/>
      <c r="B846" s="140"/>
      <c r="C846" s="140"/>
      <c r="D846" s="140"/>
      <c r="E846" s="140"/>
      <c r="F846" s="159"/>
      <c r="G846" s="159"/>
      <c r="H846" s="159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</row>
    <row r="847">
      <c r="A847" s="140"/>
      <c r="B847" s="140"/>
      <c r="C847" s="140"/>
      <c r="D847" s="140"/>
      <c r="E847" s="140"/>
      <c r="F847" s="159"/>
      <c r="G847" s="159"/>
      <c r="H847" s="159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</row>
    <row r="848">
      <c r="A848" s="140"/>
      <c r="B848" s="140"/>
      <c r="C848" s="140"/>
      <c r="D848" s="140"/>
      <c r="E848" s="140"/>
      <c r="F848" s="159"/>
      <c r="G848" s="159"/>
      <c r="H848" s="159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</row>
    <row r="849">
      <c r="A849" s="140"/>
      <c r="B849" s="140"/>
      <c r="C849" s="140"/>
      <c r="D849" s="140"/>
      <c r="E849" s="140"/>
      <c r="F849" s="159"/>
      <c r="G849" s="159"/>
      <c r="H849" s="159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</row>
    <row r="850">
      <c r="A850" s="140"/>
      <c r="B850" s="140"/>
      <c r="C850" s="140"/>
      <c r="D850" s="140"/>
      <c r="E850" s="140"/>
      <c r="F850" s="159"/>
      <c r="G850" s="159"/>
      <c r="H850" s="159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</row>
    <row r="851">
      <c r="A851" s="140"/>
      <c r="B851" s="140"/>
      <c r="C851" s="140"/>
      <c r="D851" s="140"/>
      <c r="E851" s="140"/>
      <c r="F851" s="159"/>
      <c r="G851" s="159"/>
      <c r="H851" s="159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</row>
    <row r="852">
      <c r="A852" s="140"/>
      <c r="B852" s="140"/>
      <c r="C852" s="140"/>
      <c r="D852" s="140"/>
      <c r="E852" s="140"/>
      <c r="F852" s="159"/>
      <c r="G852" s="159"/>
      <c r="H852" s="159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</row>
    <row r="853">
      <c r="A853" s="140"/>
      <c r="B853" s="140"/>
      <c r="C853" s="140"/>
      <c r="D853" s="140"/>
      <c r="E853" s="140"/>
      <c r="F853" s="159"/>
      <c r="G853" s="159"/>
      <c r="H853" s="159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</row>
    <row r="854">
      <c r="A854" s="140"/>
      <c r="B854" s="140"/>
      <c r="C854" s="140"/>
      <c r="D854" s="140"/>
      <c r="E854" s="140"/>
      <c r="F854" s="159"/>
      <c r="G854" s="159"/>
      <c r="H854" s="159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</row>
    <row r="855">
      <c r="A855" s="140"/>
      <c r="B855" s="140"/>
      <c r="C855" s="140"/>
      <c r="D855" s="140"/>
      <c r="E855" s="140"/>
      <c r="F855" s="159"/>
      <c r="G855" s="159"/>
      <c r="H855" s="159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</row>
    <row r="856">
      <c r="A856" s="140"/>
      <c r="B856" s="140"/>
      <c r="C856" s="140"/>
      <c r="D856" s="140"/>
      <c r="E856" s="140"/>
      <c r="F856" s="159"/>
      <c r="G856" s="159"/>
      <c r="H856" s="159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</row>
    <row r="857">
      <c r="A857" s="140"/>
      <c r="B857" s="140"/>
      <c r="C857" s="140"/>
      <c r="D857" s="140"/>
      <c r="E857" s="140"/>
      <c r="F857" s="159"/>
      <c r="G857" s="159"/>
      <c r="H857" s="159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</row>
    <row r="858">
      <c r="A858" s="140"/>
      <c r="B858" s="140"/>
      <c r="C858" s="140"/>
      <c r="D858" s="140"/>
      <c r="E858" s="140"/>
      <c r="F858" s="159"/>
      <c r="G858" s="159"/>
      <c r="H858" s="159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</row>
    <row r="859">
      <c r="A859" s="140"/>
      <c r="B859" s="140"/>
      <c r="C859" s="140"/>
      <c r="D859" s="140"/>
      <c r="E859" s="140"/>
      <c r="F859" s="159"/>
      <c r="G859" s="159"/>
      <c r="H859" s="159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</row>
    <row r="860">
      <c r="A860" s="140"/>
      <c r="B860" s="140"/>
      <c r="C860" s="140"/>
      <c r="D860" s="140"/>
      <c r="E860" s="140"/>
      <c r="F860" s="159"/>
      <c r="G860" s="159"/>
      <c r="H860" s="159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</row>
    <row r="861">
      <c r="A861" s="140"/>
      <c r="B861" s="140"/>
      <c r="C861" s="140"/>
      <c r="D861" s="140"/>
      <c r="E861" s="140"/>
      <c r="F861" s="159"/>
      <c r="G861" s="159"/>
      <c r="H861" s="159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</row>
    <row r="862">
      <c r="A862" s="140"/>
      <c r="B862" s="140"/>
      <c r="C862" s="140"/>
      <c r="D862" s="140"/>
      <c r="E862" s="140"/>
      <c r="F862" s="159"/>
      <c r="G862" s="159"/>
      <c r="H862" s="159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</row>
    <row r="863">
      <c r="A863" s="140"/>
      <c r="B863" s="140"/>
      <c r="C863" s="140"/>
      <c r="D863" s="140"/>
      <c r="E863" s="140"/>
      <c r="F863" s="159"/>
      <c r="G863" s="159"/>
      <c r="H863" s="159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</row>
    <row r="864">
      <c r="A864" s="140"/>
      <c r="B864" s="140"/>
      <c r="C864" s="140"/>
      <c r="D864" s="140"/>
      <c r="E864" s="140"/>
      <c r="F864" s="159"/>
      <c r="G864" s="159"/>
      <c r="H864" s="159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</row>
    <row r="865">
      <c r="A865" s="140"/>
      <c r="B865" s="140"/>
      <c r="C865" s="140"/>
      <c r="D865" s="140"/>
      <c r="E865" s="140"/>
      <c r="F865" s="159"/>
      <c r="G865" s="159"/>
      <c r="H865" s="159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</row>
    <row r="866">
      <c r="A866" s="140"/>
      <c r="B866" s="140"/>
      <c r="C866" s="140"/>
      <c r="D866" s="140"/>
      <c r="E866" s="140"/>
      <c r="F866" s="159"/>
      <c r="G866" s="159"/>
      <c r="H866" s="159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</row>
    <row r="867">
      <c r="A867" s="140"/>
      <c r="B867" s="140"/>
      <c r="C867" s="140"/>
      <c r="D867" s="140"/>
      <c r="E867" s="140"/>
      <c r="F867" s="159"/>
      <c r="G867" s="159"/>
      <c r="H867" s="159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</row>
    <row r="868">
      <c r="A868" s="140"/>
      <c r="B868" s="140"/>
      <c r="C868" s="140"/>
      <c r="D868" s="140"/>
      <c r="E868" s="140"/>
      <c r="F868" s="159"/>
      <c r="G868" s="159"/>
      <c r="H868" s="159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</row>
    <row r="869">
      <c r="A869" s="140"/>
      <c r="B869" s="140"/>
      <c r="C869" s="140"/>
      <c r="D869" s="140"/>
      <c r="E869" s="140"/>
      <c r="F869" s="159"/>
      <c r="G869" s="159"/>
      <c r="H869" s="159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</row>
    <row r="870">
      <c r="A870" s="140"/>
      <c r="B870" s="140"/>
      <c r="C870" s="140"/>
      <c r="D870" s="140"/>
      <c r="E870" s="140"/>
      <c r="F870" s="159"/>
      <c r="G870" s="159"/>
      <c r="H870" s="159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</row>
    <row r="871">
      <c r="A871" s="140"/>
      <c r="B871" s="140"/>
      <c r="C871" s="140"/>
      <c r="D871" s="140"/>
      <c r="E871" s="140"/>
      <c r="F871" s="159"/>
      <c r="G871" s="159"/>
      <c r="H871" s="159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</row>
    <row r="872">
      <c r="A872" s="140"/>
      <c r="B872" s="140"/>
      <c r="C872" s="140"/>
      <c r="D872" s="140"/>
      <c r="E872" s="140"/>
      <c r="F872" s="159"/>
      <c r="G872" s="159"/>
      <c r="H872" s="159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</row>
    <row r="873">
      <c r="A873" s="140"/>
      <c r="B873" s="140"/>
      <c r="C873" s="140"/>
      <c r="D873" s="140"/>
      <c r="E873" s="140"/>
      <c r="F873" s="159"/>
      <c r="G873" s="159"/>
      <c r="H873" s="159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</row>
    <row r="874">
      <c r="A874" s="140"/>
      <c r="B874" s="140"/>
      <c r="C874" s="140"/>
      <c r="D874" s="140"/>
      <c r="E874" s="140"/>
      <c r="F874" s="159"/>
      <c r="G874" s="159"/>
      <c r="H874" s="159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</row>
    <row r="875">
      <c r="A875" s="140"/>
      <c r="B875" s="140"/>
      <c r="C875" s="140"/>
      <c r="D875" s="140"/>
      <c r="E875" s="140"/>
      <c r="F875" s="159"/>
      <c r="G875" s="159"/>
      <c r="H875" s="159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</row>
    <row r="876">
      <c r="A876" s="140"/>
      <c r="B876" s="140"/>
      <c r="C876" s="140"/>
      <c r="D876" s="140"/>
      <c r="E876" s="140"/>
      <c r="F876" s="159"/>
      <c r="G876" s="159"/>
      <c r="H876" s="159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</row>
    <row r="877">
      <c r="A877" s="140"/>
      <c r="B877" s="140"/>
      <c r="C877" s="140"/>
      <c r="D877" s="140"/>
      <c r="E877" s="140"/>
      <c r="F877" s="159"/>
      <c r="G877" s="159"/>
      <c r="H877" s="159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</row>
    <row r="878">
      <c r="A878" s="140"/>
      <c r="B878" s="140"/>
      <c r="C878" s="140"/>
      <c r="D878" s="140"/>
      <c r="E878" s="140"/>
      <c r="F878" s="159"/>
      <c r="G878" s="159"/>
      <c r="H878" s="159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</row>
    <row r="879">
      <c r="A879" s="140"/>
      <c r="B879" s="140"/>
      <c r="C879" s="140"/>
      <c r="D879" s="140"/>
      <c r="E879" s="140"/>
      <c r="F879" s="159"/>
      <c r="G879" s="159"/>
      <c r="H879" s="159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</row>
    <row r="880">
      <c r="A880" s="140"/>
      <c r="B880" s="140"/>
      <c r="C880" s="140"/>
      <c r="D880" s="140"/>
      <c r="E880" s="140"/>
      <c r="F880" s="159"/>
      <c r="G880" s="159"/>
      <c r="H880" s="159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</row>
    <row r="881">
      <c r="A881" s="140"/>
      <c r="B881" s="140"/>
      <c r="C881" s="140"/>
      <c r="D881" s="140"/>
      <c r="E881" s="140"/>
      <c r="F881" s="159"/>
      <c r="G881" s="159"/>
      <c r="H881" s="159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</row>
    <row r="882">
      <c r="A882" s="140"/>
      <c r="B882" s="140"/>
      <c r="C882" s="140"/>
      <c r="D882" s="140"/>
      <c r="E882" s="140"/>
      <c r="F882" s="159"/>
      <c r="G882" s="159"/>
      <c r="H882" s="159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</row>
    <row r="883">
      <c r="A883" s="140"/>
      <c r="B883" s="140"/>
      <c r="C883" s="140"/>
      <c r="D883" s="140"/>
      <c r="E883" s="140"/>
      <c r="F883" s="159"/>
      <c r="G883" s="159"/>
      <c r="H883" s="159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</row>
    <row r="884">
      <c r="A884" s="140"/>
      <c r="B884" s="140"/>
      <c r="C884" s="140"/>
      <c r="D884" s="140"/>
      <c r="E884" s="140"/>
      <c r="F884" s="159"/>
      <c r="G884" s="159"/>
      <c r="H884" s="159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</row>
    <row r="885">
      <c r="A885" s="140"/>
      <c r="B885" s="140"/>
      <c r="C885" s="140"/>
      <c r="D885" s="140"/>
      <c r="E885" s="140"/>
      <c r="F885" s="159"/>
      <c r="G885" s="159"/>
      <c r="H885" s="159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</row>
    <row r="886">
      <c r="A886" s="140"/>
      <c r="B886" s="140"/>
      <c r="C886" s="140"/>
      <c r="D886" s="140"/>
      <c r="E886" s="140"/>
      <c r="F886" s="159"/>
      <c r="G886" s="159"/>
      <c r="H886" s="159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</row>
    <row r="887">
      <c r="A887" s="140"/>
      <c r="B887" s="140"/>
      <c r="C887" s="140"/>
      <c r="D887" s="140"/>
      <c r="E887" s="140"/>
      <c r="F887" s="159"/>
      <c r="G887" s="159"/>
      <c r="H887" s="159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</row>
    <row r="888">
      <c r="A888" s="140"/>
      <c r="B888" s="140"/>
      <c r="C888" s="140"/>
      <c r="D888" s="140"/>
      <c r="E888" s="140"/>
      <c r="F888" s="159"/>
      <c r="G888" s="159"/>
      <c r="H888" s="159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</row>
    <row r="889">
      <c r="A889" s="140"/>
      <c r="B889" s="140"/>
      <c r="C889" s="140"/>
      <c r="D889" s="140"/>
      <c r="E889" s="140"/>
      <c r="F889" s="159"/>
      <c r="G889" s="159"/>
      <c r="H889" s="159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</row>
    <row r="890">
      <c r="A890" s="140"/>
      <c r="B890" s="140"/>
      <c r="C890" s="140"/>
      <c r="D890" s="140"/>
      <c r="E890" s="140"/>
      <c r="F890" s="159"/>
      <c r="G890" s="159"/>
      <c r="H890" s="159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</row>
    <row r="891">
      <c r="A891" s="140"/>
      <c r="B891" s="140"/>
      <c r="C891" s="140"/>
      <c r="D891" s="140"/>
      <c r="E891" s="140"/>
      <c r="F891" s="159"/>
      <c r="G891" s="159"/>
      <c r="H891" s="159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</row>
    <row r="892">
      <c r="A892" s="140"/>
      <c r="B892" s="140"/>
      <c r="C892" s="140"/>
      <c r="D892" s="140"/>
      <c r="E892" s="140"/>
      <c r="F892" s="159"/>
      <c r="G892" s="159"/>
      <c r="H892" s="159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</row>
    <row r="893">
      <c r="A893" s="140"/>
      <c r="B893" s="140"/>
      <c r="C893" s="140"/>
      <c r="D893" s="140"/>
      <c r="E893" s="140"/>
      <c r="F893" s="159"/>
      <c r="G893" s="159"/>
      <c r="H893" s="159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</row>
    <row r="894">
      <c r="A894" s="140"/>
      <c r="B894" s="140"/>
      <c r="C894" s="140"/>
      <c r="D894" s="140"/>
      <c r="E894" s="140"/>
      <c r="F894" s="159"/>
      <c r="G894" s="159"/>
      <c r="H894" s="159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</row>
    <row r="895">
      <c r="A895" s="140"/>
      <c r="B895" s="140"/>
      <c r="C895" s="140"/>
      <c r="D895" s="140"/>
      <c r="E895" s="140"/>
      <c r="F895" s="159"/>
      <c r="G895" s="159"/>
      <c r="H895" s="159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</row>
    <row r="896">
      <c r="A896" s="140"/>
      <c r="B896" s="140"/>
      <c r="C896" s="140"/>
      <c r="D896" s="140"/>
      <c r="E896" s="140"/>
      <c r="F896" s="159"/>
      <c r="G896" s="159"/>
      <c r="H896" s="159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</row>
    <row r="897">
      <c r="A897" s="140"/>
      <c r="B897" s="140"/>
      <c r="C897" s="140"/>
      <c r="D897" s="140"/>
      <c r="E897" s="140"/>
      <c r="F897" s="159"/>
      <c r="G897" s="159"/>
      <c r="H897" s="159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</row>
    <row r="898">
      <c r="A898" s="140"/>
      <c r="B898" s="140"/>
      <c r="C898" s="140"/>
      <c r="D898" s="140"/>
      <c r="E898" s="140"/>
      <c r="F898" s="159"/>
      <c r="G898" s="159"/>
      <c r="H898" s="159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</row>
    <row r="899">
      <c r="A899" s="140"/>
      <c r="B899" s="140"/>
      <c r="C899" s="140"/>
      <c r="D899" s="140"/>
      <c r="E899" s="140"/>
      <c r="F899" s="159"/>
      <c r="G899" s="159"/>
      <c r="H899" s="159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</row>
    <row r="900">
      <c r="A900" s="140"/>
      <c r="B900" s="140"/>
      <c r="C900" s="140"/>
      <c r="D900" s="140"/>
      <c r="E900" s="140"/>
      <c r="F900" s="159"/>
      <c r="G900" s="159"/>
      <c r="H900" s="159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</row>
    <row r="901">
      <c r="A901" s="140"/>
      <c r="B901" s="140"/>
      <c r="C901" s="140"/>
      <c r="D901" s="140"/>
      <c r="E901" s="140"/>
      <c r="F901" s="159"/>
      <c r="G901" s="159"/>
      <c r="H901" s="159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</row>
    <row r="902">
      <c r="A902" s="140"/>
      <c r="B902" s="140"/>
      <c r="C902" s="140"/>
      <c r="D902" s="140"/>
      <c r="E902" s="140"/>
      <c r="F902" s="159"/>
      <c r="G902" s="159"/>
      <c r="H902" s="159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</row>
    <row r="903">
      <c r="A903" s="140"/>
      <c r="B903" s="140"/>
      <c r="C903" s="140"/>
      <c r="D903" s="140"/>
      <c r="E903" s="140"/>
      <c r="F903" s="159"/>
      <c r="G903" s="159"/>
      <c r="H903" s="159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</row>
    <row r="904">
      <c r="A904" s="140"/>
      <c r="B904" s="140"/>
      <c r="C904" s="140"/>
      <c r="D904" s="140"/>
      <c r="E904" s="140"/>
      <c r="F904" s="159"/>
      <c r="G904" s="159"/>
      <c r="H904" s="159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</row>
    <row r="905">
      <c r="A905" s="140"/>
      <c r="B905" s="140"/>
      <c r="C905" s="140"/>
      <c r="D905" s="140"/>
      <c r="E905" s="140"/>
      <c r="F905" s="159"/>
      <c r="G905" s="159"/>
      <c r="H905" s="159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</row>
    <row r="906">
      <c r="A906" s="140"/>
      <c r="B906" s="140"/>
      <c r="C906" s="140"/>
      <c r="D906" s="140"/>
      <c r="E906" s="140"/>
      <c r="F906" s="159"/>
      <c r="G906" s="159"/>
      <c r="H906" s="159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</row>
    <row r="907">
      <c r="A907" s="140"/>
      <c r="B907" s="140"/>
      <c r="C907" s="140"/>
      <c r="D907" s="140"/>
      <c r="E907" s="140"/>
      <c r="F907" s="159"/>
      <c r="G907" s="159"/>
      <c r="H907" s="159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</row>
    <row r="908">
      <c r="A908" s="140"/>
      <c r="B908" s="140"/>
      <c r="C908" s="140"/>
      <c r="D908" s="140"/>
      <c r="E908" s="140"/>
      <c r="F908" s="159"/>
      <c r="G908" s="159"/>
      <c r="H908" s="159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</row>
    <row r="909">
      <c r="A909" s="140"/>
      <c r="B909" s="140"/>
      <c r="C909" s="140"/>
      <c r="D909" s="140"/>
      <c r="E909" s="140"/>
      <c r="F909" s="159"/>
      <c r="G909" s="159"/>
      <c r="H909" s="159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</row>
    <row r="910">
      <c r="A910" s="140"/>
      <c r="B910" s="140"/>
      <c r="C910" s="140"/>
      <c r="D910" s="140"/>
      <c r="E910" s="140"/>
      <c r="F910" s="159"/>
      <c r="G910" s="159"/>
      <c r="H910" s="159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</row>
    <row r="911">
      <c r="A911" s="140"/>
      <c r="B911" s="140"/>
      <c r="C911" s="140"/>
      <c r="D911" s="140"/>
      <c r="E911" s="140"/>
      <c r="F911" s="159"/>
      <c r="G911" s="159"/>
      <c r="H911" s="159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</row>
    <row r="912">
      <c r="A912" s="140"/>
      <c r="B912" s="140"/>
      <c r="C912" s="140"/>
      <c r="D912" s="140"/>
      <c r="E912" s="140"/>
      <c r="F912" s="159"/>
      <c r="G912" s="159"/>
      <c r="H912" s="159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</row>
    <row r="913">
      <c r="A913" s="140"/>
      <c r="B913" s="140"/>
      <c r="C913" s="140"/>
      <c r="D913" s="140"/>
      <c r="E913" s="140"/>
      <c r="F913" s="159"/>
      <c r="G913" s="159"/>
      <c r="H913" s="159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</row>
    <row r="914">
      <c r="A914" s="140"/>
      <c r="B914" s="140"/>
      <c r="C914" s="140"/>
      <c r="D914" s="140"/>
      <c r="E914" s="140"/>
      <c r="F914" s="159"/>
      <c r="G914" s="159"/>
      <c r="H914" s="159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</row>
    <row r="915">
      <c r="A915" s="140"/>
      <c r="B915" s="140"/>
      <c r="C915" s="140"/>
      <c r="D915" s="140"/>
      <c r="E915" s="140"/>
      <c r="F915" s="159"/>
      <c r="G915" s="159"/>
      <c r="H915" s="159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</row>
    <row r="916">
      <c r="A916" s="140"/>
      <c r="B916" s="140"/>
      <c r="C916" s="140"/>
      <c r="D916" s="140"/>
      <c r="E916" s="140"/>
      <c r="F916" s="159"/>
      <c r="G916" s="159"/>
      <c r="H916" s="159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</row>
    <row r="917">
      <c r="A917" s="140"/>
      <c r="B917" s="140"/>
      <c r="C917" s="140"/>
      <c r="D917" s="140"/>
      <c r="E917" s="140"/>
      <c r="F917" s="159"/>
      <c r="G917" s="159"/>
      <c r="H917" s="159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</row>
    <row r="918">
      <c r="A918" s="140"/>
      <c r="B918" s="140"/>
      <c r="C918" s="140"/>
      <c r="D918" s="140"/>
      <c r="E918" s="140"/>
      <c r="F918" s="159"/>
      <c r="G918" s="159"/>
      <c r="H918" s="159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</row>
    <row r="919">
      <c r="A919" s="140"/>
      <c r="B919" s="140"/>
      <c r="C919" s="140"/>
      <c r="D919" s="140"/>
      <c r="E919" s="140"/>
      <c r="F919" s="159"/>
      <c r="G919" s="159"/>
      <c r="H919" s="159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</row>
    <row r="920">
      <c r="A920" s="140"/>
      <c r="B920" s="140"/>
      <c r="C920" s="140"/>
      <c r="D920" s="140"/>
      <c r="E920" s="140"/>
      <c r="F920" s="159"/>
      <c r="G920" s="159"/>
      <c r="H920" s="159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</row>
    <row r="921">
      <c r="A921" s="140"/>
      <c r="B921" s="140"/>
      <c r="C921" s="140"/>
      <c r="D921" s="140"/>
      <c r="E921" s="140"/>
      <c r="F921" s="159"/>
      <c r="G921" s="159"/>
      <c r="H921" s="159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</row>
    <row r="922">
      <c r="A922" s="140"/>
      <c r="B922" s="140"/>
      <c r="C922" s="140"/>
      <c r="D922" s="140"/>
      <c r="E922" s="140"/>
      <c r="F922" s="159"/>
      <c r="G922" s="159"/>
      <c r="H922" s="159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</row>
    <row r="923">
      <c r="A923" s="140"/>
      <c r="B923" s="140"/>
      <c r="C923" s="140"/>
      <c r="D923" s="140"/>
      <c r="E923" s="140"/>
      <c r="F923" s="159"/>
      <c r="G923" s="159"/>
      <c r="H923" s="159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</row>
    <row r="924">
      <c r="A924" s="140"/>
      <c r="B924" s="140"/>
      <c r="C924" s="140"/>
      <c r="D924" s="140"/>
      <c r="E924" s="140"/>
      <c r="F924" s="159"/>
      <c r="G924" s="159"/>
      <c r="H924" s="159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</row>
    <row r="925">
      <c r="A925" s="140"/>
      <c r="B925" s="140"/>
      <c r="C925" s="140"/>
      <c r="D925" s="140"/>
      <c r="E925" s="140"/>
      <c r="F925" s="159"/>
      <c r="G925" s="159"/>
      <c r="H925" s="159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</row>
    <row r="926">
      <c r="A926" s="140"/>
      <c r="B926" s="140"/>
      <c r="C926" s="140"/>
      <c r="D926" s="140"/>
      <c r="E926" s="140"/>
      <c r="F926" s="159"/>
      <c r="G926" s="159"/>
      <c r="H926" s="159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</row>
    <row r="927">
      <c r="A927" s="140"/>
      <c r="B927" s="140"/>
      <c r="C927" s="140"/>
      <c r="D927" s="140"/>
      <c r="E927" s="140"/>
      <c r="F927" s="159"/>
      <c r="G927" s="159"/>
      <c r="H927" s="159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</row>
    <row r="928">
      <c r="A928" s="140"/>
      <c r="B928" s="140"/>
      <c r="C928" s="140"/>
      <c r="D928" s="140"/>
      <c r="E928" s="140"/>
      <c r="F928" s="159"/>
      <c r="G928" s="159"/>
      <c r="H928" s="159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</row>
    <row r="929">
      <c r="A929" s="140"/>
      <c r="B929" s="140"/>
      <c r="C929" s="140"/>
      <c r="D929" s="140"/>
      <c r="E929" s="140"/>
      <c r="F929" s="159"/>
      <c r="G929" s="159"/>
      <c r="H929" s="159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</row>
    <row r="930">
      <c r="A930" s="140"/>
      <c r="B930" s="140"/>
      <c r="C930" s="140"/>
      <c r="D930" s="140"/>
      <c r="E930" s="140"/>
      <c r="F930" s="159"/>
      <c r="G930" s="159"/>
      <c r="H930" s="159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</row>
    <row r="931">
      <c r="A931" s="140"/>
      <c r="B931" s="140"/>
      <c r="C931" s="140"/>
      <c r="D931" s="140"/>
      <c r="E931" s="140"/>
      <c r="F931" s="159"/>
      <c r="G931" s="159"/>
      <c r="H931" s="159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</row>
    <row r="932">
      <c r="A932" s="140"/>
      <c r="B932" s="140"/>
      <c r="C932" s="140"/>
      <c r="D932" s="140"/>
      <c r="E932" s="140"/>
      <c r="F932" s="159"/>
      <c r="G932" s="159"/>
      <c r="H932" s="159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</row>
    <row r="933">
      <c r="A933" s="140"/>
      <c r="B933" s="140"/>
      <c r="C933" s="140"/>
      <c r="D933" s="140"/>
      <c r="E933" s="140"/>
      <c r="F933" s="159"/>
      <c r="G933" s="159"/>
      <c r="H933" s="159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</row>
    <row r="934">
      <c r="A934" s="140"/>
      <c r="B934" s="140"/>
      <c r="C934" s="140"/>
      <c r="D934" s="140"/>
      <c r="E934" s="140"/>
      <c r="F934" s="159"/>
      <c r="G934" s="159"/>
      <c r="H934" s="159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</row>
    <row r="935">
      <c r="A935" s="140"/>
      <c r="B935" s="140"/>
      <c r="C935" s="140"/>
      <c r="D935" s="140"/>
      <c r="E935" s="140"/>
      <c r="F935" s="159"/>
      <c r="G935" s="159"/>
      <c r="H935" s="159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</row>
    <row r="936">
      <c r="A936" s="140"/>
      <c r="B936" s="140"/>
      <c r="C936" s="140"/>
      <c r="D936" s="140"/>
      <c r="E936" s="140"/>
      <c r="F936" s="159"/>
      <c r="G936" s="159"/>
      <c r="H936" s="159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</row>
    <row r="937">
      <c r="A937" s="140"/>
      <c r="B937" s="140"/>
      <c r="C937" s="140"/>
      <c r="D937" s="140"/>
      <c r="E937" s="140"/>
      <c r="F937" s="159"/>
      <c r="G937" s="159"/>
      <c r="H937" s="159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</row>
    <row r="938">
      <c r="A938" s="140"/>
      <c r="B938" s="140"/>
      <c r="C938" s="140"/>
      <c r="D938" s="140"/>
      <c r="E938" s="140"/>
      <c r="F938" s="159"/>
      <c r="G938" s="159"/>
      <c r="H938" s="159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</row>
    <row r="939">
      <c r="A939" s="140"/>
      <c r="B939" s="140"/>
      <c r="C939" s="140"/>
      <c r="D939" s="140"/>
      <c r="E939" s="140"/>
      <c r="F939" s="159"/>
      <c r="G939" s="159"/>
      <c r="H939" s="159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</row>
    <row r="940">
      <c r="A940" s="140"/>
      <c r="B940" s="140"/>
      <c r="C940" s="140"/>
      <c r="D940" s="140"/>
      <c r="E940" s="140"/>
      <c r="F940" s="159"/>
      <c r="G940" s="159"/>
      <c r="H940" s="159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</row>
    <row r="941">
      <c r="A941" s="140"/>
      <c r="B941" s="140"/>
      <c r="C941" s="140"/>
      <c r="D941" s="140"/>
      <c r="E941" s="140"/>
      <c r="F941" s="159"/>
      <c r="G941" s="159"/>
      <c r="H941" s="159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</row>
    <row r="942">
      <c r="A942" s="140"/>
      <c r="B942" s="140"/>
      <c r="C942" s="140"/>
      <c r="D942" s="140"/>
      <c r="E942" s="140"/>
      <c r="F942" s="159"/>
      <c r="G942" s="159"/>
      <c r="H942" s="159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</row>
    <row r="943">
      <c r="A943" s="140"/>
      <c r="B943" s="140"/>
      <c r="C943" s="140"/>
      <c r="D943" s="140"/>
      <c r="E943" s="140"/>
      <c r="F943" s="159"/>
      <c r="G943" s="159"/>
      <c r="H943" s="159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</row>
    <row r="944">
      <c r="A944" s="140"/>
      <c r="B944" s="140"/>
      <c r="C944" s="140"/>
      <c r="D944" s="140"/>
      <c r="E944" s="140"/>
      <c r="F944" s="159"/>
      <c r="G944" s="159"/>
      <c r="H944" s="159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</row>
    <row r="945">
      <c r="A945" s="140"/>
      <c r="B945" s="140"/>
      <c r="C945" s="140"/>
      <c r="D945" s="140"/>
      <c r="E945" s="140"/>
      <c r="F945" s="159"/>
      <c r="G945" s="159"/>
      <c r="H945" s="159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</row>
    <row r="946">
      <c r="A946" s="140"/>
      <c r="B946" s="140"/>
      <c r="C946" s="140"/>
      <c r="D946" s="140"/>
      <c r="E946" s="140"/>
      <c r="F946" s="159"/>
      <c r="G946" s="159"/>
      <c r="H946" s="159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</row>
    <row r="947">
      <c r="A947" s="140"/>
      <c r="B947" s="140"/>
      <c r="C947" s="140"/>
      <c r="D947" s="140"/>
      <c r="E947" s="140"/>
      <c r="F947" s="159"/>
      <c r="G947" s="159"/>
      <c r="H947" s="159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</row>
    <row r="948">
      <c r="A948" s="140"/>
      <c r="B948" s="140"/>
      <c r="C948" s="140"/>
      <c r="D948" s="140"/>
      <c r="E948" s="140"/>
      <c r="F948" s="159"/>
      <c r="G948" s="159"/>
      <c r="H948" s="159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</row>
    <row r="949">
      <c r="A949" s="140"/>
      <c r="B949" s="140"/>
      <c r="C949" s="140"/>
      <c r="D949" s="140"/>
      <c r="E949" s="140"/>
      <c r="F949" s="159"/>
      <c r="G949" s="159"/>
      <c r="H949" s="159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</row>
    <row r="950">
      <c r="A950" s="140"/>
      <c r="B950" s="140"/>
      <c r="C950" s="140"/>
      <c r="D950" s="140"/>
      <c r="E950" s="140"/>
      <c r="F950" s="159"/>
      <c r="G950" s="159"/>
      <c r="H950" s="159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</row>
    <row r="951">
      <c r="A951" s="140"/>
      <c r="B951" s="140"/>
      <c r="C951" s="140"/>
      <c r="D951" s="140"/>
      <c r="E951" s="140"/>
      <c r="F951" s="159"/>
      <c r="G951" s="159"/>
      <c r="H951" s="159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</row>
    <row r="952">
      <c r="A952" s="140"/>
      <c r="B952" s="140"/>
      <c r="C952" s="140"/>
      <c r="D952" s="140"/>
      <c r="E952" s="140"/>
      <c r="F952" s="159"/>
      <c r="G952" s="159"/>
      <c r="H952" s="159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</row>
    <row r="953">
      <c r="A953" s="140"/>
      <c r="B953" s="140"/>
      <c r="C953" s="140"/>
      <c r="D953" s="140"/>
      <c r="E953" s="140"/>
      <c r="F953" s="159"/>
      <c r="G953" s="159"/>
      <c r="H953" s="159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</row>
    <row r="954">
      <c r="A954" s="140"/>
      <c r="B954" s="140"/>
      <c r="C954" s="140"/>
      <c r="D954" s="140"/>
      <c r="E954" s="140"/>
      <c r="F954" s="159"/>
      <c r="G954" s="159"/>
      <c r="H954" s="159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</row>
    <row r="955">
      <c r="A955" s="140"/>
      <c r="B955" s="140"/>
      <c r="C955" s="140"/>
      <c r="D955" s="140"/>
      <c r="E955" s="140"/>
      <c r="F955" s="159"/>
      <c r="G955" s="159"/>
      <c r="H955" s="159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</row>
    <row r="956">
      <c r="A956" s="140"/>
      <c r="B956" s="140"/>
      <c r="C956" s="140"/>
      <c r="D956" s="140"/>
      <c r="E956" s="140"/>
      <c r="F956" s="159"/>
      <c r="G956" s="159"/>
      <c r="H956" s="159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</row>
    <row r="957">
      <c r="A957" s="140"/>
      <c r="B957" s="140"/>
      <c r="C957" s="140"/>
      <c r="D957" s="140"/>
      <c r="E957" s="140"/>
      <c r="F957" s="159"/>
      <c r="G957" s="159"/>
      <c r="H957" s="159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</row>
    <row r="958">
      <c r="A958" s="140"/>
      <c r="B958" s="140"/>
      <c r="C958" s="140"/>
      <c r="D958" s="140"/>
      <c r="E958" s="140"/>
      <c r="F958" s="159"/>
      <c r="G958" s="159"/>
      <c r="H958" s="159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</row>
    <row r="959">
      <c r="A959" s="140"/>
      <c r="B959" s="140"/>
      <c r="C959" s="140"/>
      <c r="D959" s="140"/>
      <c r="E959" s="140"/>
      <c r="F959" s="159"/>
      <c r="G959" s="159"/>
      <c r="H959" s="159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</row>
    <row r="960">
      <c r="A960" s="140"/>
      <c r="B960" s="140"/>
      <c r="C960" s="140"/>
      <c r="D960" s="140"/>
      <c r="E960" s="140"/>
      <c r="F960" s="159"/>
      <c r="G960" s="159"/>
      <c r="H960" s="159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</row>
    <row r="961">
      <c r="A961" s="140"/>
      <c r="B961" s="140"/>
      <c r="C961" s="140"/>
      <c r="D961" s="140"/>
      <c r="E961" s="140"/>
      <c r="F961" s="159"/>
      <c r="G961" s="159"/>
      <c r="H961" s="159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</row>
    <row r="962">
      <c r="A962" s="140"/>
      <c r="B962" s="140"/>
      <c r="C962" s="140"/>
      <c r="D962" s="140"/>
      <c r="E962" s="140"/>
      <c r="F962" s="159"/>
      <c r="G962" s="159"/>
      <c r="H962" s="159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</row>
    <row r="963">
      <c r="A963" s="140"/>
      <c r="B963" s="140"/>
      <c r="C963" s="140"/>
      <c r="D963" s="140"/>
      <c r="E963" s="140"/>
      <c r="F963" s="159"/>
      <c r="G963" s="159"/>
      <c r="H963" s="159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</row>
    <row r="964">
      <c r="A964" s="140"/>
      <c r="B964" s="140"/>
      <c r="C964" s="140"/>
      <c r="D964" s="140"/>
      <c r="E964" s="140"/>
      <c r="F964" s="159"/>
      <c r="G964" s="159"/>
      <c r="H964" s="159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</row>
    <row r="965">
      <c r="A965" s="140"/>
      <c r="B965" s="140"/>
      <c r="C965" s="140"/>
      <c r="D965" s="140"/>
      <c r="E965" s="140"/>
      <c r="F965" s="159"/>
      <c r="G965" s="159"/>
      <c r="H965" s="159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</row>
    <row r="966">
      <c r="A966" s="140"/>
      <c r="B966" s="140"/>
      <c r="C966" s="140"/>
      <c r="D966" s="140"/>
      <c r="E966" s="140"/>
      <c r="F966" s="159"/>
      <c r="G966" s="159"/>
      <c r="H966" s="159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</row>
    <row r="967">
      <c r="A967" s="140"/>
      <c r="B967" s="140"/>
      <c r="C967" s="140"/>
      <c r="D967" s="140"/>
      <c r="E967" s="140"/>
      <c r="F967" s="159"/>
      <c r="G967" s="159"/>
      <c r="H967" s="159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</row>
    <row r="968">
      <c r="A968" s="140"/>
      <c r="B968" s="140"/>
      <c r="C968" s="140"/>
      <c r="D968" s="140"/>
      <c r="E968" s="140"/>
      <c r="F968" s="159"/>
      <c r="G968" s="159"/>
      <c r="H968" s="159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</row>
    <row r="969">
      <c r="A969" s="140"/>
      <c r="B969" s="140"/>
      <c r="C969" s="140"/>
      <c r="D969" s="140"/>
      <c r="E969" s="140"/>
      <c r="F969" s="159"/>
      <c r="G969" s="159"/>
      <c r="H969" s="159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</row>
    <row r="970">
      <c r="A970" s="140"/>
      <c r="B970" s="140"/>
      <c r="C970" s="140"/>
      <c r="D970" s="140"/>
      <c r="E970" s="140"/>
      <c r="F970" s="159"/>
      <c r="G970" s="159"/>
      <c r="H970" s="159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</row>
    <row r="971">
      <c r="A971" s="140"/>
      <c r="B971" s="140"/>
      <c r="C971" s="140"/>
      <c r="D971" s="140"/>
      <c r="E971" s="140"/>
      <c r="F971" s="159"/>
      <c r="G971" s="159"/>
      <c r="H971" s="159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</row>
    <row r="972">
      <c r="A972" s="140"/>
      <c r="B972" s="140"/>
      <c r="C972" s="140"/>
      <c r="D972" s="140"/>
      <c r="E972" s="140"/>
      <c r="F972" s="159"/>
      <c r="G972" s="159"/>
      <c r="H972" s="159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</row>
    <row r="973">
      <c r="A973" s="140"/>
      <c r="B973" s="140"/>
      <c r="C973" s="140"/>
      <c r="D973" s="140"/>
      <c r="E973" s="140"/>
      <c r="F973" s="159"/>
      <c r="G973" s="159"/>
      <c r="H973" s="159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</row>
    <row r="974">
      <c r="A974" s="140"/>
      <c r="B974" s="140"/>
      <c r="C974" s="140"/>
      <c r="D974" s="140"/>
      <c r="E974" s="140"/>
      <c r="F974" s="159"/>
      <c r="G974" s="159"/>
      <c r="H974" s="159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</row>
    <row r="975">
      <c r="A975" s="140"/>
      <c r="B975" s="140"/>
      <c r="C975" s="140"/>
      <c r="D975" s="140"/>
      <c r="E975" s="140"/>
      <c r="F975" s="159"/>
      <c r="G975" s="159"/>
      <c r="H975" s="159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</row>
    <row r="976">
      <c r="A976" s="140"/>
      <c r="B976" s="140"/>
      <c r="C976" s="140"/>
      <c r="D976" s="140"/>
      <c r="E976" s="140"/>
      <c r="F976" s="159"/>
      <c r="G976" s="159"/>
      <c r="H976" s="159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</row>
    <row r="977">
      <c r="A977" s="140"/>
      <c r="B977" s="140"/>
      <c r="C977" s="140"/>
      <c r="D977" s="140"/>
      <c r="E977" s="140"/>
      <c r="F977" s="159"/>
      <c r="G977" s="159"/>
      <c r="H977" s="159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</row>
    <row r="978">
      <c r="A978" s="140"/>
      <c r="B978" s="140"/>
      <c r="C978" s="140"/>
      <c r="D978" s="140"/>
      <c r="E978" s="140"/>
      <c r="F978" s="159"/>
      <c r="G978" s="159"/>
      <c r="H978" s="159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</row>
    <row r="979">
      <c r="A979" s="140"/>
      <c r="B979" s="140"/>
      <c r="C979" s="140"/>
      <c r="D979" s="140"/>
      <c r="E979" s="140"/>
      <c r="F979" s="159"/>
      <c r="G979" s="159"/>
      <c r="H979" s="159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</row>
    <row r="980">
      <c r="A980" s="140"/>
      <c r="B980" s="140"/>
      <c r="C980" s="140"/>
      <c r="D980" s="140"/>
      <c r="E980" s="140"/>
      <c r="F980" s="159"/>
      <c r="G980" s="159"/>
      <c r="H980" s="159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</row>
    <row r="981">
      <c r="A981" s="140"/>
      <c r="B981" s="140"/>
      <c r="C981" s="140"/>
      <c r="D981" s="140"/>
      <c r="E981" s="140"/>
      <c r="F981" s="159"/>
      <c r="G981" s="159"/>
      <c r="H981" s="159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</row>
    <row r="982">
      <c r="A982" s="140"/>
      <c r="B982" s="140"/>
      <c r="C982" s="140"/>
      <c r="D982" s="140"/>
      <c r="E982" s="140"/>
      <c r="F982" s="159"/>
      <c r="G982" s="159"/>
      <c r="H982" s="159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</row>
    <row r="983">
      <c r="A983" s="140"/>
      <c r="B983" s="140"/>
      <c r="C983" s="140"/>
      <c r="D983" s="140"/>
      <c r="E983" s="140"/>
      <c r="F983" s="159"/>
      <c r="G983" s="159"/>
      <c r="H983" s="159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</row>
    <row r="984">
      <c r="A984" s="140"/>
      <c r="B984" s="140"/>
      <c r="C984" s="140"/>
      <c r="D984" s="140"/>
      <c r="E984" s="140"/>
      <c r="F984" s="159"/>
      <c r="G984" s="159"/>
      <c r="H984" s="159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</row>
    <row r="985">
      <c r="A985" s="140"/>
      <c r="B985" s="140"/>
      <c r="C985" s="140"/>
      <c r="D985" s="140"/>
      <c r="E985" s="140"/>
      <c r="F985" s="159"/>
      <c r="G985" s="159"/>
      <c r="H985" s="159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</row>
    <row r="986">
      <c r="A986" s="140"/>
      <c r="B986" s="140"/>
      <c r="C986" s="140"/>
      <c r="D986" s="140"/>
      <c r="E986" s="140"/>
      <c r="F986" s="159"/>
      <c r="G986" s="159"/>
      <c r="H986" s="159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</row>
    <row r="987">
      <c r="A987" s="140"/>
      <c r="B987" s="140"/>
      <c r="C987" s="140"/>
      <c r="D987" s="140"/>
      <c r="E987" s="140"/>
      <c r="F987" s="159"/>
      <c r="G987" s="159"/>
      <c r="H987" s="159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</row>
    <row r="988">
      <c r="A988" s="140"/>
      <c r="B988" s="140"/>
      <c r="C988" s="140"/>
      <c r="D988" s="140"/>
      <c r="E988" s="140"/>
      <c r="F988" s="159"/>
      <c r="G988" s="159"/>
      <c r="H988" s="159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</row>
    <row r="989">
      <c r="A989" s="140"/>
      <c r="B989" s="140"/>
      <c r="C989" s="140"/>
      <c r="D989" s="140"/>
      <c r="E989" s="140"/>
      <c r="F989" s="159"/>
      <c r="G989" s="159"/>
      <c r="H989" s="159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</row>
    <row r="990">
      <c r="A990" s="140"/>
      <c r="B990" s="140"/>
      <c r="C990" s="140"/>
      <c r="D990" s="140"/>
      <c r="E990" s="140"/>
      <c r="F990" s="159"/>
      <c r="G990" s="159"/>
      <c r="H990" s="159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</row>
    <row r="991">
      <c r="A991" s="140"/>
      <c r="B991" s="140"/>
      <c r="C991" s="140"/>
      <c r="D991" s="140"/>
      <c r="E991" s="140"/>
      <c r="F991" s="159"/>
      <c r="G991" s="159"/>
      <c r="H991" s="159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</row>
    <row r="992">
      <c r="A992" s="140"/>
      <c r="B992" s="140"/>
      <c r="C992" s="140"/>
      <c r="D992" s="140"/>
      <c r="E992" s="140"/>
      <c r="F992" s="159"/>
      <c r="G992" s="159"/>
      <c r="H992" s="159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</row>
    <row r="993">
      <c r="A993" s="140"/>
      <c r="B993" s="140"/>
      <c r="C993" s="140"/>
      <c r="D993" s="140"/>
      <c r="E993" s="140"/>
      <c r="F993" s="159"/>
      <c r="G993" s="159"/>
      <c r="H993" s="159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</row>
    <row r="994">
      <c r="A994" s="140"/>
      <c r="B994" s="140"/>
      <c r="C994" s="140"/>
      <c r="D994" s="140"/>
      <c r="E994" s="140"/>
      <c r="F994" s="159"/>
      <c r="G994" s="159"/>
      <c r="H994" s="159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</row>
    <row r="995">
      <c r="A995" s="140"/>
      <c r="B995" s="140"/>
      <c r="C995" s="140"/>
      <c r="D995" s="140"/>
      <c r="E995" s="140"/>
      <c r="F995" s="159"/>
      <c r="G995" s="159"/>
      <c r="H995" s="159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</row>
    <row r="996">
      <c r="A996" s="140"/>
      <c r="B996" s="140"/>
      <c r="C996" s="140"/>
      <c r="D996" s="140"/>
      <c r="E996" s="140"/>
      <c r="F996" s="159"/>
      <c r="G996" s="159"/>
      <c r="H996" s="159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</row>
    <row r="997">
      <c r="A997" s="140"/>
      <c r="B997" s="140"/>
      <c r="C997" s="140"/>
      <c r="D997" s="140"/>
      <c r="E997" s="140"/>
      <c r="F997" s="159"/>
      <c r="G997" s="159"/>
      <c r="H997" s="159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</row>
    <row r="998">
      <c r="A998" s="140"/>
      <c r="B998" s="140"/>
      <c r="C998" s="140"/>
      <c r="D998" s="140"/>
      <c r="E998" s="140"/>
      <c r="F998" s="159"/>
      <c r="G998" s="159"/>
      <c r="H998" s="159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</row>
    <row r="999">
      <c r="A999" s="140"/>
      <c r="B999" s="140"/>
      <c r="C999" s="140"/>
      <c r="D999" s="140"/>
      <c r="E999" s="140"/>
      <c r="F999" s="159"/>
      <c r="G999" s="159"/>
      <c r="H999" s="159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</row>
    <row r="1000">
      <c r="A1000" s="140"/>
      <c r="B1000" s="140"/>
      <c r="C1000" s="140"/>
      <c r="D1000" s="140"/>
      <c r="E1000" s="140"/>
      <c r="F1000" s="159"/>
      <c r="G1000" s="159"/>
      <c r="H1000" s="159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</row>
  </sheetData>
  <mergeCells count="15">
    <mergeCell ref="C11:C14"/>
    <mergeCell ref="F11:F14"/>
    <mergeCell ref="B15:B31"/>
    <mergeCell ref="F15:F31"/>
    <mergeCell ref="G15:G31"/>
    <mergeCell ref="H15:H31"/>
    <mergeCell ref="G11:G14"/>
    <mergeCell ref="H11:H14"/>
    <mergeCell ref="A1:C1"/>
    <mergeCell ref="F1:F2"/>
    <mergeCell ref="G1:G2"/>
    <mergeCell ref="H1:H2"/>
    <mergeCell ref="B3:B10"/>
    <mergeCell ref="D3:D10"/>
    <mergeCell ref="B11:B14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5.13" defaultRowHeight="15.0"/>
  <cols>
    <col customWidth="1" min="1" max="1" width="5.13"/>
    <col customWidth="1" min="2" max="2" width="8.0"/>
    <col customWidth="1" min="3" max="3" width="9.63"/>
    <col customWidth="1" min="4" max="51" width="7.63"/>
  </cols>
  <sheetData>
    <row r="1">
      <c r="A1" s="160" t="s">
        <v>193</v>
      </c>
      <c r="C1" s="161" t="s">
        <v>144</v>
      </c>
      <c r="D1" s="162" t="s">
        <v>194</v>
      </c>
      <c r="H1" s="163" t="s">
        <v>195</v>
      </c>
      <c r="AD1" s="164" t="s">
        <v>196</v>
      </c>
      <c r="AO1" s="165" t="s">
        <v>197</v>
      </c>
      <c r="AY1" s="166" t="s">
        <v>158</v>
      </c>
    </row>
    <row r="2">
      <c r="C2" s="167"/>
      <c r="D2" s="168" t="s">
        <v>198</v>
      </c>
      <c r="E2" s="168" t="s">
        <v>199</v>
      </c>
      <c r="F2" s="168" t="s">
        <v>200</v>
      </c>
      <c r="G2" s="168" t="s">
        <v>201</v>
      </c>
      <c r="H2" s="169" t="s">
        <v>202</v>
      </c>
      <c r="I2" s="169" t="s">
        <v>203</v>
      </c>
      <c r="J2" s="169" t="s">
        <v>204</v>
      </c>
      <c r="K2" s="169" t="s">
        <v>205</v>
      </c>
      <c r="L2" s="169" t="s">
        <v>206</v>
      </c>
      <c r="M2" s="169" t="s">
        <v>207</v>
      </c>
      <c r="N2" s="169" t="s">
        <v>208</v>
      </c>
      <c r="O2" s="169" t="s">
        <v>209</v>
      </c>
      <c r="P2" s="169" t="s">
        <v>210</v>
      </c>
      <c r="Q2" s="169" t="s">
        <v>211</v>
      </c>
      <c r="R2" s="169" t="s">
        <v>212</v>
      </c>
      <c r="S2" s="169" t="s">
        <v>213</v>
      </c>
      <c r="T2" s="169" t="s">
        <v>214</v>
      </c>
      <c r="U2" s="169" t="s">
        <v>215</v>
      </c>
      <c r="V2" s="169" t="s">
        <v>216</v>
      </c>
      <c r="W2" s="169" t="s">
        <v>217</v>
      </c>
      <c r="X2" s="169" t="s">
        <v>218</v>
      </c>
      <c r="Y2" s="169" t="s">
        <v>219</v>
      </c>
      <c r="Z2" s="169" t="s">
        <v>220</v>
      </c>
      <c r="AA2" s="169" t="s">
        <v>221</v>
      </c>
      <c r="AB2" s="169" t="s">
        <v>222</v>
      </c>
      <c r="AC2" s="169" t="s">
        <v>223</v>
      </c>
      <c r="AD2" s="170" t="s">
        <v>198</v>
      </c>
      <c r="AE2" s="170" t="s">
        <v>224</v>
      </c>
      <c r="AF2" s="170" t="s">
        <v>225</v>
      </c>
      <c r="AG2" s="170" t="s">
        <v>226</v>
      </c>
      <c r="AH2" s="170" t="s">
        <v>227</v>
      </c>
      <c r="AI2" s="170" t="s">
        <v>228</v>
      </c>
      <c r="AJ2" s="170" t="s">
        <v>203</v>
      </c>
      <c r="AK2" s="170" t="s">
        <v>229</v>
      </c>
      <c r="AL2" s="170" t="s">
        <v>230</v>
      </c>
      <c r="AM2" s="170" t="s">
        <v>231</v>
      </c>
      <c r="AN2" s="170" t="s">
        <v>232</v>
      </c>
      <c r="AO2" s="171" t="s">
        <v>233</v>
      </c>
      <c r="AP2" s="171" t="s">
        <v>234</v>
      </c>
      <c r="AQ2" s="171" t="s">
        <v>235</v>
      </c>
      <c r="AR2" s="171" t="s">
        <v>236</v>
      </c>
      <c r="AS2" s="171" t="s">
        <v>237</v>
      </c>
      <c r="AT2" s="171" t="s">
        <v>238</v>
      </c>
      <c r="AU2" s="171" t="s">
        <v>239</v>
      </c>
      <c r="AV2" s="171" t="s">
        <v>240</v>
      </c>
      <c r="AW2" s="171" t="s">
        <v>241</v>
      </c>
      <c r="AX2" s="171" t="s">
        <v>242</v>
      </c>
      <c r="AY2" s="172" t="s">
        <v>243</v>
      </c>
    </row>
    <row r="3">
      <c r="A3" s="173" t="s">
        <v>244</v>
      </c>
      <c r="B3" s="174" t="s">
        <v>164</v>
      </c>
      <c r="C3" s="175">
        <f t="shared" ref="C3:C12" si="1">SUM(D3:AY3)</f>
        <v>28734.17</v>
      </c>
      <c r="D3" s="176">
        <v>646.0</v>
      </c>
      <c r="E3" s="176">
        <v>714.0</v>
      </c>
      <c r="F3" s="176" t="s">
        <v>245</v>
      </c>
      <c r="G3" s="177">
        <v>300.0</v>
      </c>
      <c r="H3" s="176">
        <v>108.0</v>
      </c>
      <c r="I3" s="176" t="s">
        <v>245</v>
      </c>
      <c r="J3" s="176">
        <v>0.0</v>
      </c>
      <c r="K3" s="176">
        <v>400.0</v>
      </c>
      <c r="L3" s="176">
        <v>434.0</v>
      </c>
      <c r="M3" s="176" t="s">
        <v>245</v>
      </c>
      <c r="N3" s="176" t="s">
        <v>245</v>
      </c>
      <c r="O3" s="176" t="s">
        <v>245</v>
      </c>
      <c r="P3" s="176" t="s">
        <v>245</v>
      </c>
      <c r="Q3" s="176">
        <v>375.0</v>
      </c>
      <c r="R3" s="176">
        <v>450.0</v>
      </c>
      <c r="S3" s="176">
        <v>0.0</v>
      </c>
      <c r="T3" s="176">
        <v>75.0</v>
      </c>
      <c r="U3" s="176">
        <v>120.0</v>
      </c>
      <c r="V3" s="176">
        <v>0.0</v>
      </c>
      <c r="W3" s="176" t="s">
        <v>245</v>
      </c>
      <c r="X3" s="176" t="s">
        <v>245</v>
      </c>
      <c r="Y3" s="176" t="s">
        <v>245</v>
      </c>
      <c r="Z3" s="176">
        <v>70.0</v>
      </c>
      <c r="AA3" s="176">
        <v>231.0</v>
      </c>
      <c r="AB3" s="176">
        <v>635.0</v>
      </c>
      <c r="AC3" s="177">
        <v>63.0</v>
      </c>
      <c r="AD3" s="176">
        <v>285.0</v>
      </c>
      <c r="AE3" s="176">
        <v>252.0</v>
      </c>
      <c r="AF3" s="176">
        <v>615.0</v>
      </c>
      <c r="AG3" s="176" t="s">
        <v>245</v>
      </c>
      <c r="AH3" s="176" t="s">
        <v>245</v>
      </c>
      <c r="AI3" s="176" t="s">
        <v>245</v>
      </c>
      <c r="AJ3" s="176" t="s">
        <v>245</v>
      </c>
      <c r="AK3" s="176" t="s">
        <v>245</v>
      </c>
      <c r="AL3" s="176" t="s">
        <v>245</v>
      </c>
      <c r="AM3" s="176" t="s">
        <v>245</v>
      </c>
      <c r="AN3" s="177" t="s">
        <v>245</v>
      </c>
      <c r="AO3" s="176">
        <v>2955.59</v>
      </c>
      <c r="AP3" s="176">
        <v>6992.64</v>
      </c>
      <c r="AQ3" s="176">
        <v>8241.43</v>
      </c>
      <c r="AR3" s="176">
        <v>186.24</v>
      </c>
      <c r="AS3" s="176">
        <v>242.98</v>
      </c>
      <c r="AT3" s="176">
        <v>506.77</v>
      </c>
      <c r="AU3" s="176">
        <v>297.52</v>
      </c>
      <c r="AV3" s="176">
        <v>3538.0</v>
      </c>
      <c r="AW3" s="176" t="s">
        <v>245</v>
      </c>
      <c r="AX3" s="177" t="s">
        <v>245</v>
      </c>
      <c r="AY3" s="177" t="s">
        <v>245</v>
      </c>
    </row>
    <row r="4">
      <c r="B4" s="174" t="s">
        <v>155</v>
      </c>
      <c r="C4" s="175">
        <f t="shared" si="1"/>
        <v>32814.5</v>
      </c>
      <c r="D4" s="176">
        <v>462.0</v>
      </c>
      <c r="E4" s="176">
        <v>568.0</v>
      </c>
      <c r="F4" s="176" t="s">
        <v>245</v>
      </c>
      <c r="G4" s="177">
        <v>240.0</v>
      </c>
      <c r="H4" s="176">
        <v>96.0</v>
      </c>
      <c r="I4" s="176" t="s">
        <v>245</v>
      </c>
      <c r="J4" s="176">
        <v>0.0</v>
      </c>
      <c r="K4" s="176">
        <v>180.0</v>
      </c>
      <c r="L4" s="176">
        <v>416.0</v>
      </c>
      <c r="M4" s="176" t="s">
        <v>245</v>
      </c>
      <c r="N4" s="176" t="s">
        <v>245</v>
      </c>
      <c r="O4" s="176" t="s">
        <v>245</v>
      </c>
      <c r="P4" s="176" t="s">
        <v>245</v>
      </c>
      <c r="Q4" s="176">
        <v>775.0</v>
      </c>
      <c r="R4" s="176">
        <v>390.0</v>
      </c>
      <c r="S4" s="176">
        <v>10.0</v>
      </c>
      <c r="T4" s="176">
        <v>75.0</v>
      </c>
      <c r="U4" s="176">
        <v>36.0</v>
      </c>
      <c r="V4" s="176">
        <v>0.0</v>
      </c>
      <c r="W4" s="176" t="s">
        <v>245</v>
      </c>
      <c r="X4" s="176" t="s">
        <v>245</v>
      </c>
      <c r="Y4" s="176" t="s">
        <v>245</v>
      </c>
      <c r="Z4" s="176">
        <v>7.0</v>
      </c>
      <c r="AA4" s="176">
        <v>231.0</v>
      </c>
      <c r="AB4" s="176">
        <v>665.0</v>
      </c>
      <c r="AC4" s="178">
        <v>35.0</v>
      </c>
      <c r="AD4" s="176">
        <v>255.0</v>
      </c>
      <c r="AE4" s="176">
        <v>168.0</v>
      </c>
      <c r="AF4" s="176">
        <v>360.0</v>
      </c>
      <c r="AG4" s="176" t="s">
        <v>245</v>
      </c>
      <c r="AH4" s="176" t="s">
        <v>245</v>
      </c>
      <c r="AI4" s="176" t="s">
        <v>245</v>
      </c>
      <c r="AJ4" s="176" t="s">
        <v>245</v>
      </c>
      <c r="AK4" s="176" t="s">
        <v>245</v>
      </c>
      <c r="AL4" s="176" t="s">
        <v>245</v>
      </c>
      <c r="AM4" s="176" t="s">
        <v>245</v>
      </c>
      <c r="AN4" s="177" t="s">
        <v>245</v>
      </c>
      <c r="AO4" s="176">
        <v>3671.37</v>
      </c>
      <c r="AP4" s="176">
        <v>7624.45</v>
      </c>
      <c r="AQ4" s="176">
        <v>12466.41</v>
      </c>
      <c r="AR4" s="176">
        <v>6.24</v>
      </c>
      <c r="AS4" s="176">
        <v>257.85</v>
      </c>
      <c r="AT4" s="176">
        <v>559.9</v>
      </c>
      <c r="AU4" s="176">
        <v>446.28</v>
      </c>
      <c r="AV4" s="176">
        <v>2813.0</v>
      </c>
      <c r="AW4" s="176" t="s">
        <v>245</v>
      </c>
      <c r="AX4" s="177" t="s">
        <v>245</v>
      </c>
      <c r="AY4" s="177" t="s">
        <v>245</v>
      </c>
    </row>
    <row r="5">
      <c r="B5" s="174" t="s">
        <v>163</v>
      </c>
      <c r="C5" s="175">
        <f t="shared" si="1"/>
        <v>17896.4</v>
      </c>
      <c r="D5" s="176">
        <v>524.0</v>
      </c>
      <c r="E5" s="176">
        <v>680.0</v>
      </c>
      <c r="F5" s="176" t="s">
        <v>245</v>
      </c>
      <c r="G5" s="177">
        <v>130.0</v>
      </c>
      <c r="H5" s="176">
        <v>84.0</v>
      </c>
      <c r="I5" s="176" t="s">
        <v>245</v>
      </c>
      <c r="J5" s="176">
        <v>50.0</v>
      </c>
      <c r="K5" s="176">
        <v>68.0</v>
      </c>
      <c r="L5" s="176">
        <v>260.0</v>
      </c>
      <c r="M5" s="176" t="s">
        <v>245</v>
      </c>
      <c r="N5" s="176" t="s">
        <v>245</v>
      </c>
      <c r="O5" s="176" t="s">
        <v>245</v>
      </c>
      <c r="P5" s="176" t="s">
        <v>245</v>
      </c>
      <c r="Q5" s="176">
        <v>200.0</v>
      </c>
      <c r="R5" s="176">
        <v>315.0</v>
      </c>
      <c r="S5" s="176">
        <v>10.0</v>
      </c>
      <c r="T5" s="176">
        <v>50.0</v>
      </c>
      <c r="U5" s="176">
        <v>15.0</v>
      </c>
      <c r="V5" s="176">
        <v>0.0</v>
      </c>
      <c r="W5" s="176" t="s">
        <v>245</v>
      </c>
      <c r="X5" s="176" t="s">
        <v>245</v>
      </c>
      <c r="Y5" s="176" t="s">
        <v>245</v>
      </c>
      <c r="Z5" s="176">
        <v>126.0</v>
      </c>
      <c r="AA5" s="176">
        <v>126.0</v>
      </c>
      <c r="AB5" s="176">
        <v>488.75</v>
      </c>
      <c r="AC5" s="178">
        <v>0.0</v>
      </c>
      <c r="AD5" s="176">
        <v>240.0</v>
      </c>
      <c r="AE5" s="176">
        <v>196.0</v>
      </c>
      <c r="AF5" s="176">
        <v>540.0</v>
      </c>
      <c r="AG5" s="176" t="s">
        <v>245</v>
      </c>
      <c r="AH5" s="176" t="s">
        <v>245</v>
      </c>
      <c r="AI5" s="176" t="s">
        <v>245</v>
      </c>
      <c r="AJ5" s="176" t="s">
        <v>245</v>
      </c>
      <c r="AK5" s="176" t="s">
        <v>245</v>
      </c>
      <c r="AL5" s="176" t="s">
        <v>245</v>
      </c>
      <c r="AM5" s="176" t="s">
        <v>245</v>
      </c>
      <c r="AN5" s="177" t="s">
        <v>245</v>
      </c>
      <c r="AO5" s="176">
        <v>1567.06</v>
      </c>
      <c r="AP5" s="176">
        <v>2279.75</v>
      </c>
      <c r="AQ5" s="176">
        <v>6718.18</v>
      </c>
      <c r="AR5" s="176">
        <v>6.24</v>
      </c>
      <c r="AS5" s="176">
        <v>102.48</v>
      </c>
      <c r="AT5" s="176">
        <v>472.6</v>
      </c>
      <c r="AU5" s="176">
        <v>338.84</v>
      </c>
      <c r="AV5" s="176">
        <v>2308.5</v>
      </c>
      <c r="AW5" s="176" t="s">
        <v>245</v>
      </c>
      <c r="AX5" s="177" t="s">
        <v>245</v>
      </c>
      <c r="AY5" s="177" t="s">
        <v>245</v>
      </c>
    </row>
    <row r="6">
      <c r="B6" s="174" t="s">
        <v>161</v>
      </c>
      <c r="C6" s="175">
        <f t="shared" si="1"/>
        <v>17654.37</v>
      </c>
      <c r="D6" s="176">
        <v>296.0</v>
      </c>
      <c r="E6" s="176">
        <v>252.0</v>
      </c>
      <c r="F6" s="176" t="s">
        <v>245</v>
      </c>
      <c r="G6" s="177">
        <v>252.0</v>
      </c>
      <c r="H6" s="176">
        <v>12.0</v>
      </c>
      <c r="I6" s="176" t="s">
        <v>245</v>
      </c>
      <c r="J6" s="176">
        <v>50.0</v>
      </c>
      <c r="K6" s="176">
        <v>80.0</v>
      </c>
      <c r="L6" s="176">
        <v>164.0</v>
      </c>
      <c r="M6" s="176" t="s">
        <v>245</v>
      </c>
      <c r="N6" s="176" t="s">
        <v>245</v>
      </c>
      <c r="O6" s="176" t="s">
        <v>245</v>
      </c>
      <c r="P6" s="176" t="s">
        <v>245</v>
      </c>
      <c r="Q6" s="176">
        <v>225.0</v>
      </c>
      <c r="R6" s="176">
        <v>240.0</v>
      </c>
      <c r="S6" s="176">
        <v>10.0</v>
      </c>
      <c r="T6" s="176">
        <v>0.0</v>
      </c>
      <c r="U6" s="176">
        <v>30.0</v>
      </c>
      <c r="V6" s="176">
        <v>0.0</v>
      </c>
      <c r="W6" s="176" t="s">
        <v>245</v>
      </c>
      <c r="X6" s="176" t="s">
        <v>245</v>
      </c>
      <c r="Y6" s="176" t="s">
        <v>245</v>
      </c>
      <c r="Z6" s="176">
        <v>42.0</v>
      </c>
      <c r="AA6" s="176">
        <v>112.0</v>
      </c>
      <c r="AB6" s="176">
        <v>395.0</v>
      </c>
      <c r="AC6" s="178">
        <v>7.0</v>
      </c>
      <c r="AD6" s="176">
        <v>165.0</v>
      </c>
      <c r="AE6" s="176">
        <v>14.0</v>
      </c>
      <c r="AF6" s="176">
        <v>285.0</v>
      </c>
      <c r="AG6" s="176" t="s">
        <v>245</v>
      </c>
      <c r="AH6" s="176" t="s">
        <v>245</v>
      </c>
      <c r="AI6" s="176" t="s">
        <v>245</v>
      </c>
      <c r="AJ6" s="176" t="s">
        <v>245</v>
      </c>
      <c r="AK6" s="176" t="s">
        <v>245</v>
      </c>
      <c r="AL6" s="176" t="s">
        <v>245</v>
      </c>
      <c r="AM6" s="176" t="s">
        <v>245</v>
      </c>
      <c r="AN6" s="177" t="s">
        <v>245</v>
      </c>
      <c r="AO6" s="176">
        <v>2031.45</v>
      </c>
      <c r="AP6" s="176">
        <v>4910.82</v>
      </c>
      <c r="AQ6" s="176">
        <v>4351.9</v>
      </c>
      <c r="AR6" s="176">
        <v>6.24</v>
      </c>
      <c r="AS6" s="176">
        <v>196.96</v>
      </c>
      <c r="AT6" s="176">
        <v>475.0</v>
      </c>
      <c r="AU6" s="176">
        <v>719.0</v>
      </c>
      <c r="AV6" s="176">
        <v>2332.0</v>
      </c>
      <c r="AW6" s="176" t="s">
        <v>245</v>
      </c>
      <c r="AX6" s="177" t="s">
        <v>245</v>
      </c>
      <c r="AY6" s="177" t="s">
        <v>245</v>
      </c>
    </row>
    <row r="7">
      <c r="B7" s="174" t="s">
        <v>159</v>
      </c>
      <c r="C7" s="175">
        <f t="shared" si="1"/>
        <v>19223.91</v>
      </c>
      <c r="D7" s="176">
        <v>544.0</v>
      </c>
      <c r="E7" s="176">
        <v>480.0</v>
      </c>
      <c r="F7" s="176" t="s">
        <v>245</v>
      </c>
      <c r="G7" s="177">
        <v>260.0</v>
      </c>
      <c r="H7" s="176">
        <v>0.0</v>
      </c>
      <c r="I7" s="176" t="s">
        <v>245</v>
      </c>
      <c r="J7" s="176">
        <v>200.0</v>
      </c>
      <c r="K7" s="176">
        <v>60.0</v>
      </c>
      <c r="L7" s="176">
        <v>324.0</v>
      </c>
      <c r="M7" s="176" t="s">
        <v>245</v>
      </c>
      <c r="N7" s="176" t="s">
        <v>245</v>
      </c>
      <c r="O7" s="176" t="s">
        <v>245</v>
      </c>
      <c r="P7" s="176" t="s">
        <v>245</v>
      </c>
      <c r="Q7" s="176">
        <v>200.0</v>
      </c>
      <c r="R7" s="176">
        <v>405.0</v>
      </c>
      <c r="S7" s="176">
        <v>0.0</v>
      </c>
      <c r="T7" s="176">
        <v>0.0</v>
      </c>
      <c r="U7" s="176">
        <v>30.0</v>
      </c>
      <c r="V7" s="176">
        <v>0.0</v>
      </c>
      <c r="W7" s="176" t="s">
        <v>245</v>
      </c>
      <c r="X7" s="176" t="s">
        <v>245</v>
      </c>
      <c r="Y7" s="176" t="s">
        <v>245</v>
      </c>
      <c r="Z7" s="176">
        <v>14.0</v>
      </c>
      <c r="AA7" s="176">
        <v>119.0</v>
      </c>
      <c r="AB7" s="176">
        <v>775.5</v>
      </c>
      <c r="AC7" s="178">
        <v>7.0</v>
      </c>
      <c r="AD7" s="176">
        <v>285.0</v>
      </c>
      <c r="AE7" s="176">
        <v>0.0</v>
      </c>
      <c r="AF7" s="176">
        <v>390.0</v>
      </c>
      <c r="AG7" s="176" t="s">
        <v>245</v>
      </c>
      <c r="AH7" s="176" t="s">
        <v>245</v>
      </c>
      <c r="AI7" s="176" t="s">
        <v>245</v>
      </c>
      <c r="AJ7" s="176" t="s">
        <v>245</v>
      </c>
      <c r="AK7" s="176" t="s">
        <v>245</v>
      </c>
      <c r="AL7" s="176" t="s">
        <v>245</v>
      </c>
      <c r="AM7" s="176" t="s">
        <v>245</v>
      </c>
      <c r="AN7" s="177" t="s">
        <v>245</v>
      </c>
      <c r="AO7" s="176">
        <v>2731.62</v>
      </c>
      <c r="AP7" s="176">
        <v>5085.03</v>
      </c>
      <c r="AQ7" s="176">
        <v>3680.0</v>
      </c>
      <c r="AR7" s="176">
        <v>6.24</v>
      </c>
      <c r="AS7" s="176">
        <v>89.25</v>
      </c>
      <c r="AT7" s="176">
        <v>427.18</v>
      </c>
      <c r="AU7" s="176">
        <v>628.09</v>
      </c>
      <c r="AV7" s="176">
        <v>2483.0</v>
      </c>
      <c r="AW7" s="176" t="s">
        <v>245</v>
      </c>
      <c r="AX7" s="177" t="s">
        <v>245</v>
      </c>
      <c r="AY7" s="177" t="s">
        <v>245</v>
      </c>
    </row>
    <row r="8">
      <c r="B8" s="174" t="s">
        <v>246</v>
      </c>
      <c r="C8" s="175">
        <f t="shared" si="1"/>
        <v>7536.88</v>
      </c>
      <c r="D8" s="176">
        <v>230.0</v>
      </c>
      <c r="E8" s="176">
        <v>92.0</v>
      </c>
      <c r="F8" s="176">
        <v>665.0</v>
      </c>
      <c r="G8" s="177">
        <v>10.0</v>
      </c>
      <c r="H8" s="176" t="s">
        <v>245</v>
      </c>
      <c r="I8" s="176">
        <v>20.0</v>
      </c>
      <c r="J8" s="176" t="s">
        <v>245</v>
      </c>
      <c r="K8" s="176" t="s">
        <v>245</v>
      </c>
      <c r="L8" s="176" t="s">
        <v>245</v>
      </c>
      <c r="M8" s="176">
        <v>55.0</v>
      </c>
      <c r="N8" s="176">
        <v>0.0</v>
      </c>
      <c r="O8" s="176">
        <v>62.0</v>
      </c>
      <c r="P8" s="176">
        <v>60.0</v>
      </c>
      <c r="Q8" s="176" t="s">
        <v>245</v>
      </c>
      <c r="R8" s="176" t="s">
        <v>245</v>
      </c>
      <c r="S8" s="176" t="s">
        <v>245</v>
      </c>
      <c r="T8" s="176" t="s">
        <v>245</v>
      </c>
      <c r="U8" s="176" t="s">
        <v>245</v>
      </c>
      <c r="V8" s="176" t="s">
        <v>245</v>
      </c>
      <c r="W8" s="176">
        <v>75.0</v>
      </c>
      <c r="X8" s="176">
        <v>0.0</v>
      </c>
      <c r="Y8" s="176">
        <v>0.0</v>
      </c>
      <c r="Z8" s="176" t="s">
        <v>245</v>
      </c>
      <c r="AA8" s="176" t="s">
        <v>245</v>
      </c>
      <c r="AB8" s="176" t="s">
        <v>245</v>
      </c>
      <c r="AC8" s="178" t="s">
        <v>245</v>
      </c>
      <c r="AD8" s="176" t="s">
        <v>245</v>
      </c>
      <c r="AE8" s="176" t="s">
        <v>245</v>
      </c>
      <c r="AF8" s="176" t="s">
        <v>245</v>
      </c>
      <c r="AG8" s="176">
        <v>1136.0</v>
      </c>
      <c r="AH8" s="176">
        <v>20.0</v>
      </c>
      <c r="AI8" s="176">
        <v>262.5</v>
      </c>
      <c r="AJ8" s="176">
        <v>60.0</v>
      </c>
      <c r="AK8" s="176" t="s">
        <v>245</v>
      </c>
      <c r="AL8" s="176">
        <v>100.0</v>
      </c>
      <c r="AM8" s="176" t="s">
        <v>245</v>
      </c>
      <c r="AN8" s="177">
        <v>159.0</v>
      </c>
      <c r="AO8" s="176">
        <v>866.94</v>
      </c>
      <c r="AP8" s="176">
        <v>156.83</v>
      </c>
      <c r="AQ8" s="176" t="s">
        <v>245</v>
      </c>
      <c r="AR8" s="176" t="s">
        <v>245</v>
      </c>
      <c r="AS8" s="176">
        <v>6.61</v>
      </c>
      <c r="AT8" s="176">
        <v>0.0</v>
      </c>
      <c r="AU8" s="176" t="s">
        <v>245</v>
      </c>
      <c r="AV8" s="176" t="s">
        <v>245</v>
      </c>
      <c r="AW8" s="176">
        <v>3150.0</v>
      </c>
      <c r="AX8" s="177">
        <v>350.0</v>
      </c>
      <c r="AY8" s="177" t="s">
        <v>245</v>
      </c>
    </row>
    <row r="9">
      <c r="B9" s="174" t="s">
        <v>247</v>
      </c>
      <c r="C9" s="175">
        <f t="shared" si="1"/>
        <v>0</v>
      </c>
      <c r="D9" s="176" t="s">
        <v>248</v>
      </c>
      <c r="E9" s="176" t="s">
        <v>248</v>
      </c>
      <c r="F9" s="176" t="s">
        <v>248</v>
      </c>
      <c r="G9" s="177" t="s">
        <v>248</v>
      </c>
      <c r="H9" s="176" t="s">
        <v>245</v>
      </c>
      <c r="I9" s="176" t="s">
        <v>248</v>
      </c>
      <c r="J9" s="176" t="s">
        <v>245</v>
      </c>
      <c r="K9" s="176" t="s">
        <v>245</v>
      </c>
      <c r="L9" s="176" t="s">
        <v>245</v>
      </c>
      <c r="M9" s="176" t="s">
        <v>248</v>
      </c>
      <c r="N9" s="176" t="s">
        <v>248</v>
      </c>
      <c r="O9" s="176" t="s">
        <v>248</v>
      </c>
      <c r="P9" s="176" t="s">
        <v>248</v>
      </c>
      <c r="Q9" s="176" t="s">
        <v>245</v>
      </c>
      <c r="R9" s="176" t="s">
        <v>245</v>
      </c>
      <c r="S9" s="176" t="s">
        <v>245</v>
      </c>
      <c r="T9" s="176" t="s">
        <v>245</v>
      </c>
      <c r="U9" s="176" t="s">
        <v>245</v>
      </c>
      <c r="V9" s="176" t="s">
        <v>245</v>
      </c>
      <c r="W9" s="176" t="s">
        <v>248</v>
      </c>
      <c r="X9" s="176" t="s">
        <v>248</v>
      </c>
      <c r="Y9" s="176" t="s">
        <v>248</v>
      </c>
      <c r="Z9" s="176" t="s">
        <v>245</v>
      </c>
      <c r="AA9" s="176" t="s">
        <v>245</v>
      </c>
      <c r="AB9" s="176" t="s">
        <v>245</v>
      </c>
      <c r="AC9" s="177" t="s">
        <v>245</v>
      </c>
      <c r="AD9" s="176" t="s">
        <v>245</v>
      </c>
      <c r="AE9" s="176" t="s">
        <v>245</v>
      </c>
      <c r="AF9" s="176" t="s">
        <v>245</v>
      </c>
      <c r="AG9" s="176" t="s">
        <v>248</v>
      </c>
      <c r="AH9" s="176" t="s">
        <v>248</v>
      </c>
      <c r="AI9" s="176" t="s">
        <v>248</v>
      </c>
      <c r="AJ9" s="176" t="s">
        <v>248</v>
      </c>
      <c r="AK9" s="176" t="s">
        <v>245</v>
      </c>
      <c r="AL9" s="176" t="s">
        <v>248</v>
      </c>
      <c r="AM9" s="176" t="s">
        <v>245</v>
      </c>
      <c r="AN9" s="177" t="s">
        <v>248</v>
      </c>
      <c r="AQ9" s="176" t="s">
        <v>245</v>
      </c>
      <c r="AR9" s="176" t="s">
        <v>245</v>
      </c>
      <c r="AU9" s="176" t="s">
        <v>245</v>
      </c>
      <c r="AV9" s="176" t="s">
        <v>245</v>
      </c>
      <c r="AW9" s="176" t="s">
        <v>248</v>
      </c>
      <c r="AX9" s="177" t="s">
        <v>248</v>
      </c>
      <c r="AY9" s="177" t="s">
        <v>245</v>
      </c>
    </row>
    <row r="10">
      <c r="B10" s="174" t="s">
        <v>249</v>
      </c>
      <c r="C10" s="175">
        <f t="shared" si="1"/>
        <v>5652.2</v>
      </c>
      <c r="D10" s="176">
        <v>10.0</v>
      </c>
      <c r="E10" s="176">
        <v>0.0</v>
      </c>
      <c r="F10" s="176">
        <v>130.0</v>
      </c>
      <c r="G10" s="177">
        <v>10.0</v>
      </c>
      <c r="H10" s="176" t="s">
        <v>245</v>
      </c>
      <c r="I10" s="176">
        <v>40.0</v>
      </c>
      <c r="J10" s="176" t="s">
        <v>245</v>
      </c>
      <c r="K10" s="176" t="s">
        <v>245</v>
      </c>
      <c r="L10" s="176" t="s">
        <v>245</v>
      </c>
      <c r="M10" s="176">
        <v>0.0</v>
      </c>
      <c r="N10" s="176">
        <v>90.0</v>
      </c>
      <c r="O10" s="176">
        <v>60.0</v>
      </c>
      <c r="P10" s="176">
        <v>5.0</v>
      </c>
      <c r="Q10" s="176" t="s">
        <v>245</v>
      </c>
      <c r="R10" s="176" t="s">
        <v>245</v>
      </c>
      <c r="S10" s="176" t="s">
        <v>245</v>
      </c>
      <c r="T10" s="176" t="s">
        <v>245</v>
      </c>
      <c r="U10" s="176" t="s">
        <v>245</v>
      </c>
      <c r="V10" s="176" t="s">
        <v>245</v>
      </c>
      <c r="W10" s="176">
        <v>200.0</v>
      </c>
      <c r="X10" s="176">
        <v>0.0</v>
      </c>
      <c r="Y10" s="176">
        <v>0.0</v>
      </c>
      <c r="Z10" s="176" t="s">
        <v>245</v>
      </c>
      <c r="AA10" s="176" t="s">
        <v>245</v>
      </c>
      <c r="AB10" s="176" t="s">
        <v>245</v>
      </c>
      <c r="AC10" s="178" t="s">
        <v>245</v>
      </c>
      <c r="AD10" s="176" t="s">
        <v>245</v>
      </c>
      <c r="AE10" s="176" t="s">
        <v>245</v>
      </c>
      <c r="AF10" s="176" t="s">
        <v>245</v>
      </c>
      <c r="AG10" s="176">
        <v>135.0</v>
      </c>
      <c r="AH10" s="176">
        <v>40.0</v>
      </c>
      <c r="AI10" s="176">
        <v>84.0</v>
      </c>
      <c r="AJ10" s="176">
        <v>120.0</v>
      </c>
      <c r="AK10" s="176" t="s">
        <v>245</v>
      </c>
      <c r="AL10" s="176">
        <v>100.0</v>
      </c>
      <c r="AM10" s="176" t="s">
        <v>245</v>
      </c>
      <c r="AN10" s="177">
        <v>180.0</v>
      </c>
      <c r="AQ10" s="176" t="s">
        <v>245</v>
      </c>
      <c r="AR10" s="176" t="s">
        <v>245</v>
      </c>
      <c r="AU10" s="176" t="s">
        <v>245</v>
      </c>
      <c r="AV10" s="176" t="s">
        <v>245</v>
      </c>
      <c r="AW10" s="176">
        <v>3048.2</v>
      </c>
      <c r="AX10" s="177">
        <v>1400.0</v>
      </c>
      <c r="AY10" s="177" t="s">
        <v>245</v>
      </c>
    </row>
    <row r="11">
      <c r="B11" s="174" t="s">
        <v>250</v>
      </c>
      <c r="C11" s="175">
        <f t="shared" si="1"/>
        <v>6406.2</v>
      </c>
      <c r="D11" s="176">
        <v>130.0</v>
      </c>
      <c r="E11" s="176">
        <v>40.0</v>
      </c>
      <c r="F11" s="176">
        <v>100.0</v>
      </c>
      <c r="G11" s="177">
        <v>0.0</v>
      </c>
      <c r="H11" s="176" t="s">
        <v>245</v>
      </c>
      <c r="I11" s="176">
        <v>10.0</v>
      </c>
      <c r="J11" s="176" t="s">
        <v>245</v>
      </c>
      <c r="K11" s="176" t="s">
        <v>245</v>
      </c>
      <c r="L11" s="176" t="s">
        <v>245</v>
      </c>
      <c r="M11" s="176">
        <v>0.0</v>
      </c>
      <c r="N11" s="176">
        <v>90.0</v>
      </c>
      <c r="O11" s="176">
        <v>60.0</v>
      </c>
      <c r="P11" s="176">
        <v>100.0</v>
      </c>
      <c r="Q11" s="176" t="s">
        <v>245</v>
      </c>
      <c r="R11" s="176" t="s">
        <v>245</v>
      </c>
      <c r="S11" s="176" t="s">
        <v>245</v>
      </c>
      <c r="T11" s="176" t="s">
        <v>245</v>
      </c>
      <c r="U11" s="176" t="s">
        <v>245</v>
      </c>
      <c r="V11" s="176" t="s">
        <v>245</v>
      </c>
      <c r="W11" s="176">
        <v>0.0</v>
      </c>
      <c r="X11" s="176">
        <v>54.0</v>
      </c>
      <c r="Y11" s="176">
        <v>10.0</v>
      </c>
      <c r="Z11" s="176" t="s">
        <v>245</v>
      </c>
      <c r="AA11" s="176" t="s">
        <v>245</v>
      </c>
      <c r="AB11" s="176" t="s">
        <v>245</v>
      </c>
      <c r="AC11" s="178" t="s">
        <v>245</v>
      </c>
      <c r="AD11" s="176" t="s">
        <v>245</v>
      </c>
      <c r="AE11" s="176" t="s">
        <v>245</v>
      </c>
      <c r="AF11" s="176" t="s">
        <v>245</v>
      </c>
      <c r="AG11" s="176">
        <v>804.0</v>
      </c>
      <c r="AH11" s="176">
        <v>120.0</v>
      </c>
      <c r="AI11" s="176">
        <v>150.0</v>
      </c>
      <c r="AJ11" s="176">
        <v>10.0</v>
      </c>
      <c r="AK11" s="176" t="s">
        <v>245</v>
      </c>
      <c r="AL11" s="176">
        <v>100.0</v>
      </c>
      <c r="AM11" s="176" t="s">
        <v>245</v>
      </c>
      <c r="AN11" s="177">
        <v>180.0</v>
      </c>
      <c r="AQ11" s="176" t="s">
        <v>245</v>
      </c>
      <c r="AR11" s="176" t="s">
        <v>245</v>
      </c>
      <c r="AU11" s="176" t="s">
        <v>245</v>
      </c>
      <c r="AV11" s="176" t="s">
        <v>245</v>
      </c>
      <c r="AW11" s="176">
        <v>3048.2</v>
      </c>
      <c r="AX11" s="177">
        <v>1400.0</v>
      </c>
      <c r="AY11" s="177" t="s">
        <v>245</v>
      </c>
    </row>
    <row r="12">
      <c r="B12" s="174" t="s">
        <v>251</v>
      </c>
      <c r="C12" s="175">
        <f t="shared" si="1"/>
        <v>4922.2</v>
      </c>
      <c r="D12" s="176">
        <v>0.0</v>
      </c>
      <c r="E12" s="176">
        <v>0.0</v>
      </c>
      <c r="F12" s="176">
        <v>0.0</v>
      </c>
      <c r="G12" s="177">
        <v>0.0</v>
      </c>
      <c r="H12" s="176" t="s">
        <v>245</v>
      </c>
      <c r="I12" s="176">
        <v>20.0</v>
      </c>
      <c r="J12" s="176" t="s">
        <v>245</v>
      </c>
      <c r="K12" s="176" t="s">
        <v>245</v>
      </c>
      <c r="L12" s="176" t="s">
        <v>245</v>
      </c>
      <c r="M12" s="176">
        <v>0.0</v>
      </c>
      <c r="N12" s="176">
        <v>0.0</v>
      </c>
      <c r="O12" s="176">
        <v>80.0</v>
      </c>
      <c r="P12" s="176">
        <v>40.0</v>
      </c>
      <c r="Q12" s="176" t="s">
        <v>245</v>
      </c>
      <c r="R12" s="176" t="s">
        <v>245</v>
      </c>
      <c r="S12" s="176" t="s">
        <v>245</v>
      </c>
      <c r="T12" s="176" t="s">
        <v>245</v>
      </c>
      <c r="U12" s="176" t="s">
        <v>245</v>
      </c>
      <c r="V12" s="176" t="s">
        <v>245</v>
      </c>
      <c r="W12" s="176">
        <v>75.0</v>
      </c>
      <c r="X12" s="176">
        <v>0.0</v>
      </c>
      <c r="Y12" s="176">
        <v>0.0</v>
      </c>
      <c r="Z12" s="176" t="s">
        <v>245</v>
      </c>
      <c r="AA12" s="176" t="s">
        <v>245</v>
      </c>
      <c r="AB12" s="176" t="s">
        <v>245</v>
      </c>
      <c r="AC12" s="178" t="s">
        <v>245</v>
      </c>
      <c r="AD12" s="176" t="s">
        <v>245</v>
      </c>
      <c r="AE12" s="176" t="s">
        <v>245</v>
      </c>
      <c r="AF12" s="176" t="s">
        <v>245</v>
      </c>
      <c r="AG12" s="176">
        <v>0.0</v>
      </c>
      <c r="AH12" s="176">
        <v>40.0</v>
      </c>
      <c r="AI12" s="176">
        <v>0.0</v>
      </c>
      <c r="AJ12" s="176">
        <v>30.0</v>
      </c>
      <c r="AK12" s="176" t="s">
        <v>245</v>
      </c>
      <c r="AL12" s="176">
        <v>0.0</v>
      </c>
      <c r="AM12" s="176" t="s">
        <v>245</v>
      </c>
      <c r="AN12" s="177">
        <v>189.0</v>
      </c>
      <c r="AQ12" s="176" t="s">
        <v>245</v>
      </c>
      <c r="AR12" s="176" t="s">
        <v>245</v>
      </c>
      <c r="AU12" s="176" t="s">
        <v>245</v>
      </c>
      <c r="AV12" s="176" t="s">
        <v>245</v>
      </c>
      <c r="AW12" s="176">
        <v>3048.2</v>
      </c>
      <c r="AX12" s="177">
        <v>1400.0</v>
      </c>
      <c r="AY12" s="177" t="s">
        <v>245</v>
      </c>
    </row>
    <row r="13">
      <c r="A13" s="179"/>
      <c r="B13" s="180" t="s">
        <v>144</v>
      </c>
      <c r="C13" s="181">
        <f>SUM(C3:C12)+AY13</f>
        <v>143930.83</v>
      </c>
      <c r="D13" s="182">
        <f t="shared" ref="D13:AL13" si="2">SUM(D3:D12)</f>
        <v>2842</v>
      </c>
      <c r="E13" s="182">
        <f t="shared" si="2"/>
        <v>2826</v>
      </c>
      <c r="F13" s="182">
        <f t="shared" si="2"/>
        <v>895</v>
      </c>
      <c r="G13" s="183">
        <f t="shared" si="2"/>
        <v>1202</v>
      </c>
      <c r="H13" s="182">
        <f t="shared" si="2"/>
        <v>300</v>
      </c>
      <c r="I13" s="182">
        <f t="shared" si="2"/>
        <v>90</v>
      </c>
      <c r="J13" s="182">
        <f t="shared" si="2"/>
        <v>300</v>
      </c>
      <c r="K13" s="182">
        <f t="shared" si="2"/>
        <v>788</v>
      </c>
      <c r="L13" s="182">
        <f t="shared" si="2"/>
        <v>1598</v>
      </c>
      <c r="M13" s="182">
        <f t="shared" si="2"/>
        <v>55</v>
      </c>
      <c r="N13" s="182">
        <f t="shared" si="2"/>
        <v>180</v>
      </c>
      <c r="O13" s="182">
        <f t="shared" si="2"/>
        <v>262</v>
      </c>
      <c r="P13" s="182">
        <f t="shared" si="2"/>
        <v>205</v>
      </c>
      <c r="Q13" s="182">
        <f t="shared" si="2"/>
        <v>1775</v>
      </c>
      <c r="R13" s="182">
        <f t="shared" si="2"/>
        <v>1800</v>
      </c>
      <c r="S13" s="182">
        <f t="shared" si="2"/>
        <v>30</v>
      </c>
      <c r="T13" s="182">
        <f t="shared" si="2"/>
        <v>200</v>
      </c>
      <c r="U13" s="182">
        <f t="shared" si="2"/>
        <v>231</v>
      </c>
      <c r="V13" s="182">
        <f t="shared" si="2"/>
        <v>0</v>
      </c>
      <c r="W13" s="182">
        <f t="shared" si="2"/>
        <v>350</v>
      </c>
      <c r="X13" s="182">
        <f t="shared" si="2"/>
        <v>54</v>
      </c>
      <c r="Y13" s="182">
        <f t="shared" si="2"/>
        <v>10</v>
      </c>
      <c r="Z13" s="182">
        <f t="shared" si="2"/>
        <v>259</v>
      </c>
      <c r="AA13" s="182">
        <f t="shared" si="2"/>
        <v>819</v>
      </c>
      <c r="AB13" s="182">
        <f t="shared" si="2"/>
        <v>2959.25</v>
      </c>
      <c r="AC13" s="183">
        <f t="shared" si="2"/>
        <v>112</v>
      </c>
      <c r="AD13" s="182">
        <f t="shared" si="2"/>
        <v>1230</v>
      </c>
      <c r="AE13" s="182">
        <f t="shared" si="2"/>
        <v>630</v>
      </c>
      <c r="AF13" s="182">
        <f t="shared" si="2"/>
        <v>2190</v>
      </c>
      <c r="AG13" s="182">
        <f t="shared" si="2"/>
        <v>2075</v>
      </c>
      <c r="AH13" s="182">
        <f t="shared" si="2"/>
        <v>220</v>
      </c>
      <c r="AI13" s="182">
        <f t="shared" si="2"/>
        <v>496.5</v>
      </c>
      <c r="AJ13" s="182">
        <f t="shared" si="2"/>
        <v>220</v>
      </c>
      <c r="AK13" s="182">
        <f t="shared" si="2"/>
        <v>0</v>
      </c>
      <c r="AL13" s="182">
        <f t="shared" si="2"/>
        <v>300</v>
      </c>
      <c r="AM13" s="182">
        <v>0.0</v>
      </c>
      <c r="AN13" s="183">
        <f t="shared" ref="AN13:AX13" si="3">SUM(AN3:AN12)</f>
        <v>708</v>
      </c>
      <c r="AO13" s="182">
        <f t="shared" si="3"/>
        <v>13824.03</v>
      </c>
      <c r="AP13" s="182">
        <f t="shared" si="3"/>
        <v>27049.52</v>
      </c>
      <c r="AQ13" s="182">
        <f t="shared" si="3"/>
        <v>35457.92</v>
      </c>
      <c r="AR13" s="182">
        <f t="shared" si="3"/>
        <v>211.2</v>
      </c>
      <c r="AS13" s="182">
        <f t="shared" si="3"/>
        <v>896.13</v>
      </c>
      <c r="AT13" s="182">
        <f t="shared" si="3"/>
        <v>2441.45</v>
      </c>
      <c r="AU13" s="182">
        <f t="shared" si="3"/>
        <v>2429.73</v>
      </c>
      <c r="AV13" s="182">
        <f t="shared" si="3"/>
        <v>13474.5</v>
      </c>
      <c r="AW13" s="182">
        <f t="shared" si="3"/>
        <v>12294.6</v>
      </c>
      <c r="AX13" s="183">
        <f t="shared" si="3"/>
        <v>4550</v>
      </c>
      <c r="AY13" s="183">
        <v>3090.0</v>
      </c>
    </row>
    <row r="14">
      <c r="A14" s="173" t="s">
        <v>252</v>
      </c>
      <c r="B14" s="174" t="s">
        <v>164</v>
      </c>
      <c r="C14" s="175">
        <f t="shared" ref="C14:C23" si="4">SUM(D14:AY14)</f>
        <v>23601.83</v>
      </c>
      <c r="D14" s="176">
        <v>526.0</v>
      </c>
      <c r="E14" s="176">
        <v>578.0</v>
      </c>
      <c r="F14" s="176" t="s">
        <v>245</v>
      </c>
      <c r="G14" s="177">
        <v>450.0</v>
      </c>
      <c r="H14" s="176">
        <v>84.0</v>
      </c>
      <c r="I14" s="176" t="s">
        <v>245</v>
      </c>
      <c r="J14" s="176">
        <v>50.0</v>
      </c>
      <c r="K14" s="176">
        <v>13.0</v>
      </c>
      <c r="L14" s="176">
        <v>105.0</v>
      </c>
      <c r="M14" s="176" t="s">
        <v>245</v>
      </c>
      <c r="N14" s="176" t="s">
        <v>245</v>
      </c>
      <c r="O14" s="176" t="s">
        <v>245</v>
      </c>
      <c r="P14" s="176" t="s">
        <v>245</v>
      </c>
      <c r="Q14" s="176">
        <v>425.0</v>
      </c>
      <c r="R14" s="176">
        <v>405.0</v>
      </c>
      <c r="S14" s="176">
        <v>5.0</v>
      </c>
      <c r="T14" s="176">
        <v>25.0</v>
      </c>
      <c r="U14" s="176">
        <v>45.0</v>
      </c>
      <c r="V14" s="176">
        <v>22.0</v>
      </c>
      <c r="W14" s="176" t="s">
        <v>245</v>
      </c>
      <c r="X14" s="176" t="s">
        <v>245</v>
      </c>
      <c r="Y14" s="176" t="s">
        <v>245</v>
      </c>
      <c r="Z14" s="176">
        <v>140.0</v>
      </c>
      <c r="AA14" s="176">
        <v>220.0</v>
      </c>
      <c r="AB14" s="176">
        <v>267.0</v>
      </c>
      <c r="AC14" s="177">
        <v>53.0</v>
      </c>
      <c r="AD14" s="176">
        <v>225.0</v>
      </c>
      <c r="AE14" s="176">
        <v>210.0</v>
      </c>
      <c r="AF14" s="176">
        <v>375.0</v>
      </c>
      <c r="AG14" s="176" t="s">
        <v>245</v>
      </c>
      <c r="AH14" s="176" t="s">
        <v>245</v>
      </c>
      <c r="AI14" s="176" t="s">
        <v>245</v>
      </c>
      <c r="AJ14" s="176" t="s">
        <v>245</v>
      </c>
      <c r="AK14" s="176" t="s">
        <v>245</v>
      </c>
      <c r="AL14" s="176" t="s">
        <v>245</v>
      </c>
      <c r="AM14" s="176" t="s">
        <v>245</v>
      </c>
      <c r="AN14" s="177" t="s">
        <v>245</v>
      </c>
      <c r="AO14" s="176">
        <v>3472.5</v>
      </c>
      <c r="AP14" s="176">
        <v>4747.97</v>
      </c>
      <c r="AQ14" s="176">
        <v>6310.08</v>
      </c>
      <c r="AR14" s="176">
        <v>0.0</v>
      </c>
      <c r="AS14" s="176">
        <v>106.61</v>
      </c>
      <c r="AT14" s="176">
        <v>782.19</v>
      </c>
      <c r="AU14" s="176">
        <v>421.48</v>
      </c>
      <c r="AV14" s="176">
        <v>3538.0</v>
      </c>
      <c r="AW14" s="176" t="s">
        <v>245</v>
      </c>
      <c r="AX14" s="177" t="s">
        <v>245</v>
      </c>
      <c r="AY14" s="177" t="s">
        <v>245</v>
      </c>
    </row>
    <row r="15">
      <c r="B15" s="174" t="s">
        <v>155</v>
      </c>
      <c r="C15" s="175">
        <f t="shared" si="4"/>
        <v>18088.94</v>
      </c>
      <c r="D15" s="176">
        <v>441.0</v>
      </c>
      <c r="E15" s="176">
        <v>447.0</v>
      </c>
      <c r="F15" s="176" t="s">
        <v>245</v>
      </c>
      <c r="G15" s="177">
        <v>239.0</v>
      </c>
      <c r="H15" s="176">
        <v>72.0</v>
      </c>
      <c r="I15" s="176" t="s">
        <v>245</v>
      </c>
      <c r="J15" s="176">
        <v>0.0</v>
      </c>
      <c r="K15" s="176">
        <v>16.0</v>
      </c>
      <c r="L15" s="176">
        <v>0.0</v>
      </c>
      <c r="M15" s="176" t="s">
        <v>245</v>
      </c>
      <c r="N15" s="176" t="s">
        <v>245</v>
      </c>
      <c r="O15" s="176" t="s">
        <v>245</v>
      </c>
      <c r="P15" s="176" t="s">
        <v>245</v>
      </c>
      <c r="Q15" s="176">
        <v>400.0</v>
      </c>
      <c r="R15" s="176">
        <v>285.0</v>
      </c>
      <c r="S15" s="176">
        <v>0.0</v>
      </c>
      <c r="T15" s="176">
        <v>0.0</v>
      </c>
      <c r="U15" s="176">
        <v>45.0</v>
      </c>
      <c r="V15" s="176">
        <v>15.0</v>
      </c>
      <c r="W15" s="176" t="s">
        <v>245</v>
      </c>
      <c r="X15" s="176" t="s">
        <v>245</v>
      </c>
      <c r="Y15" s="176" t="s">
        <v>245</v>
      </c>
      <c r="Z15" s="176">
        <v>21.0</v>
      </c>
      <c r="AA15" s="176">
        <v>98.0</v>
      </c>
      <c r="AB15" s="176">
        <v>199.75</v>
      </c>
      <c r="AC15" s="177">
        <v>60.0</v>
      </c>
      <c r="AD15" s="176">
        <v>255.0</v>
      </c>
      <c r="AE15" s="176">
        <v>140.0</v>
      </c>
      <c r="AF15" s="176">
        <v>270.0</v>
      </c>
      <c r="AG15" s="176" t="s">
        <v>245</v>
      </c>
      <c r="AH15" s="176" t="s">
        <v>245</v>
      </c>
      <c r="AI15" s="176" t="s">
        <v>245</v>
      </c>
      <c r="AJ15" s="176" t="s">
        <v>245</v>
      </c>
      <c r="AK15" s="176" t="s">
        <v>245</v>
      </c>
      <c r="AL15" s="176" t="s">
        <v>245</v>
      </c>
      <c r="AM15" s="176" t="s">
        <v>245</v>
      </c>
      <c r="AN15" s="177" t="s">
        <v>245</v>
      </c>
      <c r="AO15" s="176">
        <v>3156.32</v>
      </c>
      <c r="AP15" s="176">
        <v>5056.19</v>
      </c>
      <c r="AQ15" s="176">
        <v>3227.68</v>
      </c>
      <c r="AR15" s="176">
        <v>0.0</v>
      </c>
      <c r="AS15" s="176">
        <v>125.62</v>
      </c>
      <c r="AT15" s="176">
        <v>375.81</v>
      </c>
      <c r="AU15" s="176">
        <v>330.57</v>
      </c>
      <c r="AV15" s="176">
        <v>2813.0</v>
      </c>
      <c r="AW15" s="176" t="s">
        <v>245</v>
      </c>
      <c r="AX15" s="177" t="s">
        <v>245</v>
      </c>
      <c r="AY15" s="177" t="s">
        <v>245</v>
      </c>
    </row>
    <row r="16">
      <c r="B16" s="174" t="s">
        <v>163</v>
      </c>
      <c r="C16" s="175">
        <f t="shared" si="4"/>
        <v>14823.5</v>
      </c>
      <c r="D16" s="176">
        <v>308.0</v>
      </c>
      <c r="E16" s="176">
        <v>532.0</v>
      </c>
      <c r="F16" s="176" t="s">
        <v>245</v>
      </c>
      <c r="G16" s="177">
        <v>335.0</v>
      </c>
      <c r="H16" s="176">
        <v>72.0</v>
      </c>
      <c r="I16" s="176" t="s">
        <v>245</v>
      </c>
      <c r="J16" s="176">
        <v>200.0</v>
      </c>
      <c r="K16" s="176">
        <v>40.0</v>
      </c>
      <c r="L16" s="176">
        <v>90.0</v>
      </c>
      <c r="M16" s="176" t="s">
        <v>245</v>
      </c>
      <c r="N16" s="176" t="s">
        <v>245</v>
      </c>
      <c r="O16" s="176" t="s">
        <v>245</v>
      </c>
      <c r="P16" s="176" t="s">
        <v>245</v>
      </c>
      <c r="Q16" s="176">
        <v>150.0</v>
      </c>
      <c r="R16" s="176">
        <v>300.0</v>
      </c>
      <c r="S16" s="176">
        <v>15.0</v>
      </c>
      <c r="T16" s="176">
        <v>0.0</v>
      </c>
      <c r="U16" s="176">
        <v>60.0</v>
      </c>
      <c r="V16" s="176">
        <v>45.0</v>
      </c>
      <c r="W16" s="176" t="s">
        <v>245</v>
      </c>
      <c r="X16" s="176" t="s">
        <v>245</v>
      </c>
      <c r="Y16" s="176" t="s">
        <v>245</v>
      </c>
      <c r="Z16" s="176">
        <v>112.0</v>
      </c>
      <c r="AA16" s="176">
        <v>112.0</v>
      </c>
      <c r="AB16" s="176">
        <v>226.5</v>
      </c>
      <c r="AC16" s="177">
        <v>50.0</v>
      </c>
      <c r="AD16" s="176">
        <v>180.0</v>
      </c>
      <c r="AE16" s="176">
        <v>126.0</v>
      </c>
      <c r="AF16" s="176">
        <v>360.0</v>
      </c>
      <c r="AG16" s="176" t="s">
        <v>245</v>
      </c>
      <c r="AH16" s="176" t="s">
        <v>245</v>
      </c>
      <c r="AI16" s="176" t="s">
        <v>245</v>
      </c>
      <c r="AJ16" s="176" t="s">
        <v>245</v>
      </c>
      <c r="AK16" s="176" t="s">
        <v>245</v>
      </c>
      <c r="AL16" s="176" t="s">
        <v>245</v>
      </c>
      <c r="AM16" s="176" t="s">
        <v>245</v>
      </c>
      <c r="AN16" s="177" t="s">
        <v>245</v>
      </c>
      <c r="AO16" s="176">
        <v>2059.29</v>
      </c>
      <c r="AP16" s="176">
        <v>2126.28</v>
      </c>
      <c r="AQ16" s="176">
        <v>4069.58</v>
      </c>
      <c r="AR16" s="176">
        <v>0.0</v>
      </c>
      <c r="AS16" s="176">
        <v>85.95</v>
      </c>
      <c r="AT16" s="176">
        <v>306.38</v>
      </c>
      <c r="AU16" s="176">
        <v>297.52</v>
      </c>
      <c r="AV16" s="176">
        <v>2565.0</v>
      </c>
      <c r="AW16" s="176" t="s">
        <v>245</v>
      </c>
      <c r="AX16" s="177" t="s">
        <v>245</v>
      </c>
      <c r="AY16" s="177" t="s">
        <v>245</v>
      </c>
    </row>
    <row r="17">
      <c r="B17" s="174" t="s">
        <v>161</v>
      </c>
      <c r="C17" s="175">
        <f t="shared" si="4"/>
        <v>9368.1</v>
      </c>
      <c r="D17" s="176">
        <v>498.0</v>
      </c>
      <c r="E17" s="176">
        <v>267.0</v>
      </c>
      <c r="F17" s="176" t="s">
        <v>245</v>
      </c>
      <c r="G17" s="177">
        <v>248.0</v>
      </c>
      <c r="H17" s="176">
        <v>0.0</v>
      </c>
      <c r="I17" s="176" t="s">
        <v>245</v>
      </c>
      <c r="J17" s="176">
        <v>150.0</v>
      </c>
      <c r="K17" s="176">
        <v>60.0</v>
      </c>
      <c r="L17" s="176">
        <v>192.0</v>
      </c>
      <c r="M17" s="176" t="s">
        <v>245</v>
      </c>
      <c r="N17" s="176" t="s">
        <v>245</v>
      </c>
      <c r="O17" s="176" t="s">
        <v>245</v>
      </c>
      <c r="P17" s="176" t="s">
        <v>245</v>
      </c>
      <c r="Q17" s="176">
        <v>50.0</v>
      </c>
      <c r="R17" s="176">
        <v>135.0</v>
      </c>
      <c r="S17" s="176">
        <v>10.0</v>
      </c>
      <c r="T17" s="176">
        <v>25.0</v>
      </c>
      <c r="U17" s="176">
        <v>15.0</v>
      </c>
      <c r="V17" s="176">
        <v>5.0</v>
      </c>
      <c r="W17" s="176" t="s">
        <v>245</v>
      </c>
      <c r="X17" s="176" t="s">
        <v>245</v>
      </c>
      <c r="Y17" s="176" t="s">
        <v>245</v>
      </c>
      <c r="Z17" s="176">
        <v>42.0</v>
      </c>
      <c r="AA17" s="176">
        <v>28.0</v>
      </c>
      <c r="AB17" s="176">
        <v>132.25</v>
      </c>
      <c r="AC17" s="177">
        <v>20.0</v>
      </c>
      <c r="AD17" s="176">
        <v>270.0</v>
      </c>
      <c r="AE17" s="176">
        <v>0.0</v>
      </c>
      <c r="AF17" s="176">
        <v>0.0</v>
      </c>
      <c r="AG17" s="176" t="s">
        <v>245</v>
      </c>
      <c r="AH17" s="176" t="s">
        <v>245</v>
      </c>
      <c r="AI17" s="176" t="s">
        <v>245</v>
      </c>
      <c r="AJ17" s="176" t="s">
        <v>245</v>
      </c>
      <c r="AK17" s="176" t="s">
        <v>245</v>
      </c>
      <c r="AL17" s="176" t="s">
        <v>245</v>
      </c>
      <c r="AM17" s="176" t="s">
        <v>245</v>
      </c>
      <c r="AN17" s="177" t="s">
        <v>245</v>
      </c>
      <c r="AO17" s="176">
        <v>982.36</v>
      </c>
      <c r="AP17" s="176">
        <v>2302.47</v>
      </c>
      <c r="AQ17" s="176">
        <v>585.12</v>
      </c>
      <c r="AR17" s="176">
        <v>0.0</v>
      </c>
      <c r="AS17" s="176">
        <v>119.0</v>
      </c>
      <c r="AT17" s="176">
        <v>180.9</v>
      </c>
      <c r="AU17" s="176">
        <v>719.0</v>
      </c>
      <c r="AV17" s="176">
        <v>2332.0</v>
      </c>
      <c r="AW17" s="176" t="s">
        <v>245</v>
      </c>
      <c r="AX17" s="177" t="s">
        <v>245</v>
      </c>
      <c r="AY17" s="177" t="s">
        <v>245</v>
      </c>
    </row>
    <row r="18">
      <c r="B18" s="174" t="s">
        <v>159</v>
      </c>
      <c r="C18" s="175">
        <f t="shared" si="4"/>
        <v>15767.35</v>
      </c>
      <c r="D18" s="176">
        <v>510.0</v>
      </c>
      <c r="E18" s="176">
        <v>418.0</v>
      </c>
      <c r="F18" s="176" t="s">
        <v>245</v>
      </c>
      <c r="G18" s="177">
        <v>360.0</v>
      </c>
      <c r="H18" s="176">
        <v>24.0</v>
      </c>
      <c r="I18" s="176" t="s">
        <v>245</v>
      </c>
      <c r="J18" s="176">
        <v>100.0</v>
      </c>
      <c r="K18" s="176">
        <v>100.0</v>
      </c>
      <c r="L18" s="176">
        <v>98.0</v>
      </c>
      <c r="M18" s="176" t="s">
        <v>245</v>
      </c>
      <c r="N18" s="176" t="s">
        <v>245</v>
      </c>
      <c r="O18" s="176" t="s">
        <v>245</v>
      </c>
      <c r="P18" s="176" t="s">
        <v>245</v>
      </c>
      <c r="Q18" s="176">
        <v>100.0</v>
      </c>
      <c r="R18" s="176">
        <v>585.0</v>
      </c>
      <c r="S18" s="176">
        <v>10.0</v>
      </c>
      <c r="T18" s="176">
        <v>25.0</v>
      </c>
      <c r="U18" s="176">
        <v>45.0</v>
      </c>
      <c r="V18" s="176">
        <v>0.0</v>
      </c>
      <c r="W18" s="176" t="s">
        <v>245</v>
      </c>
      <c r="X18" s="176" t="s">
        <v>245</v>
      </c>
      <c r="Y18" s="176" t="s">
        <v>245</v>
      </c>
      <c r="Z18" s="176">
        <v>63.0</v>
      </c>
      <c r="AA18" s="176">
        <v>56.0</v>
      </c>
      <c r="AB18" s="176">
        <v>205.25</v>
      </c>
      <c r="AC18" s="177">
        <v>20.0</v>
      </c>
      <c r="AD18" s="176">
        <v>255.0</v>
      </c>
      <c r="AE18" s="176">
        <v>28.0</v>
      </c>
      <c r="AF18" s="176">
        <v>0.0</v>
      </c>
      <c r="AG18" s="176" t="s">
        <v>245</v>
      </c>
      <c r="AH18" s="176" t="s">
        <v>245</v>
      </c>
      <c r="AI18" s="176" t="s">
        <v>245</v>
      </c>
      <c r="AJ18" s="176" t="s">
        <v>245</v>
      </c>
      <c r="AK18" s="176" t="s">
        <v>245</v>
      </c>
      <c r="AL18" s="176" t="s">
        <v>245</v>
      </c>
      <c r="AM18" s="176" t="s">
        <v>245</v>
      </c>
      <c r="AN18" s="177" t="s">
        <v>245</v>
      </c>
      <c r="AO18" s="176">
        <v>3487.37</v>
      </c>
      <c r="AP18" s="176">
        <v>4543.71</v>
      </c>
      <c r="AQ18" s="176">
        <v>1112.39</v>
      </c>
      <c r="AR18" s="176">
        <v>0.0</v>
      </c>
      <c r="AS18" s="176">
        <v>99.17</v>
      </c>
      <c r="AT18" s="176">
        <v>349.38</v>
      </c>
      <c r="AU18" s="176">
        <v>690.08</v>
      </c>
      <c r="AV18" s="176">
        <v>2483.0</v>
      </c>
      <c r="AW18" s="176" t="s">
        <v>245</v>
      </c>
      <c r="AX18" s="177" t="s">
        <v>245</v>
      </c>
      <c r="AY18" s="177" t="s">
        <v>245</v>
      </c>
    </row>
    <row r="19">
      <c r="B19" s="174" t="s">
        <v>246</v>
      </c>
      <c r="C19" s="175">
        <f t="shared" si="4"/>
        <v>8038.52</v>
      </c>
      <c r="D19" s="176">
        <v>140.0</v>
      </c>
      <c r="E19" s="176">
        <v>250.0</v>
      </c>
      <c r="F19" s="176">
        <v>750.0</v>
      </c>
      <c r="G19" s="177">
        <v>240.0</v>
      </c>
      <c r="H19" s="176" t="s">
        <v>245</v>
      </c>
      <c r="I19" s="176">
        <v>70.0</v>
      </c>
      <c r="J19" s="176" t="s">
        <v>245</v>
      </c>
      <c r="K19" s="176" t="s">
        <v>245</v>
      </c>
      <c r="L19" s="176" t="s">
        <v>245</v>
      </c>
      <c r="M19" s="176">
        <v>55.0</v>
      </c>
      <c r="N19" s="176">
        <v>90.0</v>
      </c>
      <c r="O19" s="176">
        <v>90.0</v>
      </c>
      <c r="P19" s="176">
        <v>80.0</v>
      </c>
      <c r="Q19" s="176" t="s">
        <v>245</v>
      </c>
      <c r="R19" s="176" t="s">
        <v>245</v>
      </c>
      <c r="S19" s="176" t="s">
        <v>245</v>
      </c>
      <c r="T19" s="176" t="s">
        <v>245</v>
      </c>
      <c r="U19" s="176" t="s">
        <v>245</v>
      </c>
      <c r="V19" s="176" t="s">
        <v>245</v>
      </c>
      <c r="W19" s="176">
        <v>175.0</v>
      </c>
      <c r="X19" s="176">
        <v>36.0</v>
      </c>
      <c r="Y19" s="176">
        <v>20.0</v>
      </c>
      <c r="Z19" s="176" t="s">
        <v>245</v>
      </c>
      <c r="AA19" s="176" t="s">
        <v>245</v>
      </c>
      <c r="AB19" s="176" t="s">
        <v>245</v>
      </c>
      <c r="AC19" s="178" t="s">
        <v>245</v>
      </c>
      <c r="AD19" s="176" t="s">
        <v>245</v>
      </c>
      <c r="AE19" s="176" t="s">
        <v>245</v>
      </c>
      <c r="AF19" s="176" t="s">
        <v>245</v>
      </c>
      <c r="AG19" s="176">
        <v>1467.0</v>
      </c>
      <c r="AH19" s="176">
        <v>40.0</v>
      </c>
      <c r="AI19" s="176" t="s">
        <v>245</v>
      </c>
      <c r="AJ19" s="176" t="s">
        <v>245</v>
      </c>
      <c r="AK19" s="176">
        <v>765.0</v>
      </c>
      <c r="AL19" s="176">
        <v>330.0</v>
      </c>
      <c r="AM19" s="176" t="s">
        <v>245</v>
      </c>
      <c r="AN19" s="177">
        <v>243.0</v>
      </c>
      <c r="AO19" s="176">
        <v>197.52</v>
      </c>
      <c r="AP19" s="176">
        <v>0.0</v>
      </c>
      <c r="AQ19" s="176" t="s">
        <v>245</v>
      </c>
      <c r="AR19" s="176" t="s">
        <v>245</v>
      </c>
      <c r="AS19" s="176">
        <v>0.0</v>
      </c>
      <c r="AT19" s="176">
        <v>0.0</v>
      </c>
      <c r="AU19" s="176" t="s">
        <v>245</v>
      </c>
      <c r="AV19" s="176" t="s">
        <v>245</v>
      </c>
      <c r="AW19" s="176">
        <v>2650.0</v>
      </c>
      <c r="AX19" s="177">
        <v>350.0</v>
      </c>
      <c r="AY19" s="177" t="s">
        <v>245</v>
      </c>
    </row>
    <row r="20">
      <c r="B20" s="174" t="s">
        <v>247</v>
      </c>
      <c r="C20" s="175">
        <f t="shared" si="4"/>
        <v>0</v>
      </c>
      <c r="D20" s="176" t="s">
        <v>248</v>
      </c>
      <c r="E20" s="176" t="s">
        <v>248</v>
      </c>
      <c r="F20" s="176" t="s">
        <v>248</v>
      </c>
      <c r="G20" s="177" t="s">
        <v>248</v>
      </c>
      <c r="H20" s="176" t="s">
        <v>245</v>
      </c>
      <c r="I20" s="176" t="s">
        <v>248</v>
      </c>
      <c r="J20" s="176" t="s">
        <v>245</v>
      </c>
      <c r="K20" s="176" t="s">
        <v>245</v>
      </c>
      <c r="L20" s="176" t="s">
        <v>245</v>
      </c>
      <c r="M20" s="176" t="s">
        <v>248</v>
      </c>
      <c r="N20" s="176" t="s">
        <v>248</v>
      </c>
      <c r="O20" s="176" t="s">
        <v>248</v>
      </c>
      <c r="P20" s="176" t="s">
        <v>248</v>
      </c>
      <c r="Q20" s="176" t="s">
        <v>245</v>
      </c>
      <c r="R20" s="176" t="s">
        <v>245</v>
      </c>
      <c r="S20" s="176" t="s">
        <v>245</v>
      </c>
      <c r="T20" s="176" t="s">
        <v>245</v>
      </c>
      <c r="U20" s="176" t="s">
        <v>245</v>
      </c>
      <c r="V20" s="176" t="s">
        <v>245</v>
      </c>
      <c r="W20" s="176" t="s">
        <v>248</v>
      </c>
      <c r="X20" s="176" t="s">
        <v>248</v>
      </c>
      <c r="Y20" s="176" t="s">
        <v>248</v>
      </c>
      <c r="Z20" s="176" t="s">
        <v>245</v>
      </c>
      <c r="AA20" s="176" t="s">
        <v>245</v>
      </c>
      <c r="AB20" s="176" t="s">
        <v>245</v>
      </c>
      <c r="AC20" s="178" t="s">
        <v>245</v>
      </c>
      <c r="AD20" s="176" t="s">
        <v>245</v>
      </c>
      <c r="AE20" s="176" t="s">
        <v>245</v>
      </c>
      <c r="AF20" s="176" t="s">
        <v>245</v>
      </c>
      <c r="AG20" s="176" t="s">
        <v>248</v>
      </c>
      <c r="AH20" s="176" t="s">
        <v>248</v>
      </c>
      <c r="AI20" s="176" t="s">
        <v>245</v>
      </c>
      <c r="AJ20" s="176" t="s">
        <v>245</v>
      </c>
      <c r="AK20" s="176" t="s">
        <v>248</v>
      </c>
      <c r="AL20" s="176" t="s">
        <v>248</v>
      </c>
      <c r="AM20" s="176" t="s">
        <v>245</v>
      </c>
      <c r="AN20" s="177" t="s">
        <v>248</v>
      </c>
      <c r="AQ20" s="176" t="s">
        <v>245</v>
      </c>
      <c r="AR20" s="176" t="s">
        <v>245</v>
      </c>
      <c r="AU20" s="176" t="s">
        <v>245</v>
      </c>
      <c r="AV20" s="176" t="s">
        <v>245</v>
      </c>
      <c r="AW20" s="176" t="s">
        <v>248</v>
      </c>
      <c r="AX20" s="177" t="s">
        <v>248</v>
      </c>
      <c r="AY20" s="177" t="s">
        <v>245</v>
      </c>
    </row>
    <row r="21">
      <c r="B21" s="174" t="s">
        <v>249</v>
      </c>
      <c r="C21" s="175">
        <f t="shared" si="4"/>
        <v>7874</v>
      </c>
      <c r="D21" s="176">
        <v>150.0</v>
      </c>
      <c r="E21" s="176">
        <v>400.0</v>
      </c>
      <c r="F21" s="176">
        <v>110.0</v>
      </c>
      <c r="G21" s="177">
        <v>80.0</v>
      </c>
      <c r="H21" s="176" t="s">
        <v>245</v>
      </c>
      <c r="I21" s="176">
        <v>30.0</v>
      </c>
      <c r="J21" s="176" t="s">
        <v>245</v>
      </c>
      <c r="K21" s="176" t="s">
        <v>245</v>
      </c>
      <c r="L21" s="176" t="s">
        <v>245</v>
      </c>
      <c r="M21" s="176">
        <v>55.0</v>
      </c>
      <c r="N21" s="176">
        <v>180.0</v>
      </c>
      <c r="O21" s="176">
        <v>70.0</v>
      </c>
      <c r="P21" s="176">
        <v>80.0</v>
      </c>
      <c r="Q21" s="176" t="s">
        <v>245</v>
      </c>
      <c r="R21" s="176" t="s">
        <v>245</v>
      </c>
      <c r="S21" s="176" t="s">
        <v>245</v>
      </c>
      <c r="T21" s="176" t="s">
        <v>245</v>
      </c>
      <c r="U21" s="176" t="s">
        <v>245</v>
      </c>
      <c r="V21" s="176" t="s">
        <v>245</v>
      </c>
      <c r="W21" s="176">
        <v>50.0</v>
      </c>
      <c r="X21" s="176">
        <v>0.0</v>
      </c>
      <c r="Y21" s="176">
        <v>0.0</v>
      </c>
      <c r="Z21" s="176" t="s">
        <v>245</v>
      </c>
      <c r="AA21" s="176" t="s">
        <v>245</v>
      </c>
      <c r="AB21" s="176" t="s">
        <v>245</v>
      </c>
      <c r="AC21" s="178" t="s">
        <v>245</v>
      </c>
      <c r="AD21" s="176" t="s">
        <v>245</v>
      </c>
      <c r="AE21" s="176" t="s">
        <v>245</v>
      </c>
      <c r="AF21" s="176" t="s">
        <v>245</v>
      </c>
      <c r="AG21" s="176">
        <v>616.0</v>
      </c>
      <c r="AH21" s="176">
        <v>80.0</v>
      </c>
      <c r="AI21" s="176" t="s">
        <v>245</v>
      </c>
      <c r="AJ21" s="176" t="s">
        <v>245</v>
      </c>
      <c r="AK21" s="176">
        <v>903.0</v>
      </c>
      <c r="AL21" s="176">
        <v>660.0</v>
      </c>
      <c r="AM21" s="176" t="s">
        <v>245</v>
      </c>
      <c r="AN21" s="177">
        <v>210.0</v>
      </c>
      <c r="AQ21" s="176" t="s">
        <v>245</v>
      </c>
      <c r="AR21" s="176" t="s">
        <v>245</v>
      </c>
      <c r="AU21" s="176" t="s">
        <v>245</v>
      </c>
      <c r="AV21" s="176" t="s">
        <v>245</v>
      </c>
      <c r="AW21" s="176">
        <v>2800.0</v>
      </c>
      <c r="AX21" s="177">
        <v>1400.0</v>
      </c>
      <c r="AY21" s="177" t="s">
        <v>245</v>
      </c>
    </row>
    <row r="22">
      <c r="B22" s="174" t="s">
        <v>250</v>
      </c>
      <c r="C22" s="175">
        <f t="shared" si="4"/>
        <v>6847</v>
      </c>
      <c r="D22" s="176">
        <v>110.0</v>
      </c>
      <c r="E22" s="176">
        <v>280.0</v>
      </c>
      <c r="F22" s="176">
        <v>580.0</v>
      </c>
      <c r="G22" s="177">
        <v>270.0</v>
      </c>
      <c r="H22" s="176" t="s">
        <v>245</v>
      </c>
      <c r="I22" s="176">
        <v>10.0</v>
      </c>
      <c r="J22" s="176" t="s">
        <v>245</v>
      </c>
      <c r="K22" s="176" t="s">
        <v>245</v>
      </c>
      <c r="L22" s="176" t="s">
        <v>245</v>
      </c>
      <c r="M22" s="176">
        <v>55.0</v>
      </c>
      <c r="N22" s="176">
        <v>0.0</v>
      </c>
      <c r="O22" s="176">
        <v>90.0</v>
      </c>
      <c r="P22" s="176">
        <v>60.0</v>
      </c>
      <c r="Q22" s="176" t="s">
        <v>245</v>
      </c>
      <c r="R22" s="176" t="s">
        <v>245</v>
      </c>
      <c r="S22" s="176" t="s">
        <v>245</v>
      </c>
      <c r="T22" s="176" t="s">
        <v>245</v>
      </c>
      <c r="U22" s="176" t="s">
        <v>245</v>
      </c>
      <c r="V22" s="176" t="s">
        <v>245</v>
      </c>
      <c r="W22" s="176">
        <v>25.0</v>
      </c>
      <c r="X22" s="176">
        <v>0.0</v>
      </c>
      <c r="Y22" s="176">
        <v>60.0</v>
      </c>
      <c r="Z22" s="176" t="s">
        <v>245</v>
      </c>
      <c r="AA22" s="176" t="s">
        <v>245</v>
      </c>
      <c r="AB22" s="176" t="s">
        <v>245</v>
      </c>
      <c r="AC22" s="178" t="s">
        <v>245</v>
      </c>
      <c r="AD22" s="176" t="s">
        <v>245</v>
      </c>
      <c r="AE22" s="176" t="s">
        <v>245</v>
      </c>
      <c r="AF22" s="176" t="s">
        <v>245</v>
      </c>
      <c r="AG22" s="176">
        <v>400.0</v>
      </c>
      <c r="AH22" s="176">
        <v>60.0</v>
      </c>
      <c r="AI22" s="176" t="s">
        <v>245</v>
      </c>
      <c r="AJ22" s="176" t="s">
        <v>245</v>
      </c>
      <c r="AK22" s="176">
        <v>477.0</v>
      </c>
      <c r="AL22" s="176">
        <v>0.0</v>
      </c>
      <c r="AM22" s="176" t="s">
        <v>245</v>
      </c>
      <c r="AN22" s="177">
        <v>270.0</v>
      </c>
      <c r="AQ22" s="176" t="s">
        <v>245</v>
      </c>
      <c r="AR22" s="176" t="s">
        <v>245</v>
      </c>
      <c r="AU22" s="176" t="s">
        <v>245</v>
      </c>
      <c r="AV22" s="176" t="s">
        <v>245</v>
      </c>
      <c r="AW22" s="176">
        <v>2700.0</v>
      </c>
      <c r="AX22" s="177">
        <v>1400.0</v>
      </c>
      <c r="AY22" s="177" t="s">
        <v>245</v>
      </c>
    </row>
    <row r="23">
      <c r="B23" s="174" t="s">
        <v>251</v>
      </c>
      <c r="C23" s="175">
        <f t="shared" si="4"/>
        <v>5968</v>
      </c>
      <c r="D23" s="176">
        <v>0.0</v>
      </c>
      <c r="E23" s="176">
        <v>120.0</v>
      </c>
      <c r="F23" s="176">
        <v>85.0</v>
      </c>
      <c r="G23" s="177">
        <v>70.0</v>
      </c>
      <c r="H23" s="176" t="s">
        <v>245</v>
      </c>
      <c r="I23" s="176">
        <v>40.0</v>
      </c>
      <c r="J23" s="176" t="s">
        <v>245</v>
      </c>
      <c r="K23" s="176" t="s">
        <v>245</v>
      </c>
      <c r="L23" s="176" t="s">
        <v>245</v>
      </c>
      <c r="M23" s="176">
        <v>55.0</v>
      </c>
      <c r="N23" s="176">
        <v>0.0</v>
      </c>
      <c r="O23" s="176">
        <v>100.0</v>
      </c>
      <c r="P23" s="176">
        <v>100.0</v>
      </c>
      <c r="Q23" s="176" t="s">
        <v>245</v>
      </c>
      <c r="R23" s="176" t="s">
        <v>245</v>
      </c>
      <c r="S23" s="176" t="s">
        <v>245</v>
      </c>
      <c r="T23" s="176" t="s">
        <v>245</v>
      </c>
      <c r="U23" s="176" t="s">
        <v>245</v>
      </c>
      <c r="V23" s="176" t="s">
        <v>245</v>
      </c>
      <c r="W23" s="176">
        <v>0.0</v>
      </c>
      <c r="X23" s="176">
        <v>18.0</v>
      </c>
      <c r="Y23" s="176">
        <v>0.0</v>
      </c>
      <c r="Z23" s="176" t="s">
        <v>245</v>
      </c>
      <c r="AA23" s="176" t="s">
        <v>245</v>
      </c>
      <c r="AB23" s="176" t="s">
        <v>245</v>
      </c>
      <c r="AC23" s="178" t="s">
        <v>245</v>
      </c>
      <c r="AD23" s="176" t="s">
        <v>245</v>
      </c>
      <c r="AE23" s="176" t="s">
        <v>245</v>
      </c>
      <c r="AF23" s="176" t="s">
        <v>245</v>
      </c>
      <c r="AG23" s="176">
        <v>380.0</v>
      </c>
      <c r="AH23" s="176">
        <v>80.0</v>
      </c>
      <c r="AI23" s="176" t="s">
        <v>245</v>
      </c>
      <c r="AJ23" s="176" t="s">
        <v>245</v>
      </c>
      <c r="AK23" s="176">
        <v>420.0</v>
      </c>
      <c r="AL23" s="176">
        <v>0.0</v>
      </c>
      <c r="AM23" s="176" t="s">
        <v>245</v>
      </c>
      <c r="AN23" s="177">
        <v>300.0</v>
      </c>
      <c r="AQ23" s="176" t="s">
        <v>245</v>
      </c>
      <c r="AR23" s="176" t="s">
        <v>245</v>
      </c>
      <c r="AU23" s="176" t="s">
        <v>245</v>
      </c>
      <c r="AV23" s="176" t="s">
        <v>245</v>
      </c>
      <c r="AW23" s="176">
        <v>2800.0</v>
      </c>
      <c r="AX23" s="177">
        <v>1400.0</v>
      </c>
      <c r="AY23" s="177" t="s">
        <v>245</v>
      </c>
    </row>
    <row r="24">
      <c r="A24" s="179"/>
      <c r="B24" s="180" t="s">
        <v>144</v>
      </c>
      <c r="C24" s="181">
        <f t="shared" ref="C24:AH24" si="5">SUM(C14:C23)</f>
        <v>110377.24</v>
      </c>
      <c r="D24" s="182">
        <f t="shared" si="5"/>
        <v>2683</v>
      </c>
      <c r="E24" s="182">
        <f t="shared" si="5"/>
        <v>3292</v>
      </c>
      <c r="F24" s="182">
        <f t="shared" si="5"/>
        <v>1525</v>
      </c>
      <c r="G24" s="183">
        <f t="shared" si="5"/>
        <v>2292</v>
      </c>
      <c r="H24" s="182">
        <f t="shared" si="5"/>
        <v>252</v>
      </c>
      <c r="I24" s="182">
        <f t="shared" si="5"/>
        <v>150</v>
      </c>
      <c r="J24" s="182">
        <f t="shared" si="5"/>
        <v>500</v>
      </c>
      <c r="K24" s="182">
        <f t="shared" si="5"/>
        <v>229</v>
      </c>
      <c r="L24" s="182">
        <f t="shared" si="5"/>
        <v>485</v>
      </c>
      <c r="M24" s="182">
        <f t="shared" si="5"/>
        <v>220</v>
      </c>
      <c r="N24" s="182">
        <f t="shared" si="5"/>
        <v>270</v>
      </c>
      <c r="O24" s="182">
        <f t="shared" si="5"/>
        <v>350</v>
      </c>
      <c r="P24" s="182">
        <f t="shared" si="5"/>
        <v>320</v>
      </c>
      <c r="Q24" s="182">
        <f t="shared" si="5"/>
        <v>1125</v>
      </c>
      <c r="R24" s="182">
        <f t="shared" si="5"/>
        <v>1710</v>
      </c>
      <c r="S24" s="182">
        <f t="shared" si="5"/>
        <v>40</v>
      </c>
      <c r="T24" s="182">
        <f t="shared" si="5"/>
        <v>75</v>
      </c>
      <c r="U24" s="182">
        <f t="shared" si="5"/>
        <v>210</v>
      </c>
      <c r="V24" s="182">
        <f t="shared" si="5"/>
        <v>87</v>
      </c>
      <c r="W24" s="182">
        <f t="shared" si="5"/>
        <v>250</v>
      </c>
      <c r="X24" s="182">
        <f t="shared" si="5"/>
        <v>54</v>
      </c>
      <c r="Y24" s="182">
        <f t="shared" si="5"/>
        <v>80</v>
      </c>
      <c r="Z24" s="182">
        <f t="shared" si="5"/>
        <v>378</v>
      </c>
      <c r="AA24" s="182">
        <f t="shared" si="5"/>
        <v>514</v>
      </c>
      <c r="AB24" s="182">
        <f t="shared" si="5"/>
        <v>1030.75</v>
      </c>
      <c r="AC24" s="183">
        <f t="shared" si="5"/>
        <v>203</v>
      </c>
      <c r="AD24" s="182">
        <f t="shared" si="5"/>
        <v>1185</v>
      </c>
      <c r="AE24" s="182">
        <f t="shared" si="5"/>
        <v>504</v>
      </c>
      <c r="AF24" s="182">
        <f t="shared" si="5"/>
        <v>1005</v>
      </c>
      <c r="AG24" s="182">
        <f t="shared" si="5"/>
        <v>2863</v>
      </c>
      <c r="AH24" s="182">
        <f t="shared" si="5"/>
        <v>260</v>
      </c>
      <c r="AI24" s="182">
        <v>0.0</v>
      </c>
      <c r="AJ24" s="182">
        <v>0.0</v>
      </c>
      <c r="AK24" s="182">
        <f t="shared" ref="AK24:AL24" si="6">SUM(AK14:AK23)</f>
        <v>2565</v>
      </c>
      <c r="AL24" s="182">
        <f t="shared" si="6"/>
        <v>990</v>
      </c>
      <c r="AM24" s="182">
        <v>0.0</v>
      </c>
      <c r="AN24" s="183">
        <f t="shared" ref="AN24:AX24" si="7">SUM(AN14:AN23)</f>
        <v>1023</v>
      </c>
      <c r="AO24" s="182">
        <f t="shared" si="7"/>
        <v>13355.36</v>
      </c>
      <c r="AP24" s="182">
        <f t="shared" si="7"/>
        <v>18776.62</v>
      </c>
      <c r="AQ24" s="182">
        <f t="shared" si="7"/>
        <v>15304.85</v>
      </c>
      <c r="AR24" s="182">
        <f t="shared" si="7"/>
        <v>0</v>
      </c>
      <c r="AS24" s="182">
        <f t="shared" si="7"/>
        <v>536.35</v>
      </c>
      <c r="AT24" s="182">
        <f t="shared" si="7"/>
        <v>1994.66</v>
      </c>
      <c r="AU24" s="182">
        <f t="shared" si="7"/>
        <v>2458.65</v>
      </c>
      <c r="AV24" s="182">
        <f t="shared" si="7"/>
        <v>13731</v>
      </c>
      <c r="AW24" s="182">
        <f t="shared" si="7"/>
        <v>10950</v>
      </c>
      <c r="AX24" s="183">
        <f t="shared" si="7"/>
        <v>4550</v>
      </c>
      <c r="AY24" s="183">
        <v>2987.8</v>
      </c>
    </row>
    <row r="25">
      <c r="A25" s="173" t="s">
        <v>253</v>
      </c>
      <c r="B25" s="174" t="s">
        <v>164</v>
      </c>
      <c r="C25" s="175">
        <f t="shared" ref="C25:C34" si="8">SUM(D25:AY25)</f>
        <v>20283.32</v>
      </c>
      <c r="D25" s="176">
        <v>723.0</v>
      </c>
      <c r="E25" s="176">
        <v>848.0</v>
      </c>
      <c r="F25" s="176" t="s">
        <v>245</v>
      </c>
      <c r="G25" s="177">
        <v>90.0</v>
      </c>
      <c r="H25" s="176">
        <v>110.0</v>
      </c>
      <c r="I25" s="176" t="s">
        <v>245</v>
      </c>
      <c r="J25" s="176">
        <v>15.0</v>
      </c>
      <c r="K25" s="176">
        <v>195.0</v>
      </c>
      <c r="L25" s="176">
        <v>346.0</v>
      </c>
      <c r="M25" s="176" t="s">
        <v>245</v>
      </c>
      <c r="N25" s="176" t="s">
        <v>245</v>
      </c>
      <c r="O25" s="176" t="s">
        <v>245</v>
      </c>
      <c r="P25" s="176" t="s">
        <v>245</v>
      </c>
      <c r="Q25" s="176">
        <v>350.0</v>
      </c>
      <c r="R25" s="176">
        <v>210.0</v>
      </c>
      <c r="S25" s="176">
        <v>0.0</v>
      </c>
      <c r="T25" s="176">
        <v>75.0</v>
      </c>
      <c r="U25" s="176">
        <v>57.0</v>
      </c>
      <c r="V25" s="176">
        <v>0.0</v>
      </c>
      <c r="W25" s="176" t="s">
        <v>245</v>
      </c>
      <c r="X25" s="176" t="s">
        <v>245</v>
      </c>
      <c r="Y25" s="176" t="s">
        <v>245</v>
      </c>
      <c r="Z25" s="176">
        <v>80.0</v>
      </c>
      <c r="AA25" s="176">
        <v>240.0</v>
      </c>
      <c r="AB25" s="176">
        <v>231.5</v>
      </c>
      <c r="AC25" s="177">
        <v>80.0</v>
      </c>
      <c r="AD25" s="176">
        <v>0.0</v>
      </c>
      <c r="AE25" s="176">
        <v>238.0</v>
      </c>
      <c r="AF25" s="176">
        <v>360.0</v>
      </c>
      <c r="AG25" s="176" t="s">
        <v>245</v>
      </c>
      <c r="AH25" s="176" t="s">
        <v>245</v>
      </c>
      <c r="AI25" s="176" t="s">
        <v>245</v>
      </c>
      <c r="AJ25" s="176" t="s">
        <v>245</v>
      </c>
      <c r="AK25" s="176" t="s">
        <v>245</v>
      </c>
      <c r="AL25" s="176" t="s">
        <v>245</v>
      </c>
      <c r="AM25" s="176" t="s">
        <v>245</v>
      </c>
      <c r="AN25" s="177" t="s">
        <v>245</v>
      </c>
      <c r="AO25" s="176">
        <v>2557.96</v>
      </c>
      <c r="AP25" s="176">
        <v>2350.41</v>
      </c>
      <c r="AQ25" s="176">
        <v>6550.0</v>
      </c>
      <c r="AR25" s="176">
        <v>0.0</v>
      </c>
      <c r="AS25" s="176">
        <v>215.7</v>
      </c>
      <c r="AT25" s="176">
        <v>397.14</v>
      </c>
      <c r="AU25" s="176">
        <v>425.61</v>
      </c>
      <c r="AV25" s="176">
        <v>3538.0</v>
      </c>
      <c r="AW25" s="176" t="s">
        <v>245</v>
      </c>
      <c r="AX25" s="177" t="s">
        <v>245</v>
      </c>
      <c r="AY25" s="177" t="s">
        <v>245</v>
      </c>
    </row>
    <row r="26">
      <c r="B26" s="174" t="s">
        <v>155</v>
      </c>
      <c r="C26" s="175">
        <f t="shared" si="8"/>
        <v>16492.66</v>
      </c>
      <c r="D26" s="176">
        <v>771.0</v>
      </c>
      <c r="E26" s="176">
        <v>580.0</v>
      </c>
      <c r="F26" s="176" t="s">
        <v>245</v>
      </c>
      <c r="G26" s="177">
        <v>170.0</v>
      </c>
      <c r="H26" s="176">
        <v>110.0</v>
      </c>
      <c r="I26" s="176" t="s">
        <v>245</v>
      </c>
      <c r="J26" s="176">
        <v>200.0</v>
      </c>
      <c r="K26" s="176">
        <v>78.0</v>
      </c>
      <c r="L26" s="176">
        <v>520.0</v>
      </c>
      <c r="M26" s="176" t="s">
        <v>245</v>
      </c>
      <c r="N26" s="176" t="s">
        <v>245</v>
      </c>
      <c r="O26" s="176" t="s">
        <v>245</v>
      </c>
      <c r="P26" s="176" t="s">
        <v>245</v>
      </c>
      <c r="Q26" s="176">
        <v>175.0</v>
      </c>
      <c r="R26" s="176">
        <v>285.0</v>
      </c>
      <c r="S26" s="176">
        <v>5.0</v>
      </c>
      <c r="T26" s="176">
        <v>25.0</v>
      </c>
      <c r="U26" s="176">
        <v>15.0</v>
      </c>
      <c r="V26" s="176">
        <v>5.0</v>
      </c>
      <c r="W26" s="176" t="s">
        <v>245</v>
      </c>
      <c r="X26" s="176" t="s">
        <v>245</v>
      </c>
      <c r="Y26" s="176" t="s">
        <v>245</v>
      </c>
      <c r="Z26" s="176">
        <v>30.0</v>
      </c>
      <c r="AA26" s="176">
        <v>140.0</v>
      </c>
      <c r="AB26" s="176">
        <v>212.25</v>
      </c>
      <c r="AC26" s="177">
        <v>20.0</v>
      </c>
      <c r="AD26" s="176">
        <v>0.0</v>
      </c>
      <c r="AE26" s="176">
        <v>210.0</v>
      </c>
      <c r="AF26" s="176">
        <v>255.0</v>
      </c>
      <c r="AG26" s="176" t="s">
        <v>245</v>
      </c>
      <c r="AH26" s="176" t="s">
        <v>245</v>
      </c>
      <c r="AI26" s="176" t="s">
        <v>245</v>
      </c>
      <c r="AJ26" s="176" t="s">
        <v>245</v>
      </c>
      <c r="AK26" s="176" t="s">
        <v>245</v>
      </c>
      <c r="AL26" s="176" t="s">
        <v>245</v>
      </c>
      <c r="AM26" s="176" t="s">
        <v>245</v>
      </c>
      <c r="AN26" s="177" t="s">
        <v>245</v>
      </c>
      <c r="AO26" s="176">
        <v>1545.02</v>
      </c>
      <c r="AP26" s="176">
        <v>3374.62</v>
      </c>
      <c r="AQ26" s="176">
        <v>3774.38</v>
      </c>
      <c r="AR26" s="176">
        <v>0.0</v>
      </c>
      <c r="AS26" s="176">
        <v>158.67</v>
      </c>
      <c r="AT26" s="176">
        <v>479.4</v>
      </c>
      <c r="AU26" s="176">
        <v>541.32</v>
      </c>
      <c r="AV26" s="176">
        <v>2813.0</v>
      </c>
      <c r="AW26" s="176" t="s">
        <v>245</v>
      </c>
      <c r="AX26" s="177" t="s">
        <v>245</v>
      </c>
      <c r="AY26" s="177" t="s">
        <v>245</v>
      </c>
    </row>
    <row r="27">
      <c r="B27" s="174" t="s">
        <v>163</v>
      </c>
      <c r="C27" s="175">
        <f t="shared" si="8"/>
        <v>20880.06</v>
      </c>
      <c r="D27" s="176">
        <v>655.0</v>
      </c>
      <c r="E27" s="176">
        <v>809.0</v>
      </c>
      <c r="F27" s="176" t="s">
        <v>245</v>
      </c>
      <c r="G27" s="177">
        <v>100.0</v>
      </c>
      <c r="H27" s="176">
        <v>60.0</v>
      </c>
      <c r="I27" s="176" t="s">
        <v>245</v>
      </c>
      <c r="J27" s="176">
        <v>5.0</v>
      </c>
      <c r="K27" s="176">
        <v>117.0</v>
      </c>
      <c r="L27" s="176">
        <v>277.0</v>
      </c>
      <c r="M27" s="176" t="s">
        <v>245</v>
      </c>
      <c r="N27" s="176" t="s">
        <v>245</v>
      </c>
      <c r="O27" s="176" t="s">
        <v>245</v>
      </c>
      <c r="P27" s="176" t="s">
        <v>245</v>
      </c>
      <c r="Q27" s="176">
        <v>425.0</v>
      </c>
      <c r="R27" s="176">
        <v>165.0</v>
      </c>
      <c r="S27" s="176">
        <v>5.0</v>
      </c>
      <c r="T27" s="176">
        <v>25.0</v>
      </c>
      <c r="U27" s="176">
        <v>45.0</v>
      </c>
      <c r="V27" s="176">
        <v>17.0</v>
      </c>
      <c r="W27" s="176" t="s">
        <v>245</v>
      </c>
      <c r="X27" s="176" t="s">
        <v>245</v>
      </c>
      <c r="Y27" s="176" t="s">
        <v>245</v>
      </c>
      <c r="Z27" s="176">
        <v>130.0</v>
      </c>
      <c r="AA27" s="176">
        <v>230.0</v>
      </c>
      <c r="AB27" s="176">
        <v>198.75</v>
      </c>
      <c r="AC27" s="177">
        <v>20.0</v>
      </c>
      <c r="AD27" s="176">
        <v>225.0</v>
      </c>
      <c r="AE27" s="176">
        <v>196.0</v>
      </c>
      <c r="AF27" s="176">
        <v>330.0</v>
      </c>
      <c r="AG27" s="176" t="s">
        <v>245</v>
      </c>
      <c r="AH27" s="176" t="s">
        <v>245</v>
      </c>
      <c r="AI27" s="176" t="s">
        <v>245</v>
      </c>
      <c r="AJ27" s="176" t="s">
        <v>245</v>
      </c>
      <c r="AK27" s="176" t="s">
        <v>245</v>
      </c>
      <c r="AL27" s="176" t="s">
        <v>245</v>
      </c>
      <c r="AM27" s="176" t="s">
        <v>245</v>
      </c>
      <c r="AN27" s="177" t="s">
        <v>245</v>
      </c>
      <c r="AO27" s="176">
        <v>1780.14</v>
      </c>
      <c r="AP27" s="176">
        <v>1564.58</v>
      </c>
      <c r="AQ27" s="176">
        <v>10527.15</v>
      </c>
      <c r="AR27" s="176">
        <v>0.0</v>
      </c>
      <c r="AS27" s="176">
        <v>46.28</v>
      </c>
      <c r="AT27" s="176">
        <v>167.95</v>
      </c>
      <c r="AU27" s="176">
        <v>194.21</v>
      </c>
      <c r="AV27" s="176">
        <v>2565.0</v>
      </c>
      <c r="AW27" s="176" t="s">
        <v>245</v>
      </c>
      <c r="AX27" s="177" t="s">
        <v>245</v>
      </c>
      <c r="AY27" s="177" t="s">
        <v>245</v>
      </c>
    </row>
    <row r="28">
      <c r="B28" s="174" t="s">
        <v>161</v>
      </c>
      <c r="C28" s="175">
        <f t="shared" si="8"/>
        <v>10745.3</v>
      </c>
      <c r="D28" s="176">
        <v>357.0</v>
      </c>
      <c r="E28" s="176">
        <v>380.0</v>
      </c>
      <c r="F28" s="176" t="s">
        <v>245</v>
      </c>
      <c r="G28" s="177">
        <v>90.0</v>
      </c>
      <c r="H28" s="176">
        <v>0.0</v>
      </c>
      <c r="I28" s="176" t="s">
        <v>245</v>
      </c>
      <c r="J28" s="176">
        <v>0.0</v>
      </c>
      <c r="K28" s="176">
        <v>0.0</v>
      </c>
      <c r="L28" s="176">
        <v>0.0</v>
      </c>
      <c r="M28" s="176" t="s">
        <v>245</v>
      </c>
      <c r="N28" s="176" t="s">
        <v>245</v>
      </c>
      <c r="O28" s="176" t="s">
        <v>245</v>
      </c>
      <c r="P28" s="176" t="s">
        <v>245</v>
      </c>
      <c r="Q28" s="176">
        <v>75.0</v>
      </c>
      <c r="R28" s="176">
        <v>180.0</v>
      </c>
      <c r="S28" s="176">
        <v>0.0</v>
      </c>
      <c r="T28" s="176">
        <v>0.0</v>
      </c>
      <c r="U28" s="176">
        <v>0.0</v>
      </c>
      <c r="V28" s="176">
        <v>10.0</v>
      </c>
      <c r="W28" s="176" t="s">
        <v>245</v>
      </c>
      <c r="X28" s="176" t="s">
        <v>245</v>
      </c>
      <c r="Y28" s="176" t="s">
        <v>245</v>
      </c>
      <c r="Z28" s="176">
        <v>30.0</v>
      </c>
      <c r="AA28" s="176">
        <v>70.0</v>
      </c>
      <c r="AB28" s="176">
        <v>104.5</v>
      </c>
      <c r="AC28" s="177">
        <v>0.0</v>
      </c>
      <c r="AD28" s="176">
        <v>180.0</v>
      </c>
      <c r="AE28" s="176">
        <v>0.0</v>
      </c>
      <c r="AF28" s="176">
        <v>195.0</v>
      </c>
      <c r="AG28" s="176" t="s">
        <v>245</v>
      </c>
      <c r="AH28" s="176" t="s">
        <v>245</v>
      </c>
      <c r="AI28" s="176" t="s">
        <v>245</v>
      </c>
      <c r="AJ28" s="176" t="s">
        <v>245</v>
      </c>
      <c r="AK28" s="176" t="s">
        <v>245</v>
      </c>
      <c r="AL28" s="176" t="s">
        <v>245</v>
      </c>
      <c r="AM28" s="176" t="s">
        <v>245</v>
      </c>
      <c r="AN28" s="177" t="s">
        <v>245</v>
      </c>
      <c r="AO28" s="176">
        <v>1220.18</v>
      </c>
      <c r="AP28" s="176">
        <v>2298.76</v>
      </c>
      <c r="AQ28" s="176">
        <v>2118.18</v>
      </c>
      <c r="AR28" s="176">
        <v>0.0</v>
      </c>
      <c r="AS28" s="176">
        <v>137.19</v>
      </c>
      <c r="AT28" s="176">
        <v>250.28</v>
      </c>
      <c r="AU28" s="176">
        <v>950.41</v>
      </c>
      <c r="AV28" s="176">
        <v>2098.8</v>
      </c>
      <c r="AW28" s="176" t="s">
        <v>245</v>
      </c>
      <c r="AX28" s="177" t="s">
        <v>245</v>
      </c>
      <c r="AY28" s="177" t="s">
        <v>245</v>
      </c>
    </row>
    <row r="29">
      <c r="B29" s="174" t="s">
        <v>159</v>
      </c>
      <c r="C29" s="175">
        <f t="shared" si="8"/>
        <v>19029.69</v>
      </c>
      <c r="D29" s="176">
        <v>624.0</v>
      </c>
      <c r="E29" s="176">
        <v>760.0</v>
      </c>
      <c r="F29" s="176" t="s">
        <v>245</v>
      </c>
      <c r="G29" s="177">
        <v>130.0</v>
      </c>
      <c r="H29" s="176">
        <v>0.0</v>
      </c>
      <c r="I29" s="176" t="s">
        <v>245</v>
      </c>
      <c r="J29" s="176">
        <v>80.0</v>
      </c>
      <c r="K29" s="176">
        <v>117.0</v>
      </c>
      <c r="L29" s="176">
        <v>79.0</v>
      </c>
      <c r="M29" s="176" t="s">
        <v>245</v>
      </c>
      <c r="N29" s="176" t="s">
        <v>245</v>
      </c>
      <c r="O29" s="176" t="s">
        <v>245</v>
      </c>
      <c r="P29" s="176" t="s">
        <v>245</v>
      </c>
      <c r="Q29" s="176">
        <v>200.0</v>
      </c>
      <c r="R29" s="176">
        <v>465.0</v>
      </c>
      <c r="S29" s="176">
        <v>5.0</v>
      </c>
      <c r="T29" s="176">
        <v>25.0</v>
      </c>
      <c r="U29" s="176">
        <v>90.0</v>
      </c>
      <c r="V29" s="176">
        <v>0.0</v>
      </c>
      <c r="W29" s="176" t="s">
        <v>245</v>
      </c>
      <c r="X29" s="176" t="s">
        <v>245</v>
      </c>
      <c r="Y29" s="176" t="s">
        <v>245</v>
      </c>
      <c r="Z29" s="176">
        <v>20.0</v>
      </c>
      <c r="AA29" s="176">
        <v>160.0</v>
      </c>
      <c r="AB29" s="176">
        <v>159.0</v>
      </c>
      <c r="AC29" s="177">
        <v>20.0</v>
      </c>
      <c r="AD29" s="176">
        <v>255.0</v>
      </c>
      <c r="AE29" s="176">
        <v>0.0</v>
      </c>
      <c r="AF29" s="176">
        <v>300.0</v>
      </c>
      <c r="AG29" s="176" t="s">
        <v>245</v>
      </c>
      <c r="AH29" s="176" t="s">
        <v>245</v>
      </c>
      <c r="AI29" s="176" t="s">
        <v>245</v>
      </c>
      <c r="AJ29" s="176" t="s">
        <v>245</v>
      </c>
      <c r="AK29" s="176" t="s">
        <v>245</v>
      </c>
      <c r="AL29" s="176" t="s">
        <v>245</v>
      </c>
      <c r="AM29" s="176" t="s">
        <v>245</v>
      </c>
      <c r="AN29" s="177" t="s">
        <v>245</v>
      </c>
      <c r="AO29" s="176">
        <v>3781.45</v>
      </c>
      <c r="AP29" s="176">
        <v>4092.56</v>
      </c>
      <c r="AQ29" s="176">
        <v>3910.24</v>
      </c>
      <c r="AR29" s="176">
        <v>0.0</v>
      </c>
      <c r="AS29" s="176">
        <v>79.33</v>
      </c>
      <c r="AT29" s="176">
        <v>351.14</v>
      </c>
      <c r="AU29" s="176">
        <v>842.97</v>
      </c>
      <c r="AV29" s="176">
        <v>2483.0</v>
      </c>
      <c r="AW29" s="176" t="s">
        <v>245</v>
      </c>
      <c r="AX29" s="177" t="s">
        <v>245</v>
      </c>
      <c r="AY29" s="177" t="s">
        <v>245</v>
      </c>
    </row>
    <row r="30">
      <c r="B30" s="174" t="s">
        <v>246</v>
      </c>
      <c r="C30" s="175">
        <f t="shared" si="8"/>
        <v>5892.82</v>
      </c>
      <c r="D30" s="176">
        <v>180.0</v>
      </c>
      <c r="E30" s="176">
        <v>580.0</v>
      </c>
      <c r="F30" s="176">
        <v>310.0</v>
      </c>
      <c r="G30" s="177">
        <v>30.0</v>
      </c>
      <c r="H30" s="176" t="s">
        <v>245</v>
      </c>
      <c r="I30" s="176">
        <v>50.0</v>
      </c>
      <c r="J30" s="176" t="s">
        <v>245</v>
      </c>
      <c r="K30" s="176" t="s">
        <v>245</v>
      </c>
      <c r="L30" s="176" t="s">
        <v>245</v>
      </c>
      <c r="M30" s="176">
        <v>110.0</v>
      </c>
      <c r="N30" s="176">
        <v>180.0</v>
      </c>
      <c r="O30" s="176">
        <v>100.0</v>
      </c>
      <c r="P30" s="176">
        <v>60.0</v>
      </c>
      <c r="Q30" s="176" t="s">
        <v>245</v>
      </c>
      <c r="R30" s="176" t="s">
        <v>245</v>
      </c>
      <c r="S30" s="176" t="s">
        <v>245</v>
      </c>
      <c r="T30" s="176" t="s">
        <v>245</v>
      </c>
      <c r="U30" s="176" t="s">
        <v>245</v>
      </c>
      <c r="V30" s="176" t="s">
        <v>245</v>
      </c>
      <c r="W30" s="176">
        <v>100.0</v>
      </c>
      <c r="X30" s="176">
        <v>56.0</v>
      </c>
      <c r="Y30" s="176">
        <v>20.0</v>
      </c>
      <c r="Z30" s="176" t="s">
        <v>245</v>
      </c>
      <c r="AA30" s="176" t="s">
        <v>245</v>
      </c>
      <c r="AB30" s="176" t="s">
        <v>245</v>
      </c>
      <c r="AC30" s="178" t="s">
        <v>245</v>
      </c>
      <c r="AD30" s="176" t="s">
        <v>245</v>
      </c>
      <c r="AE30" s="176" t="s">
        <v>245</v>
      </c>
      <c r="AF30" s="176" t="s">
        <v>245</v>
      </c>
      <c r="AG30" s="176">
        <v>1309.5</v>
      </c>
      <c r="AH30" s="176">
        <v>40.0</v>
      </c>
      <c r="AI30" s="176" t="s">
        <v>245</v>
      </c>
      <c r="AJ30" s="176" t="s">
        <v>245</v>
      </c>
      <c r="AK30" s="176">
        <v>849.0</v>
      </c>
      <c r="AL30" s="176">
        <v>800.0</v>
      </c>
      <c r="AM30" s="176" t="s">
        <v>245</v>
      </c>
      <c r="AN30" s="177">
        <v>228.0</v>
      </c>
      <c r="AO30" s="176">
        <v>540.32</v>
      </c>
      <c r="AP30" s="176">
        <v>0.0</v>
      </c>
      <c r="AQ30" s="176" t="s">
        <v>245</v>
      </c>
      <c r="AR30" s="176" t="s">
        <v>245</v>
      </c>
      <c r="AS30" s="176">
        <v>0.0</v>
      </c>
      <c r="AT30" s="176">
        <v>0.0</v>
      </c>
      <c r="AU30" s="176" t="s">
        <v>245</v>
      </c>
      <c r="AV30" s="176" t="s">
        <v>245</v>
      </c>
      <c r="AW30" s="176">
        <v>0.0</v>
      </c>
      <c r="AX30" s="177">
        <v>350.0</v>
      </c>
      <c r="AY30" s="177" t="s">
        <v>245</v>
      </c>
    </row>
    <row r="31">
      <c r="B31" s="174" t="s">
        <v>247</v>
      </c>
      <c r="C31" s="175">
        <f t="shared" si="8"/>
        <v>0</v>
      </c>
      <c r="D31" s="176" t="s">
        <v>248</v>
      </c>
      <c r="E31" s="176" t="s">
        <v>248</v>
      </c>
      <c r="F31" s="176" t="s">
        <v>248</v>
      </c>
      <c r="G31" s="177" t="s">
        <v>248</v>
      </c>
      <c r="H31" s="176" t="s">
        <v>245</v>
      </c>
      <c r="I31" s="176" t="s">
        <v>248</v>
      </c>
      <c r="J31" s="176" t="s">
        <v>245</v>
      </c>
      <c r="K31" s="176" t="s">
        <v>245</v>
      </c>
      <c r="L31" s="176" t="s">
        <v>245</v>
      </c>
      <c r="M31" s="176" t="s">
        <v>248</v>
      </c>
      <c r="N31" s="176" t="s">
        <v>248</v>
      </c>
      <c r="O31" s="176" t="s">
        <v>248</v>
      </c>
      <c r="P31" s="176" t="s">
        <v>248</v>
      </c>
      <c r="Q31" s="176" t="s">
        <v>245</v>
      </c>
      <c r="R31" s="176" t="s">
        <v>245</v>
      </c>
      <c r="S31" s="176" t="s">
        <v>245</v>
      </c>
      <c r="T31" s="176" t="s">
        <v>245</v>
      </c>
      <c r="U31" s="176" t="s">
        <v>245</v>
      </c>
      <c r="V31" s="176" t="s">
        <v>245</v>
      </c>
      <c r="W31" s="176" t="s">
        <v>248</v>
      </c>
      <c r="X31" s="176" t="s">
        <v>248</v>
      </c>
      <c r="Y31" s="176" t="s">
        <v>248</v>
      </c>
      <c r="Z31" s="176" t="s">
        <v>245</v>
      </c>
      <c r="AA31" s="176" t="s">
        <v>245</v>
      </c>
      <c r="AB31" s="176" t="s">
        <v>245</v>
      </c>
      <c r="AC31" s="178" t="s">
        <v>245</v>
      </c>
      <c r="AD31" s="176" t="s">
        <v>245</v>
      </c>
      <c r="AE31" s="176" t="s">
        <v>245</v>
      </c>
      <c r="AF31" s="176" t="s">
        <v>245</v>
      </c>
      <c r="AG31" s="176" t="s">
        <v>248</v>
      </c>
      <c r="AH31" s="176" t="s">
        <v>248</v>
      </c>
      <c r="AI31" s="176" t="s">
        <v>245</v>
      </c>
      <c r="AJ31" s="176" t="s">
        <v>245</v>
      </c>
      <c r="AK31" s="176" t="s">
        <v>248</v>
      </c>
      <c r="AL31" s="176" t="s">
        <v>248</v>
      </c>
      <c r="AM31" s="176" t="s">
        <v>245</v>
      </c>
      <c r="AN31" s="177" t="s">
        <v>248</v>
      </c>
      <c r="AQ31" s="176" t="s">
        <v>245</v>
      </c>
      <c r="AR31" s="176" t="s">
        <v>245</v>
      </c>
      <c r="AU31" s="176" t="s">
        <v>245</v>
      </c>
      <c r="AV31" s="176" t="s">
        <v>245</v>
      </c>
      <c r="AW31" s="176" t="s">
        <v>248</v>
      </c>
      <c r="AX31" s="177" t="s">
        <v>248</v>
      </c>
      <c r="AY31" s="177" t="s">
        <v>245</v>
      </c>
    </row>
    <row r="32">
      <c r="B32" s="174" t="s">
        <v>249</v>
      </c>
      <c r="C32" s="175">
        <f t="shared" si="8"/>
        <v>6950</v>
      </c>
      <c r="D32" s="176">
        <v>60.0</v>
      </c>
      <c r="E32" s="176">
        <v>70.0</v>
      </c>
      <c r="F32" s="176">
        <v>30.0</v>
      </c>
      <c r="G32" s="177">
        <v>0.0</v>
      </c>
      <c r="H32" s="176" t="s">
        <v>245</v>
      </c>
      <c r="I32" s="176">
        <v>10.0</v>
      </c>
      <c r="J32" s="176" t="s">
        <v>245</v>
      </c>
      <c r="K32" s="176" t="s">
        <v>245</v>
      </c>
      <c r="L32" s="176" t="s">
        <v>245</v>
      </c>
      <c r="M32" s="176">
        <v>55.0</v>
      </c>
      <c r="N32" s="176">
        <v>180.0</v>
      </c>
      <c r="O32" s="176">
        <v>50.0</v>
      </c>
      <c r="P32" s="176">
        <v>80.0</v>
      </c>
      <c r="Q32" s="176" t="s">
        <v>245</v>
      </c>
      <c r="R32" s="176" t="s">
        <v>245</v>
      </c>
      <c r="S32" s="176" t="s">
        <v>245</v>
      </c>
      <c r="T32" s="176" t="s">
        <v>245</v>
      </c>
      <c r="U32" s="176" t="s">
        <v>245</v>
      </c>
      <c r="V32" s="176" t="s">
        <v>245</v>
      </c>
      <c r="W32" s="176">
        <v>350.0</v>
      </c>
      <c r="X32" s="176">
        <v>20.0</v>
      </c>
      <c r="Y32" s="176">
        <v>10.0</v>
      </c>
      <c r="Z32" s="176" t="s">
        <v>245</v>
      </c>
      <c r="AA32" s="176" t="s">
        <v>245</v>
      </c>
      <c r="AB32" s="176" t="s">
        <v>245</v>
      </c>
      <c r="AC32" s="178" t="s">
        <v>245</v>
      </c>
      <c r="AD32" s="176" t="s">
        <v>245</v>
      </c>
      <c r="AE32" s="176" t="s">
        <v>245</v>
      </c>
      <c r="AF32" s="176" t="s">
        <v>245</v>
      </c>
      <c r="AG32" s="176">
        <v>520.0</v>
      </c>
      <c r="AH32" s="176">
        <v>40.0</v>
      </c>
      <c r="AI32" s="176" t="s">
        <v>245</v>
      </c>
      <c r="AJ32" s="176" t="s">
        <v>245</v>
      </c>
      <c r="AK32" s="176">
        <v>525.0</v>
      </c>
      <c r="AL32" s="176">
        <v>600.0</v>
      </c>
      <c r="AM32" s="176" t="s">
        <v>245</v>
      </c>
      <c r="AN32" s="177">
        <v>150.0</v>
      </c>
      <c r="AQ32" s="176" t="s">
        <v>245</v>
      </c>
      <c r="AR32" s="176" t="s">
        <v>245</v>
      </c>
      <c r="AU32" s="176" t="s">
        <v>245</v>
      </c>
      <c r="AV32" s="176" t="s">
        <v>245</v>
      </c>
      <c r="AW32" s="176">
        <v>2800.0</v>
      </c>
      <c r="AX32" s="177">
        <v>1400.0</v>
      </c>
      <c r="AY32" s="177" t="s">
        <v>245</v>
      </c>
    </row>
    <row r="33">
      <c r="B33" s="174" t="s">
        <v>250</v>
      </c>
      <c r="C33" s="175">
        <f t="shared" si="8"/>
        <v>7512</v>
      </c>
      <c r="D33" s="176">
        <v>50.0</v>
      </c>
      <c r="E33" s="176">
        <v>190.0</v>
      </c>
      <c r="F33" s="176">
        <v>150.0</v>
      </c>
      <c r="G33" s="177">
        <v>0.0</v>
      </c>
      <c r="H33" s="176" t="s">
        <v>245</v>
      </c>
      <c r="I33" s="176">
        <v>120.0</v>
      </c>
      <c r="J33" s="176" t="s">
        <v>245</v>
      </c>
      <c r="K33" s="176" t="s">
        <v>245</v>
      </c>
      <c r="L33" s="176" t="s">
        <v>245</v>
      </c>
      <c r="M33" s="176">
        <v>55.0</v>
      </c>
      <c r="N33" s="176">
        <v>0.0</v>
      </c>
      <c r="O33" s="176">
        <v>90.0</v>
      </c>
      <c r="P33" s="176">
        <v>80.0</v>
      </c>
      <c r="Q33" s="176" t="s">
        <v>245</v>
      </c>
      <c r="R33" s="176" t="s">
        <v>245</v>
      </c>
      <c r="S33" s="176" t="s">
        <v>245</v>
      </c>
      <c r="T33" s="176" t="s">
        <v>245</v>
      </c>
      <c r="U33" s="176" t="s">
        <v>245</v>
      </c>
      <c r="V33" s="176" t="s">
        <v>245</v>
      </c>
      <c r="W33" s="176">
        <v>225.0</v>
      </c>
      <c r="X33" s="176">
        <v>0.0</v>
      </c>
      <c r="Y33" s="176">
        <v>20.0</v>
      </c>
      <c r="Z33" s="176" t="s">
        <v>245</v>
      </c>
      <c r="AA33" s="176" t="s">
        <v>245</v>
      </c>
      <c r="AB33" s="176" t="s">
        <v>245</v>
      </c>
      <c r="AC33" s="178" t="s">
        <v>245</v>
      </c>
      <c r="AD33" s="176" t="s">
        <v>245</v>
      </c>
      <c r="AE33" s="176" t="s">
        <v>245</v>
      </c>
      <c r="AF33" s="176" t="s">
        <v>245</v>
      </c>
      <c r="AG33" s="176">
        <v>770.0</v>
      </c>
      <c r="AH33" s="176">
        <v>80.0</v>
      </c>
      <c r="AI33" s="176" t="s">
        <v>245</v>
      </c>
      <c r="AJ33" s="176" t="s">
        <v>245</v>
      </c>
      <c r="AK33" s="176">
        <v>612.0</v>
      </c>
      <c r="AL33" s="176">
        <v>600.0</v>
      </c>
      <c r="AM33" s="176" t="s">
        <v>245</v>
      </c>
      <c r="AN33" s="177">
        <v>270.0</v>
      </c>
      <c r="AQ33" s="176" t="s">
        <v>245</v>
      </c>
      <c r="AR33" s="176" t="s">
        <v>245</v>
      </c>
      <c r="AU33" s="176" t="s">
        <v>245</v>
      </c>
      <c r="AV33" s="176" t="s">
        <v>245</v>
      </c>
      <c r="AW33" s="176">
        <v>2800.0</v>
      </c>
      <c r="AX33" s="177">
        <v>1400.0</v>
      </c>
      <c r="AY33" s="177" t="s">
        <v>245</v>
      </c>
    </row>
    <row r="34">
      <c r="B34" s="174" t="s">
        <v>251</v>
      </c>
      <c r="C34" s="175">
        <f t="shared" si="8"/>
        <v>5435</v>
      </c>
      <c r="D34" s="176">
        <v>60.0</v>
      </c>
      <c r="E34" s="176">
        <v>80.0</v>
      </c>
      <c r="F34" s="176">
        <v>10.0</v>
      </c>
      <c r="G34" s="177">
        <v>0.0</v>
      </c>
      <c r="H34" s="176" t="s">
        <v>245</v>
      </c>
      <c r="I34" s="176">
        <v>20.0</v>
      </c>
      <c r="J34" s="176" t="s">
        <v>245</v>
      </c>
      <c r="K34" s="176" t="s">
        <v>245</v>
      </c>
      <c r="L34" s="176" t="s">
        <v>245</v>
      </c>
      <c r="M34" s="176">
        <v>0.0</v>
      </c>
      <c r="N34" s="176">
        <v>0.0</v>
      </c>
      <c r="O34" s="176">
        <v>80.0</v>
      </c>
      <c r="P34" s="176">
        <v>120.0</v>
      </c>
      <c r="Q34" s="176" t="s">
        <v>245</v>
      </c>
      <c r="R34" s="176" t="s">
        <v>245</v>
      </c>
      <c r="S34" s="176" t="s">
        <v>245</v>
      </c>
      <c r="T34" s="176" t="s">
        <v>245</v>
      </c>
      <c r="U34" s="176" t="s">
        <v>245</v>
      </c>
      <c r="V34" s="176" t="s">
        <v>245</v>
      </c>
      <c r="W34" s="176">
        <v>50.0</v>
      </c>
      <c r="X34" s="176">
        <v>20.0</v>
      </c>
      <c r="Y34" s="176">
        <v>10.0</v>
      </c>
      <c r="Z34" s="176" t="s">
        <v>245</v>
      </c>
      <c r="AA34" s="176" t="s">
        <v>245</v>
      </c>
      <c r="AB34" s="176" t="s">
        <v>245</v>
      </c>
      <c r="AC34" s="178" t="s">
        <v>245</v>
      </c>
      <c r="AD34" s="176" t="s">
        <v>245</v>
      </c>
      <c r="AE34" s="176" t="s">
        <v>245</v>
      </c>
      <c r="AF34" s="176" t="s">
        <v>245</v>
      </c>
      <c r="AG34" s="176">
        <v>280.0</v>
      </c>
      <c r="AH34" s="176">
        <v>100.0</v>
      </c>
      <c r="AI34" s="176" t="s">
        <v>245</v>
      </c>
      <c r="AJ34" s="176" t="s">
        <v>245</v>
      </c>
      <c r="AK34" s="176">
        <v>165.0</v>
      </c>
      <c r="AL34" s="176">
        <v>0.0</v>
      </c>
      <c r="AM34" s="176" t="s">
        <v>245</v>
      </c>
      <c r="AN34" s="177">
        <v>240.0</v>
      </c>
      <c r="AQ34" s="176" t="s">
        <v>245</v>
      </c>
      <c r="AR34" s="176" t="s">
        <v>245</v>
      </c>
      <c r="AU34" s="176" t="s">
        <v>245</v>
      </c>
      <c r="AV34" s="176" t="s">
        <v>245</v>
      </c>
      <c r="AW34" s="176">
        <v>2800.0</v>
      </c>
      <c r="AX34" s="177">
        <v>1400.0</v>
      </c>
      <c r="AY34" s="177" t="s">
        <v>245</v>
      </c>
    </row>
    <row r="35">
      <c r="A35" s="179"/>
      <c r="B35" s="180" t="s">
        <v>144</v>
      </c>
      <c r="C35" s="181">
        <f t="shared" ref="C35:AH35" si="9">SUM(C25:C34)</f>
        <v>113220.85</v>
      </c>
      <c r="D35" s="182">
        <f t="shared" si="9"/>
        <v>3480</v>
      </c>
      <c r="E35" s="182">
        <f t="shared" si="9"/>
        <v>4297</v>
      </c>
      <c r="F35" s="182">
        <f t="shared" si="9"/>
        <v>500</v>
      </c>
      <c r="G35" s="183">
        <f t="shared" si="9"/>
        <v>610</v>
      </c>
      <c r="H35" s="182">
        <f t="shared" si="9"/>
        <v>280</v>
      </c>
      <c r="I35" s="182">
        <f t="shared" si="9"/>
        <v>200</v>
      </c>
      <c r="J35" s="182">
        <f t="shared" si="9"/>
        <v>300</v>
      </c>
      <c r="K35" s="182">
        <f t="shared" si="9"/>
        <v>507</v>
      </c>
      <c r="L35" s="182">
        <f t="shared" si="9"/>
        <v>1222</v>
      </c>
      <c r="M35" s="182">
        <f t="shared" si="9"/>
        <v>220</v>
      </c>
      <c r="N35" s="182">
        <f t="shared" si="9"/>
        <v>360</v>
      </c>
      <c r="O35" s="182">
        <f t="shared" si="9"/>
        <v>320</v>
      </c>
      <c r="P35" s="182">
        <f t="shared" si="9"/>
        <v>340</v>
      </c>
      <c r="Q35" s="182">
        <f t="shared" si="9"/>
        <v>1225</v>
      </c>
      <c r="R35" s="182">
        <f t="shared" si="9"/>
        <v>1305</v>
      </c>
      <c r="S35" s="182">
        <f t="shared" si="9"/>
        <v>15</v>
      </c>
      <c r="T35" s="182">
        <f t="shared" si="9"/>
        <v>150</v>
      </c>
      <c r="U35" s="182">
        <f t="shared" si="9"/>
        <v>207</v>
      </c>
      <c r="V35" s="182">
        <f t="shared" si="9"/>
        <v>32</v>
      </c>
      <c r="W35" s="182">
        <f t="shared" si="9"/>
        <v>725</v>
      </c>
      <c r="X35" s="182">
        <f t="shared" si="9"/>
        <v>96</v>
      </c>
      <c r="Y35" s="182">
        <f t="shared" si="9"/>
        <v>60</v>
      </c>
      <c r="Z35" s="182">
        <f t="shared" si="9"/>
        <v>290</v>
      </c>
      <c r="AA35" s="182">
        <f t="shared" si="9"/>
        <v>840</v>
      </c>
      <c r="AB35" s="182">
        <f t="shared" si="9"/>
        <v>906</v>
      </c>
      <c r="AC35" s="183">
        <f t="shared" si="9"/>
        <v>140</v>
      </c>
      <c r="AD35" s="182">
        <f t="shared" si="9"/>
        <v>660</v>
      </c>
      <c r="AE35" s="182">
        <f t="shared" si="9"/>
        <v>644</v>
      </c>
      <c r="AF35" s="182">
        <f t="shared" si="9"/>
        <v>1440</v>
      </c>
      <c r="AG35" s="182">
        <f t="shared" si="9"/>
        <v>2879.5</v>
      </c>
      <c r="AH35" s="182">
        <f t="shared" si="9"/>
        <v>260</v>
      </c>
      <c r="AI35" s="182">
        <v>0.0</v>
      </c>
      <c r="AJ35" s="182">
        <v>0.0</v>
      </c>
      <c r="AK35" s="182">
        <f t="shared" ref="AK35:AL35" si="10">SUM(AK25:AK34)</f>
        <v>2151</v>
      </c>
      <c r="AL35" s="182">
        <f t="shared" si="10"/>
        <v>2000</v>
      </c>
      <c r="AM35" s="182">
        <v>0.0</v>
      </c>
      <c r="AN35" s="183">
        <f t="shared" ref="AN35:AX35" si="11">SUM(AN25:AN34)</f>
        <v>888</v>
      </c>
      <c r="AO35" s="182">
        <f t="shared" si="11"/>
        <v>11425.07</v>
      </c>
      <c r="AP35" s="182">
        <f t="shared" si="11"/>
        <v>13680.93</v>
      </c>
      <c r="AQ35" s="182">
        <f t="shared" si="11"/>
        <v>26879.95</v>
      </c>
      <c r="AR35" s="182">
        <f t="shared" si="11"/>
        <v>0</v>
      </c>
      <c r="AS35" s="182">
        <f t="shared" si="11"/>
        <v>637.17</v>
      </c>
      <c r="AT35" s="182">
        <f t="shared" si="11"/>
        <v>1645.91</v>
      </c>
      <c r="AU35" s="182">
        <f t="shared" si="11"/>
        <v>2954.52</v>
      </c>
      <c r="AV35" s="182">
        <f t="shared" si="11"/>
        <v>13497.8</v>
      </c>
      <c r="AW35" s="182">
        <f t="shared" si="11"/>
        <v>8400</v>
      </c>
      <c r="AX35" s="183">
        <f t="shared" si="11"/>
        <v>4550</v>
      </c>
      <c r="AY35" s="183">
        <v>3040.0</v>
      </c>
    </row>
    <row r="36">
      <c r="A36" s="173" t="s">
        <v>254</v>
      </c>
      <c r="B36" s="174" t="s">
        <v>164</v>
      </c>
      <c r="C36" s="175">
        <f t="shared" ref="C36:C45" si="12">SUM(D36:AY36)</f>
        <v>25700.98</v>
      </c>
      <c r="D36" s="176">
        <v>743.0</v>
      </c>
      <c r="E36" s="176">
        <v>536.0</v>
      </c>
      <c r="F36" s="176" t="s">
        <v>245</v>
      </c>
      <c r="G36" s="177">
        <v>360.0</v>
      </c>
      <c r="H36" s="176">
        <v>120.0</v>
      </c>
      <c r="I36" s="176" t="s">
        <v>245</v>
      </c>
      <c r="J36" s="176">
        <v>80.0</v>
      </c>
      <c r="K36" s="176">
        <v>117.0</v>
      </c>
      <c r="L36" s="176">
        <v>434.0</v>
      </c>
      <c r="M36" s="176" t="s">
        <v>245</v>
      </c>
      <c r="N36" s="176" t="s">
        <v>245</v>
      </c>
      <c r="O36" s="176" t="s">
        <v>245</v>
      </c>
      <c r="P36" s="176" t="s">
        <v>245</v>
      </c>
      <c r="Q36" s="176">
        <v>425.0</v>
      </c>
      <c r="R36" s="176">
        <v>435.0</v>
      </c>
      <c r="S36" s="176">
        <v>5.0</v>
      </c>
      <c r="T36" s="176">
        <v>25.0</v>
      </c>
      <c r="U36" s="176">
        <v>75.0</v>
      </c>
      <c r="V36" s="176">
        <v>0.0</v>
      </c>
      <c r="W36" s="176" t="s">
        <v>245</v>
      </c>
      <c r="X36" s="176" t="s">
        <v>245</v>
      </c>
      <c r="Y36" s="176" t="s">
        <v>245</v>
      </c>
      <c r="Z36" s="176">
        <v>110.0</v>
      </c>
      <c r="AA36" s="176">
        <v>300.0</v>
      </c>
      <c r="AB36" s="176">
        <v>741.0</v>
      </c>
      <c r="AC36" s="177">
        <v>10.0</v>
      </c>
      <c r="AD36" s="176">
        <v>255.0</v>
      </c>
      <c r="AE36" s="176">
        <v>266.0</v>
      </c>
      <c r="AF36" s="176">
        <v>0.0</v>
      </c>
      <c r="AG36" s="176" t="s">
        <v>245</v>
      </c>
      <c r="AH36" s="176" t="s">
        <v>245</v>
      </c>
      <c r="AI36" s="176" t="s">
        <v>245</v>
      </c>
      <c r="AJ36" s="176" t="s">
        <v>245</v>
      </c>
      <c r="AK36" s="176" t="s">
        <v>245</v>
      </c>
      <c r="AL36" s="176" t="s">
        <v>245</v>
      </c>
      <c r="AM36" s="176" t="s">
        <v>245</v>
      </c>
      <c r="AN36" s="177" t="s">
        <v>245</v>
      </c>
      <c r="AO36" s="176">
        <v>3168.6</v>
      </c>
      <c r="AP36" s="176">
        <v>3405.0</v>
      </c>
      <c r="AQ36" s="176">
        <v>9465.84</v>
      </c>
      <c r="AR36" s="176">
        <v>5.5</v>
      </c>
      <c r="AS36" s="176">
        <v>181.81</v>
      </c>
      <c r="AT36" s="176">
        <v>535.6</v>
      </c>
      <c r="AU36" s="176">
        <v>363.63</v>
      </c>
      <c r="AV36" s="176">
        <v>3538.0</v>
      </c>
      <c r="AW36" s="176" t="s">
        <v>245</v>
      </c>
      <c r="AX36" s="177" t="s">
        <v>245</v>
      </c>
      <c r="AY36" s="177" t="s">
        <v>245</v>
      </c>
    </row>
    <row r="37">
      <c r="B37" s="174" t="s">
        <v>155</v>
      </c>
      <c r="C37" s="175">
        <f t="shared" si="12"/>
        <v>17348.42</v>
      </c>
      <c r="D37" s="176">
        <v>684.0</v>
      </c>
      <c r="E37" s="176">
        <v>390.0</v>
      </c>
      <c r="F37" s="176" t="s">
        <v>245</v>
      </c>
      <c r="G37" s="177">
        <v>200.0</v>
      </c>
      <c r="H37" s="176">
        <v>60.0</v>
      </c>
      <c r="I37" s="176" t="s">
        <v>245</v>
      </c>
      <c r="J37" s="176">
        <v>0.0</v>
      </c>
      <c r="K37" s="176">
        <v>0.0</v>
      </c>
      <c r="L37" s="176">
        <v>188.0</v>
      </c>
      <c r="M37" s="176" t="s">
        <v>245</v>
      </c>
      <c r="N37" s="176" t="s">
        <v>245</v>
      </c>
      <c r="O37" s="176" t="s">
        <v>245</v>
      </c>
      <c r="P37" s="176" t="s">
        <v>245</v>
      </c>
      <c r="Q37" s="176">
        <v>125.0</v>
      </c>
      <c r="R37" s="176">
        <v>375.0</v>
      </c>
      <c r="S37" s="176">
        <v>5.0</v>
      </c>
      <c r="T37" s="176">
        <v>0.0</v>
      </c>
      <c r="U37" s="176">
        <v>45.0</v>
      </c>
      <c r="V37" s="176">
        <v>5.0</v>
      </c>
      <c r="W37" s="176" t="s">
        <v>245</v>
      </c>
      <c r="X37" s="176" t="s">
        <v>245</v>
      </c>
      <c r="Y37" s="176" t="s">
        <v>245</v>
      </c>
      <c r="Z37" s="176">
        <v>10.0</v>
      </c>
      <c r="AA37" s="176">
        <v>80.0</v>
      </c>
      <c r="AB37" s="176">
        <v>760.75</v>
      </c>
      <c r="AC37" s="177">
        <v>40.0</v>
      </c>
      <c r="AD37" s="176">
        <v>0.0</v>
      </c>
      <c r="AE37" s="176">
        <v>168.0</v>
      </c>
      <c r="AF37" s="176">
        <v>0.0</v>
      </c>
      <c r="AG37" s="176" t="s">
        <v>245</v>
      </c>
      <c r="AH37" s="176" t="s">
        <v>245</v>
      </c>
      <c r="AI37" s="176" t="s">
        <v>245</v>
      </c>
      <c r="AJ37" s="176" t="s">
        <v>245</v>
      </c>
      <c r="AK37" s="176" t="s">
        <v>245</v>
      </c>
      <c r="AL37" s="176" t="s">
        <v>245</v>
      </c>
      <c r="AM37" s="176" t="s">
        <v>245</v>
      </c>
      <c r="AN37" s="177" t="s">
        <v>245</v>
      </c>
      <c r="AO37" s="176">
        <v>1868.13</v>
      </c>
      <c r="AP37" s="176">
        <v>5480.05</v>
      </c>
      <c r="AQ37" s="176">
        <v>2430.57</v>
      </c>
      <c r="AR37" s="176">
        <v>0.0</v>
      </c>
      <c r="AS37" s="176">
        <v>148.76</v>
      </c>
      <c r="AT37" s="176">
        <v>352.33</v>
      </c>
      <c r="AU37" s="176">
        <v>1119.83</v>
      </c>
      <c r="AV37" s="176">
        <v>2813.0</v>
      </c>
      <c r="AW37" s="176" t="s">
        <v>245</v>
      </c>
      <c r="AX37" s="177" t="s">
        <v>245</v>
      </c>
      <c r="AY37" s="177" t="s">
        <v>245</v>
      </c>
    </row>
    <row r="38">
      <c r="B38" s="174" t="s">
        <v>163</v>
      </c>
      <c r="C38" s="175">
        <f t="shared" si="12"/>
        <v>14972.24</v>
      </c>
      <c r="D38" s="176">
        <v>537.0</v>
      </c>
      <c r="E38" s="176">
        <v>565.0</v>
      </c>
      <c r="F38" s="176" t="s">
        <v>245</v>
      </c>
      <c r="G38" s="177">
        <v>271.0</v>
      </c>
      <c r="H38" s="176">
        <v>90.0</v>
      </c>
      <c r="I38" s="176" t="s">
        <v>245</v>
      </c>
      <c r="J38" s="176">
        <v>150.0</v>
      </c>
      <c r="K38" s="176">
        <v>0.0</v>
      </c>
      <c r="L38" s="176">
        <v>109.0</v>
      </c>
      <c r="M38" s="176" t="s">
        <v>245</v>
      </c>
      <c r="N38" s="176" t="s">
        <v>245</v>
      </c>
      <c r="O38" s="176" t="s">
        <v>245</v>
      </c>
      <c r="P38" s="176" t="s">
        <v>245</v>
      </c>
      <c r="Q38" s="176">
        <v>150.0</v>
      </c>
      <c r="R38" s="176">
        <v>255.0</v>
      </c>
      <c r="S38" s="176">
        <v>10.0</v>
      </c>
      <c r="T38" s="176">
        <v>50.0</v>
      </c>
      <c r="U38" s="176">
        <v>30.0</v>
      </c>
      <c r="V38" s="176">
        <v>0.0</v>
      </c>
      <c r="W38" s="176" t="s">
        <v>245</v>
      </c>
      <c r="X38" s="176" t="s">
        <v>245</v>
      </c>
      <c r="Y38" s="176" t="s">
        <v>245</v>
      </c>
      <c r="Z38" s="176">
        <v>70.0</v>
      </c>
      <c r="AA38" s="176">
        <v>160.0</v>
      </c>
      <c r="AB38" s="176">
        <v>253.0</v>
      </c>
      <c r="AC38" s="177">
        <v>20.0</v>
      </c>
      <c r="AD38" s="176">
        <v>195.0</v>
      </c>
      <c r="AE38" s="176">
        <v>168.0</v>
      </c>
      <c r="AF38" s="176">
        <v>0.0</v>
      </c>
      <c r="AG38" s="176" t="s">
        <v>245</v>
      </c>
      <c r="AH38" s="176" t="s">
        <v>245</v>
      </c>
      <c r="AI38" s="176" t="s">
        <v>245</v>
      </c>
      <c r="AJ38" s="176" t="s">
        <v>245</v>
      </c>
      <c r="AK38" s="176" t="s">
        <v>245</v>
      </c>
      <c r="AL38" s="176" t="s">
        <v>245</v>
      </c>
      <c r="AM38" s="176" t="s">
        <v>245</v>
      </c>
      <c r="AN38" s="177" t="s">
        <v>245</v>
      </c>
      <c r="AO38" s="176">
        <v>1449.99</v>
      </c>
      <c r="AP38" s="176">
        <v>3117.59</v>
      </c>
      <c r="AQ38" s="176">
        <v>3892.56</v>
      </c>
      <c r="AR38" s="176">
        <v>0.0</v>
      </c>
      <c r="AS38" s="176">
        <v>104.13</v>
      </c>
      <c r="AT38" s="176">
        <v>462.45</v>
      </c>
      <c r="AU38" s="176">
        <v>297.52</v>
      </c>
      <c r="AV38" s="176">
        <v>2565.0</v>
      </c>
      <c r="AW38" s="176" t="s">
        <v>245</v>
      </c>
      <c r="AX38" s="177" t="s">
        <v>245</v>
      </c>
      <c r="AY38" s="177" t="s">
        <v>245</v>
      </c>
    </row>
    <row r="39">
      <c r="B39" s="174" t="s">
        <v>161</v>
      </c>
      <c r="C39" s="175">
        <f t="shared" si="12"/>
        <v>13027.21</v>
      </c>
      <c r="D39" s="176">
        <v>429.0</v>
      </c>
      <c r="E39" s="176">
        <v>312.0</v>
      </c>
      <c r="F39" s="176" t="s">
        <v>245</v>
      </c>
      <c r="G39" s="177">
        <v>200.0</v>
      </c>
      <c r="H39" s="176">
        <v>0.0</v>
      </c>
      <c r="I39" s="176" t="s">
        <v>245</v>
      </c>
      <c r="J39" s="176">
        <v>0.0</v>
      </c>
      <c r="K39" s="176">
        <v>39.0</v>
      </c>
      <c r="L39" s="176">
        <v>315.0</v>
      </c>
      <c r="M39" s="176" t="s">
        <v>245</v>
      </c>
      <c r="N39" s="176" t="s">
        <v>245</v>
      </c>
      <c r="O39" s="176" t="s">
        <v>245</v>
      </c>
      <c r="P39" s="176" t="s">
        <v>245</v>
      </c>
      <c r="Q39" s="176">
        <v>125.0</v>
      </c>
      <c r="R39" s="176">
        <v>285.0</v>
      </c>
      <c r="S39" s="176">
        <v>10.0</v>
      </c>
      <c r="T39" s="176">
        <v>0.0</v>
      </c>
      <c r="U39" s="176">
        <v>60.0</v>
      </c>
      <c r="V39" s="176">
        <v>0.0</v>
      </c>
      <c r="W39" s="176" t="s">
        <v>245</v>
      </c>
      <c r="X39" s="176" t="s">
        <v>245</v>
      </c>
      <c r="Y39" s="176" t="s">
        <v>245</v>
      </c>
      <c r="Z39" s="176">
        <v>40.0</v>
      </c>
      <c r="AA39" s="176">
        <v>110.0</v>
      </c>
      <c r="AB39" s="176">
        <v>273.0</v>
      </c>
      <c r="AC39" s="177">
        <v>10.0</v>
      </c>
      <c r="AD39" s="176">
        <v>165.0</v>
      </c>
      <c r="AE39" s="176">
        <v>0.0</v>
      </c>
      <c r="AF39" s="176">
        <v>135.0</v>
      </c>
      <c r="AG39" s="176" t="s">
        <v>245</v>
      </c>
      <c r="AH39" s="176" t="s">
        <v>245</v>
      </c>
      <c r="AI39" s="176" t="s">
        <v>245</v>
      </c>
      <c r="AJ39" s="176" t="s">
        <v>245</v>
      </c>
      <c r="AK39" s="176" t="s">
        <v>245</v>
      </c>
      <c r="AL39" s="176" t="s">
        <v>245</v>
      </c>
      <c r="AM39" s="176" t="s">
        <v>245</v>
      </c>
      <c r="AN39" s="177" t="s">
        <v>245</v>
      </c>
      <c r="AO39" s="176">
        <v>1445.07</v>
      </c>
      <c r="AP39" s="176">
        <v>2764.8</v>
      </c>
      <c r="AQ39" s="176">
        <v>2622.31</v>
      </c>
      <c r="AR39" s="176">
        <v>0.0</v>
      </c>
      <c r="AS39" s="176">
        <v>66.11</v>
      </c>
      <c r="AT39" s="176">
        <v>243.47</v>
      </c>
      <c r="AU39" s="176">
        <v>1045.45</v>
      </c>
      <c r="AV39" s="176">
        <v>2332.0</v>
      </c>
      <c r="AW39" s="176" t="s">
        <v>245</v>
      </c>
      <c r="AX39" s="177" t="s">
        <v>245</v>
      </c>
      <c r="AY39" s="177" t="s">
        <v>245</v>
      </c>
    </row>
    <row r="40">
      <c r="B40" s="174" t="s">
        <v>159</v>
      </c>
      <c r="C40" s="175">
        <f t="shared" si="12"/>
        <v>18296.49</v>
      </c>
      <c r="D40" s="176">
        <v>585.0</v>
      </c>
      <c r="E40" s="176">
        <v>312.0</v>
      </c>
      <c r="F40" s="176" t="s">
        <v>245</v>
      </c>
      <c r="G40" s="177">
        <v>290.0</v>
      </c>
      <c r="H40" s="176">
        <v>0.0</v>
      </c>
      <c r="I40" s="176" t="s">
        <v>245</v>
      </c>
      <c r="J40" s="176">
        <v>80.0</v>
      </c>
      <c r="K40" s="176">
        <v>78.0</v>
      </c>
      <c r="L40" s="176">
        <v>227.0</v>
      </c>
      <c r="M40" s="176" t="s">
        <v>245</v>
      </c>
      <c r="N40" s="176" t="s">
        <v>245</v>
      </c>
      <c r="O40" s="176" t="s">
        <v>245</v>
      </c>
      <c r="P40" s="176" t="s">
        <v>245</v>
      </c>
      <c r="Q40" s="176">
        <v>50.0</v>
      </c>
      <c r="R40" s="176">
        <v>705.0</v>
      </c>
      <c r="S40" s="176">
        <v>0.0</v>
      </c>
      <c r="T40" s="176">
        <v>25.0</v>
      </c>
      <c r="U40" s="176">
        <v>60.0</v>
      </c>
      <c r="V40" s="176">
        <v>0.0</v>
      </c>
      <c r="W40" s="176" t="s">
        <v>245</v>
      </c>
      <c r="X40" s="176" t="s">
        <v>245</v>
      </c>
      <c r="Y40" s="176" t="s">
        <v>245</v>
      </c>
      <c r="Z40" s="176">
        <v>40.0</v>
      </c>
      <c r="AA40" s="176">
        <v>150.0</v>
      </c>
      <c r="AB40" s="176">
        <v>304.75</v>
      </c>
      <c r="AC40" s="177">
        <v>0.0</v>
      </c>
      <c r="AD40" s="176">
        <v>240.0</v>
      </c>
      <c r="AE40" s="176">
        <v>0.0</v>
      </c>
      <c r="AF40" s="176">
        <v>120.0</v>
      </c>
      <c r="AG40" s="176" t="s">
        <v>245</v>
      </c>
      <c r="AH40" s="176" t="s">
        <v>245</v>
      </c>
      <c r="AI40" s="176" t="s">
        <v>245</v>
      </c>
      <c r="AJ40" s="176" t="s">
        <v>245</v>
      </c>
      <c r="AK40" s="176" t="s">
        <v>245</v>
      </c>
      <c r="AL40" s="176" t="s">
        <v>245</v>
      </c>
      <c r="AM40" s="176" t="s">
        <v>245</v>
      </c>
      <c r="AN40" s="177" t="s">
        <v>245</v>
      </c>
      <c r="AO40" s="176">
        <v>3669.2</v>
      </c>
      <c r="AP40" s="176">
        <v>3806.9</v>
      </c>
      <c r="AQ40" s="176">
        <v>3841.32</v>
      </c>
      <c r="AR40" s="176">
        <v>0.0</v>
      </c>
      <c r="AS40" s="176">
        <v>72.72</v>
      </c>
      <c r="AT40" s="176">
        <v>363.22</v>
      </c>
      <c r="AU40" s="176">
        <v>793.38</v>
      </c>
      <c r="AV40" s="176">
        <v>2483.0</v>
      </c>
      <c r="AW40" s="176" t="s">
        <v>245</v>
      </c>
      <c r="AX40" s="177" t="s">
        <v>245</v>
      </c>
      <c r="AY40" s="177" t="s">
        <v>245</v>
      </c>
    </row>
    <row r="41">
      <c r="B41" s="174" t="s">
        <v>246</v>
      </c>
      <c r="C41" s="175">
        <f t="shared" si="12"/>
        <v>9800.38</v>
      </c>
      <c r="D41" s="176">
        <v>55.0</v>
      </c>
      <c r="E41" s="176">
        <v>770.0</v>
      </c>
      <c r="F41" s="176">
        <v>275.0</v>
      </c>
      <c r="G41" s="177">
        <v>220.0</v>
      </c>
      <c r="H41" s="176" t="s">
        <v>245</v>
      </c>
      <c r="I41" s="176">
        <v>10.0</v>
      </c>
      <c r="J41" s="176" t="s">
        <v>245</v>
      </c>
      <c r="K41" s="176" t="s">
        <v>245</v>
      </c>
      <c r="L41" s="176" t="s">
        <v>245</v>
      </c>
      <c r="M41" s="176">
        <v>0.0</v>
      </c>
      <c r="N41" s="176">
        <v>200.0</v>
      </c>
      <c r="O41" s="176">
        <v>60.0</v>
      </c>
      <c r="P41" s="176">
        <v>60.0</v>
      </c>
      <c r="Q41" s="176" t="s">
        <v>245</v>
      </c>
      <c r="R41" s="176" t="s">
        <v>245</v>
      </c>
      <c r="S41" s="176" t="s">
        <v>245</v>
      </c>
      <c r="T41" s="176" t="s">
        <v>245</v>
      </c>
      <c r="U41" s="176" t="s">
        <v>245</v>
      </c>
      <c r="V41" s="176" t="s">
        <v>245</v>
      </c>
      <c r="W41" s="176">
        <v>50.0</v>
      </c>
      <c r="X41" s="176">
        <v>72.0</v>
      </c>
      <c r="Y41" s="176">
        <v>0.0</v>
      </c>
      <c r="Z41" s="176" t="s">
        <v>245</v>
      </c>
      <c r="AA41" s="176" t="s">
        <v>245</v>
      </c>
      <c r="AB41" s="176" t="s">
        <v>245</v>
      </c>
      <c r="AC41" s="178" t="s">
        <v>245</v>
      </c>
      <c r="AD41" s="176" t="s">
        <v>245</v>
      </c>
      <c r="AE41" s="176" t="s">
        <v>245</v>
      </c>
      <c r="AF41" s="176" t="s">
        <v>245</v>
      </c>
      <c r="AG41" s="176">
        <v>1092.0</v>
      </c>
      <c r="AH41" s="176">
        <v>60.0</v>
      </c>
      <c r="AI41" s="176" t="s">
        <v>245</v>
      </c>
      <c r="AJ41" s="176" t="s">
        <v>245</v>
      </c>
      <c r="AK41" s="176">
        <v>0.0</v>
      </c>
      <c r="AL41" s="176">
        <v>0.0</v>
      </c>
      <c r="AM41" s="176">
        <v>0.0</v>
      </c>
      <c r="AN41" s="177">
        <v>180.0</v>
      </c>
      <c r="AO41" s="176">
        <v>46.38</v>
      </c>
      <c r="AP41" s="176">
        <v>0.0</v>
      </c>
      <c r="AQ41" s="176" t="s">
        <v>245</v>
      </c>
      <c r="AR41" s="176" t="s">
        <v>245</v>
      </c>
      <c r="AS41" s="176">
        <v>0.0</v>
      </c>
      <c r="AT41" s="176">
        <v>0.0</v>
      </c>
      <c r="AU41" s="176" t="s">
        <v>245</v>
      </c>
      <c r="AV41" s="176" t="s">
        <v>245</v>
      </c>
      <c r="AW41" s="176">
        <v>6300.0</v>
      </c>
      <c r="AX41" s="177">
        <v>350.0</v>
      </c>
      <c r="AY41" s="177" t="s">
        <v>245</v>
      </c>
    </row>
    <row r="42">
      <c r="B42" s="174" t="s">
        <v>247</v>
      </c>
      <c r="C42" s="175">
        <f t="shared" si="12"/>
        <v>4463</v>
      </c>
      <c r="D42" s="176">
        <v>85.0</v>
      </c>
      <c r="E42" s="176">
        <v>280.0</v>
      </c>
      <c r="F42" s="176">
        <v>65.0</v>
      </c>
      <c r="G42" s="177">
        <v>60.0</v>
      </c>
      <c r="H42" s="176" t="s">
        <v>245</v>
      </c>
      <c r="I42" s="176">
        <v>10.0</v>
      </c>
      <c r="J42" s="176" t="s">
        <v>245</v>
      </c>
      <c r="K42" s="176" t="s">
        <v>245</v>
      </c>
      <c r="L42" s="176" t="s">
        <v>245</v>
      </c>
      <c r="M42" s="176">
        <v>0.0</v>
      </c>
      <c r="N42" s="176">
        <v>0.0</v>
      </c>
      <c r="O42" s="176">
        <v>50.0</v>
      </c>
      <c r="P42" s="176">
        <v>40.0</v>
      </c>
      <c r="Q42" s="176" t="s">
        <v>245</v>
      </c>
      <c r="R42" s="176" t="s">
        <v>245</v>
      </c>
      <c r="S42" s="176" t="s">
        <v>245</v>
      </c>
      <c r="T42" s="176" t="s">
        <v>245</v>
      </c>
      <c r="U42" s="176" t="s">
        <v>245</v>
      </c>
      <c r="V42" s="176" t="s">
        <v>245</v>
      </c>
      <c r="W42" s="176">
        <v>0.0</v>
      </c>
      <c r="X42" s="176">
        <v>0.0</v>
      </c>
      <c r="Y42" s="176">
        <v>0.0</v>
      </c>
      <c r="Z42" s="176" t="s">
        <v>245</v>
      </c>
      <c r="AA42" s="176" t="s">
        <v>245</v>
      </c>
      <c r="AB42" s="176" t="s">
        <v>245</v>
      </c>
      <c r="AC42" s="178" t="s">
        <v>245</v>
      </c>
      <c r="AD42" s="176" t="s">
        <v>245</v>
      </c>
      <c r="AE42" s="176" t="s">
        <v>245</v>
      </c>
      <c r="AF42" s="176" t="s">
        <v>245</v>
      </c>
      <c r="AG42" s="176">
        <v>553.0</v>
      </c>
      <c r="AH42" s="176">
        <v>60.0</v>
      </c>
      <c r="AI42" s="176" t="s">
        <v>245</v>
      </c>
      <c r="AJ42" s="176" t="s">
        <v>245</v>
      </c>
      <c r="AK42" s="176">
        <v>0.0</v>
      </c>
      <c r="AL42" s="176">
        <v>0.0</v>
      </c>
      <c r="AM42" s="176">
        <v>0.0</v>
      </c>
      <c r="AN42" s="177">
        <v>210.0</v>
      </c>
      <c r="AQ42" s="176" t="s">
        <v>245</v>
      </c>
      <c r="AR42" s="176" t="s">
        <v>245</v>
      </c>
      <c r="AU42" s="176" t="s">
        <v>245</v>
      </c>
      <c r="AV42" s="176" t="s">
        <v>245</v>
      </c>
      <c r="AW42" s="176">
        <v>2700.0</v>
      </c>
      <c r="AX42" s="177">
        <v>350.0</v>
      </c>
      <c r="AY42" s="177" t="s">
        <v>245</v>
      </c>
    </row>
    <row r="43">
      <c r="B43" s="174" t="s">
        <v>249</v>
      </c>
      <c r="C43" s="175">
        <f t="shared" si="12"/>
        <v>6541</v>
      </c>
      <c r="D43" s="176">
        <v>140.0</v>
      </c>
      <c r="E43" s="176">
        <v>0.0</v>
      </c>
      <c r="F43" s="176">
        <v>605.0</v>
      </c>
      <c r="G43" s="177">
        <v>150.0</v>
      </c>
      <c r="H43" s="176" t="s">
        <v>245</v>
      </c>
      <c r="I43" s="176">
        <v>20.0</v>
      </c>
      <c r="J43" s="176" t="s">
        <v>245</v>
      </c>
      <c r="K43" s="176" t="s">
        <v>245</v>
      </c>
      <c r="L43" s="176" t="s">
        <v>245</v>
      </c>
      <c r="M43" s="176">
        <v>0.0</v>
      </c>
      <c r="N43" s="176">
        <v>100.0</v>
      </c>
      <c r="O43" s="176">
        <v>20.0</v>
      </c>
      <c r="P43" s="176">
        <v>60.0</v>
      </c>
      <c r="Q43" s="176" t="s">
        <v>245</v>
      </c>
      <c r="R43" s="176" t="s">
        <v>245</v>
      </c>
      <c r="S43" s="176" t="s">
        <v>245</v>
      </c>
      <c r="T43" s="176" t="s">
        <v>245</v>
      </c>
      <c r="U43" s="176" t="s">
        <v>245</v>
      </c>
      <c r="V43" s="176" t="s">
        <v>245</v>
      </c>
      <c r="W43" s="176">
        <v>325.0</v>
      </c>
      <c r="X43" s="176">
        <v>54.0</v>
      </c>
      <c r="Y43" s="176">
        <v>0.0</v>
      </c>
      <c r="Z43" s="176" t="s">
        <v>245</v>
      </c>
      <c r="AA43" s="176" t="s">
        <v>245</v>
      </c>
      <c r="AB43" s="176" t="s">
        <v>245</v>
      </c>
      <c r="AC43" s="178" t="s">
        <v>245</v>
      </c>
      <c r="AD43" s="176" t="s">
        <v>245</v>
      </c>
      <c r="AE43" s="176" t="s">
        <v>245</v>
      </c>
      <c r="AF43" s="176" t="s">
        <v>245</v>
      </c>
      <c r="AG43" s="176">
        <v>525.0</v>
      </c>
      <c r="AH43" s="176">
        <v>60.0</v>
      </c>
      <c r="AI43" s="176" t="s">
        <v>245</v>
      </c>
      <c r="AJ43" s="176" t="s">
        <v>245</v>
      </c>
      <c r="AK43" s="176">
        <v>0.0</v>
      </c>
      <c r="AL43" s="176">
        <v>0.0</v>
      </c>
      <c r="AM43" s="176">
        <v>222.0</v>
      </c>
      <c r="AN43" s="177">
        <v>60.0</v>
      </c>
      <c r="AQ43" s="176" t="s">
        <v>245</v>
      </c>
      <c r="AR43" s="176" t="s">
        <v>245</v>
      </c>
      <c r="AU43" s="176" t="s">
        <v>245</v>
      </c>
      <c r="AV43" s="176" t="s">
        <v>245</v>
      </c>
      <c r="AW43" s="176">
        <v>2800.0</v>
      </c>
      <c r="AX43" s="177">
        <v>1400.0</v>
      </c>
      <c r="AY43" s="177" t="s">
        <v>245</v>
      </c>
    </row>
    <row r="44">
      <c r="B44" s="174" t="s">
        <v>250</v>
      </c>
      <c r="C44" s="175">
        <f t="shared" si="12"/>
        <v>4977</v>
      </c>
      <c r="D44" s="176">
        <v>60.0</v>
      </c>
      <c r="E44" s="176">
        <v>0.0</v>
      </c>
      <c r="F44" s="176">
        <v>0.0</v>
      </c>
      <c r="G44" s="177">
        <v>0.0</v>
      </c>
      <c r="H44" s="176" t="s">
        <v>245</v>
      </c>
      <c r="I44" s="176">
        <v>30.0</v>
      </c>
      <c r="J44" s="176" t="s">
        <v>245</v>
      </c>
      <c r="K44" s="176" t="s">
        <v>245</v>
      </c>
      <c r="L44" s="176" t="s">
        <v>245</v>
      </c>
      <c r="M44" s="176">
        <v>100.0</v>
      </c>
      <c r="N44" s="176">
        <v>0.0</v>
      </c>
      <c r="O44" s="176">
        <v>60.0</v>
      </c>
      <c r="P44" s="176">
        <v>60.0</v>
      </c>
      <c r="Q44" s="176" t="s">
        <v>245</v>
      </c>
      <c r="R44" s="176" t="s">
        <v>245</v>
      </c>
      <c r="S44" s="176" t="s">
        <v>245</v>
      </c>
      <c r="T44" s="176" t="s">
        <v>245</v>
      </c>
      <c r="U44" s="176" t="s">
        <v>245</v>
      </c>
      <c r="V44" s="176" t="s">
        <v>245</v>
      </c>
      <c r="W44" s="176">
        <v>125.0</v>
      </c>
      <c r="X44" s="176">
        <v>18.0</v>
      </c>
      <c r="Y44" s="176">
        <v>0.0</v>
      </c>
      <c r="Z44" s="176" t="s">
        <v>245</v>
      </c>
      <c r="AA44" s="176" t="s">
        <v>245</v>
      </c>
      <c r="AB44" s="176" t="s">
        <v>245</v>
      </c>
      <c r="AC44" s="178" t="s">
        <v>245</v>
      </c>
      <c r="AD44" s="176" t="s">
        <v>245</v>
      </c>
      <c r="AE44" s="176" t="s">
        <v>245</v>
      </c>
      <c r="AF44" s="176" t="s">
        <v>245</v>
      </c>
      <c r="AG44" s="176">
        <v>0.0</v>
      </c>
      <c r="AH44" s="176">
        <v>60.0</v>
      </c>
      <c r="AI44" s="176" t="s">
        <v>245</v>
      </c>
      <c r="AJ44" s="176" t="s">
        <v>245</v>
      </c>
      <c r="AK44" s="176">
        <v>0.0</v>
      </c>
      <c r="AL44" s="176">
        <v>0.0</v>
      </c>
      <c r="AM44" s="176">
        <v>84.0</v>
      </c>
      <c r="AN44" s="177">
        <v>180.0</v>
      </c>
      <c r="AQ44" s="176" t="s">
        <v>245</v>
      </c>
      <c r="AR44" s="176" t="s">
        <v>245</v>
      </c>
      <c r="AU44" s="176" t="s">
        <v>245</v>
      </c>
      <c r="AV44" s="176" t="s">
        <v>245</v>
      </c>
      <c r="AW44" s="176">
        <v>2800.0</v>
      </c>
      <c r="AX44" s="177">
        <v>1400.0</v>
      </c>
      <c r="AY44" s="177" t="s">
        <v>245</v>
      </c>
    </row>
    <row r="45">
      <c r="B45" s="174" t="s">
        <v>251</v>
      </c>
      <c r="C45" s="175">
        <f t="shared" si="12"/>
        <v>6694</v>
      </c>
      <c r="D45" s="176">
        <v>0.0</v>
      </c>
      <c r="E45" s="176">
        <v>40.0</v>
      </c>
      <c r="F45" s="176">
        <v>380.0</v>
      </c>
      <c r="G45" s="177">
        <v>210.0</v>
      </c>
      <c r="H45" s="176" t="s">
        <v>245</v>
      </c>
      <c r="I45" s="176">
        <v>40.0</v>
      </c>
      <c r="J45" s="176" t="s">
        <v>245</v>
      </c>
      <c r="K45" s="176" t="s">
        <v>245</v>
      </c>
      <c r="L45" s="176" t="s">
        <v>245</v>
      </c>
      <c r="M45" s="176">
        <v>0.0</v>
      </c>
      <c r="N45" s="176">
        <v>0.0</v>
      </c>
      <c r="O45" s="176">
        <v>80.0</v>
      </c>
      <c r="P45" s="176">
        <v>120.0</v>
      </c>
      <c r="Q45" s="176" t="s">
        <v>245</v>
      </c>
      <c r="R45" s="176" t="s">
        <v>245</v>
      </c>
      <c r="S45" s="176" t="s">
        <v>245</v>
      </c>
      <c r="T45" s="176" t="s">
        <v>245</v>
      </c>
      <c r="U45" s="176" t="s">
        <v>245</v>
      </c>
      <c r="V45" s="176" t="s">
        <v>245</v>
      </c>
      <c r="W45" s="176">
        <v>0.0</v>
      </c>
      <c r="X45" s="176">
        <v>36.0</v>
      </c>
      <c r="Y45" s="176">
        <v>0.0</v>
      </c>
      <c r="Z45" s="176" t="s">
        <v>245</v>
      </c>
      <c r="AA45" s="176" t="s">
        <v>245</v>
      </c>
      <c r="AB45" s="176" t="s">
        <v>245</v>
      </c>
      <c r="AC45" s="178" t="s">
        <v>245</v>
      </c>
      <c r="AD45" s="176" t="s">
        <v>245</v>
      </c>
      <c r="AE45" s="176" t="s">
        <v>245</v>
      </c>
      <c r="AF45" s="176" t="s">
        <v>245</v>
      </c>
      <c r="AG45" s="176">
        <v>1210.0</v>
      </c>
      <c r="AH45" s="176">
        <v>120.0</v>
      </c>
      <c r="AI45" s="176" t="s">
        <v>245</v>
      </c>
      <c r="AJ45" s="176" t="s">
        <v>245</v>
      </c>
      <c r="AK45" s="176">
        <v>0.0</v>
      </c>
      <c r="AL45" s="176">
        <v>0.0</v>
      </c>
      <c r="AM45" s="176">
        <v>18.0</v>
      </c>
      <c r="AN45" s="177">
        <v>240.0</v>
      </c>
      <c r="AQ45" s="176" t="s">
        <v>245</v>
      </c>
      <c r="AR45" s="176" t="s">
        <v>245</v>
      </c>
      <c r="AU45" s="176" t="s">
        <v>245</v>
      </c>
      <c r="AV45" s="176" t="s">
        <v>245</v>
      </c>
      <c r="AW45" s="176">
        <v>2800.0</v>
      </c>
      <c r="AX45" s="177">
        <v>1400.0</v>
      </c>
      <c r="AY45" s="177" t="s">
        <v>245</v>
      </c>
    </row>
    <row r="46">
      <c r="A46" s="179"/>
      <c r="B46" s="180" t="s">
        <v>144</v>
      </c>
      <c r="C46" s="181">
        <f t="shared" ref="C46:AH46" si="13">SUM(C36:C45)</f>
        <v>121820.72</v>
      </c>
      <c r="D46" s="182">
        <f t="shared" si="13"/>
        <v>3318</v>
      </c>
      <c r="E46" s="182">
        <f t="shared" si="13"/>
        <v>3205</v>
      </c>
      <c r="F46" s="182">
        <f t="shared" si="13"/>
        <v>1325</v>
      </c>
      <c r="G46" s="183">
        <f t="shared" si="13"/>
        <v>1961</v>
      </c>
      <c r="H46" s="182">
        <f t="shared" si="13"/>
        <v>270</v>
      </c>
      <c r="I46" s="182">
        <f t="shared" si="13"/>
        <v>110</v>
      </c>
      <c r="J46" s="182">
        <f t="shared" si="13"/>
        <v>310</v>
      </c>
      <c r="K46" s="182">
        <f t="shared" si="13"/>
        <v>234</v>
      </c>
      <c r="L46" s="182">
        <f t="shared" si="13"/>
        <v>1273</v>
      </c>
      <c r="M46" s="182">
        <f t="shared" si="13"/>
        <v>100</v>
      </c>
      <c r="N46" s="182">
        <f t="shared" si="13"/>
        <v>300</v>
      </c>
      <c r="O46" s="182">
        <f t="shared" si="13"/>
        <v>270</v>
      </c>
      <c r="P46" s="182">
        <f t="shared" si="13"/>
        <v>340</v>
      </c>
      <c r="Q46" s="182">
        <f t="shared" si="13"/>
        <v>875</v>
      </c>
      <c r="R46" s="182">
        <f t="shared" si="13"/>
        <v>2055</v>
      </c>
      <c r="S46" s="182">
        <f t="shared" si="13"/>
        <v>30</v>
      </c>
      <c r="T46" s="182">
        <f t="shared" si="13"/>
        <v>100</v>
      </c>
      <c r="U46" s="182">
        <f t="shared" si="13"/>
        <v>270</v>
      </c>
      <c r="V46" s="182">
        <f t="shared" si="13"/>
        <v>5</v>
      </c>
      <c r="W46" s="182">
        <f t="shared" si="13"/>
        <v>500</v>
      </c>
      <c r="X46" s="182">
        <f t="shared" si="13"/>
        <v>180</v>
      </c>
      <c r="Y46" s="182">
        <f t="shared" si="13"/>
        <v>0</v>
      </c>
      <c r="Z46" s="182">
        <f t="shared" si="13"/>
        <v>270</v>
      </c>
      <c r="AA46" s="182">
        <f t="shared" si="13"/>
        <v>800</v>
      </c>
      <c r="AB46" s="182">
        <f t="shared" si="13"/>
        <v>2332.5</v>
      </c>
      <c r="AC46" s="183">
        <f t="shared" si="13"/>
        <v>80</v>
      </c>
      <c r="AD46" s="182">
        <f t="shared" si="13"/>
        <v>855</v>
      </c>
      <c r="AE46" s="182">
        <f t="shared" si="13"/>
        <v>602</v>
      </c>
      <c r="AF46" s="182">
        <f t="shared" si="13"/>
        <v>255</v>
      </c>
      <c r="AG46" s="182">
        <f t="shared" si="13"/>
        <v>3380</v>
      </c>
      <c r="AH46" s="182">
        <f t="shared" si="13"/>
        <v>360</v>
      </c>
      <c r="AI46" s="182">
        <v>0.0</v>
      </c>
      <c r="AJ46" s="182">
        <v>0.0</v>
      </c>
      <c r="AK46" s="182">
        <f t="shared" ref="AK46:AX46" si="14">SUM(AK36:AK45)</f>
        <v>0</v>
      </c>
      <c r="AL46" s="182">
        <f t="shared" si="14"/>
        <v>0</v>
      </c>
      <c r="AM46" s="182">
        <f t="shared" si="14"/>
        <v>324</v>
      </c>
      <c r="AN46" s="183">
        <f t="shared" si="14"/>
        <v>870</v>
      </c>
      <c r="AO46" s="182">
        <f t="shared" si="14"/>
        <v>11647.37</v>
      </c>
      <c r="AP46" s="182">
        <f t="shared" si="14"/>
        <v>18574.34</v>
      </c>
      <c r="AQ46" s="182">
        <f t="shared" si="14"/>
        <v>22252.6</v>
      </c>
      <c r="AR46" s="182">
        <f t="shared" si="14"/>
        <v>5.5</v>
      </c>
      <c r="AS46" s="182">
        <f t="shared" si="14"/>
        <v>573.53</v>
      </c>
      <c r="AT46" s="182">
        <f t="shared" si="14"/>
        <v>1957.07</v>
      </c>
      <c r="AU46" s="182">
        <f t="shared" si="14"/>
        <v>3619.81</v>
      </c>
      <c r="AV46" s="182">
        <f t="shared" si="14"/>
        <v>13731</v>
      </c>
      <c r="AW46" s="182">
        <f t="shared" si="14"/>
        <v>17400</v>
      </c>
      <c r="AX46" s="183">
        <f t="shared" si="14"/>
        <v>4900</v>
      </c>
      <c r="AY46" s="183">
        <v>2837.0</v>
      </c>
    </row>
    <row r="47">
      <c r="A47" s="173" t="s">
        <v>255</v>
      </c>
      <c r="B47" s="174" t="s">
        <v>164</v>
      </c>
      <c r="C47" s="175">
        <f t="shared" ref="C47:C56" si="15">SUM(D47:AY47)</f>
        <v>23222.29</v>
      </c>
      <c r="D47" s="176">
        <v>663.0</v>
      </c>
      <c r="E47" s="176">
        <v>329.0</v>
      </c>
      <c r="F47" s="176" t="s">
        <v>245</v>
      </c>
      <c r="G47" s="177">
        <v>230.0</v>
      </c>
      <c r="H47" s="176">
        <v>190.0</v>
      </c>
      <c r="I47" s="176" t="s">
        <v>245</v>
      </c>
      <c r="J47" s="176">
        <v>80.0</v>
      </c>
      <c r="K47" s="176">
        <v>0.0</v>
      </c>
      <c r="L47" s="176">
        <v>240.0</v>
      </c>
      <c r="M47" s="176" t="s">
        <v>245</v>
      </c>
      <c r="N47" s="176" t="s">
        <v>245</v>
      </c>
      <c r="O47" s="176" t="s">
        <v>245</v>
      </c>
      <c r="P47" s="176" t="s">
        <v>245</v>
      </c>
      <c r="Q47" s="176">
        <v>342.0</v>
      </c>
      <c r="R47" s="176">
        <v>178.0</v>
      </c>
      <c r="S47" s="176">
        <v>0.0</v>
      </c>
      <c r="T47" s="176">
        <v>0.0</v>
      </c>
      <c r="U47" s="176">
        <v>12.0</v>
      </c>
      <c r="V47" s="176">
        <v>28.0</v>
      </c>
      <c r="W47" s="176" t="s">
        <v>245</v>
      </c>
      <c r="X47" s="176" t="s">
        <v>245</v>
      </c>
      <c r="Y47" s="176" t="s">
        <v>245</v>
      </c>
      <c r="Z47" s="176">
        <v>50.0</v>
      </c>
      <c r="AA47" s="176">
        <v>220.0</v>
      </c>
      <c r="AB47" s="176">
        <v>582.5</v>
      </c>
      <c r="AC47" s="177">
        <v>70.0</v>
      </c>
      <c r="AD47" s="176">
        <v>270.0</v>
      </c>
      <c r="AE47" s="176">
        <v>350.0</v>
      </c>
      <c r="AF47" s="176">
        <v>0.0</v>
      </c>
      <c r="AG47" s="176" t="s">
        <v>245</v>
      </c>
      <c r="AH47" s="176" t="s">
        <v>245</v>
      </c>
      <c r="AI47" s="176" t="s">
        <v>245</v>
      </c>
      <c r="AJ47" s="176" t="s">
        <v>245</v>
      </c>
      <c r="AK47" s="176" t="s">
        <v>245</v>
      </c>
      <c r="AL47" s="176" t="s">
        <v>245</v>
      </c>
      <c r="AM47" s="176" t="s">
        <v>245</v>
      </c>
      <c r="AN47" s="178" t="s">
        <v>245</v>
      </c>
      <c r="AO47" s="176">
        <v>2636.54</v>
      </c>
      <c r="AP47" s="176">
        <v>3197.1</v>
      </c>
      <c r="AQ47" s="176">
        <v>8455.37</v>
      </c>
      <c r="AR47" s="176">
        <v>674.9</v>
      </c>
      <c r="AS47" s="176">
        <v>218.0</v>
      </c>
      <c r="AT47" s="176">
        <v>411.69</v>
      </c>
      <c r="AU47" s="176">
        <v>256.19</v>
      </c>
      <c r="AV47" s="176">
        <v>3538.0</v>
      </c>
      <c r="AW47" s="176" t="s">
        <v>245</v>
      </c>
      <c r="AX47" s="177" t="s">
        <v>245</v>
      </c>
      <c r="AY47" s="177" t="s">
        <v>245</v>
      </c>
    </row>
    <row r="48">
      <c r="B48" s="174" t="s">
        <v>155</v>
      </c>
      <c r="C48" s="175">
        <f t="shared" si="15"/>
        <v>17262.21</v>
      </c>
      <c r="D48" s="176">
        <v>702.0</v>
      </c>
      <c r="E48" s="176">
        <v>299.0</v>
      </c>
      <c r="F48" s="176" t="s">
        <v>245</v>
      </c>
      <c r="G48" s="177">
        <v>110.0</v>
      </c>
      <c r="H48" s="176">
        <v>120.0</v>
      </c>
      <c r="I48" s="176" t="s">
        <v>245</v>
      </c>
      <c r="J48" s="176">
        <v>0.0</v>
      </c>
      <c r="K48" s="176">
        <v>0.0</v>
      </c>
      <c r="L48" s="176">
        <v>160.0</v>
      </c>
      <c r="M48" s="176" t="s">
        <v>245</v>
      </c>
      <c r="N48" s="176" t="s">
        <v>245</v>
      </c>
      <c r="O48" s="176" t="s">
        <v>245</v>
      </c>
      <c r="P48" s="176" t="s">
        <v>245</v>
      </c>
      <c r="Q48" s="176">
        <v>224.0</v>
      </c>
      <c r="R48" s="176">
        <v>298.0</v>
      </c>
      <c r="S48" s="176">
        <v>0.0</v>
      </c>
      <c r="T48" s="176">
        <v>22.0</v>
      </c>
      <c r="U48" s="176">
        <v>0.0</v>
      </c>
      <c r="V48" s="176">
        <v>16.0</v>
      </c>
      <c r="W48" s="176" t="s">
        <v>245</v>
      </c>
      <c r="X48" s="176" t="s">
        <v>245</v>
      </c>
      <c r="Y48" s="176" t="s">
        <v>245</v>
      </c>
      <c r="Z48" s="176">
        <v>30.0</v>
      </c>
      <c r="AA48" s="176">
        <v>100.0</v>
      </c>
      <c r="AB48" s="176">
        <v>508.25</v>
      </c>
      <c r="AC48" s="177">
        <v>20.0</v>
      </c>
      <c r="AD48" s="176">
        <v>270.0</v>
      </c>
      <c r="AE48" s="176">
        <v>252.0</v>
      </c>
      <c r="AF48" s="176">
        <v>0.0</v>
      </c>
      <c r="AG48" s="176" t="s">
        <v>245</v>
      </c>
      <c r="AH48" s="176" t="s">
        <v>245</v>
      </c>
      <c r="AI48" s="176" t="s">
        <v>245</v>
      </c>
      <c r="AJ48" s="176" t="s">
        <v>245</v>
      </c>
      <c r="AK48" s="176" t="s">
        <v>245</v>
      </c>
      <c r="AL48" s="176" t="s">
        <v>245</v>
      </c>
      <c r="AM48" s="176" t="s">
        <v>245</v>
      </c>
      <c r="AN48" s="178" t="s">
        <v>245</v>
      </c>
      <c r="AO48" s="176">
        <v>2314.95</v>
      </c>
      <c r="AP48" s="176">
        <v>3979.23</v>
      </c>
      <c r="AQ48" s="176">
        <v>3998.33</v>
      </c>
      <c r="AR48" s="176">
        <v>130.0</v>
      </c>
      <c r="AS48" s="176">
        <v>145.45</v>
      </c>
      <c r="AT48" s="176">
        <v>336.78</v>
      </c>
      <c r="AU48" s="176">
        <v>413.22</v>
      </c>
      <c r="AV48" s="176">
        <v>2813.0</v>
      </c>
      <c r="AW48" s="176" t="s">
        <v>245</v>
      </c>
      <c r="AX48" s="177" t="s">
        <v>245</v>
      </c>
      <c r="AY48" s="177" t="s">
        <v>245</v>
      </c>
    </row>
    <row r="49">
      <c r="B49" s="174" t="s">
        <v>163</v>
      </c>
      <c r="C49" s="175">
        <f t="shared" si="15"/>
        <v>13912.94</v>
      </c>
      <c r="D49" s="176">
        <v>546.0</v>
      </c>
      <c r="E49" s="176">
        <v>249.0</v>
      </c>
      <c r="F49" s="176" t="s">
        <v>245</v>
      </c>
      <c r="G49" s="177">
        <v>100.0</v>
      </c>
      <c r="H49" s="176">
        <v>110.0</v>
      </c>
      <c r="I49" s="176" t="s">
        <v>245</v>
      </c>
      <c r="J49" s="176">
        <v>80.0</v>
      </c>
      <c r="K49" s="176">
        <v>39.0</v>
      </c>
      <c r="L49" s="176">
        <v>110.0</v>
      </c>
      <c r="M49" s="176" t="s">
        <v>245</v>
      </c>
      <c r="N49" s="176" t="s">
        <v>245</v>
      </c>
      <c r="O49" s="176" t="s">
        <v>245</v>
      </c>
      <c r="P49" s="176" t="s">
        <v>245</v>
      </c>
      <c r="Q49" s="176">
        <v>72.0</v>
      </c>
      <c r="R49" s="176">
        <v>86.0</v>
      </c>
      <c r="S49" s="176">
        <v>0.0</v>
      </c>
      <c r="T49" s="176">
        <v>0.0</v>
      </c>
      <c r="U49" s="176">
        <v>12.0</v>
      </c>
      <c r="V49" s="176">
        <v>36.0</v>
      </c>
      <c r="W49" s="176" t="s">
        <v>245</v>
      </c>
      <c r="X49" s="176" t="s">
        <v>245</v>
      </c>
      <c r="Y49" s="176" t="s">
        <v>245</v>
      </c>
      <c r="Z49" s="176">
        <v>110.0</v>
      </c>
      <c r="AA49" s="176">
        <v>70.0</v>
      </c>
      <c r="AB49" s="176">
        <v>322.25</v>
      </c>
      <c r="AC49" s="177">
        <v>0.0</v>
      </c>
      <c r="AD49" s="176">
        <v>210.0</v>
      </c>
      <c r="AE49" s="176">
        <v>210.0</v>
      </c>
      <c r="AF49" s="176">
        <v>0.0</v>
      </c>
      <c r="AG49" s="176" t="s">
        <v>245</v>
      </c>
      <c r="AH49" s="176" t="s">
        <v>245</v>
      </c>
      <c r="AI49" s="176" t="s">
        <v>245</v>
      </c>
      <c r="AJ49" s="176" t="s">
        <v>245</v>
      </c>
      <c r="AK49" s="176" t="s">
        <v>245</v>
      </c>
      <c r="AL49" s="176" t="s">
        <v>245</v>
      </c>
      <c r="AM49" s="176" t="s">
        <v>245</v>
      </c>
      <c r="AN49" s="178" t="s">
        <v>245</v>
      </c>
      <c r="AO49" s="176">
        <v>2876.71</v>
      </c>
      <c r="AP49" s="176">
        <v>3475.93</v>
      </c>
      <c r="AQ49" s="176">
        <v>1854.54</v>
      </c>
      <c r="AR49" s="176">
        <v>150.0</v>
      </c>
      <c r="AS49" s="176">
        <v>132.23</v>
      </c>
      <c r="AT49" s="176">
        <v>397.11</v>
      </c>
      <c r="AU49" s="176">
        <v>99.17</v>
      </c>
      <c r="AV49" s="176">
        <v>2565.0</v>
      </c>
      <c r="AW49" s="176" t="s">
        <v>245</v>
      </c>
      <c r="AX49" s="177" t="s">
        <v>245</v>
      </c>
      <c r="AY49" s="177" t="s">
        <v>245</v>
      </c>
    </row>
    <row r="50">
      <c r="B50" s="174" t="s">
        <v>161</v>
      </c>
      <c r="C50" s="175">
        <f t="shared" si="15"/>
        <v>10671.39</v>
      </c>
      <c r="D50" s="176">
        <v>351.0</v>
      </c>
      <c r="E50" s="176">
        <v>230.0</v>
      </c>
      <c r="F50" s="176" t="s">
        <v>245</v>
      </c>
      <c r="G50" s="177">
        <v>150.0</v>
      </c>
      <c r="H50" s="176">
        <v>0.0</v>
      </c>
      <c r="I50" s="176" t="s">
        <v>245</v>
      </c>
      <c r="J50" s="176">
        <v>0.0</v>
      </c>
      <c r="K50" s="176">
        <v>39.0</v>
      </c>
      <c r="L50" s="176">
        <v>198.0</v>
      </c>
      <c r="M50" s="176" t="s">
        <v>245</v>
      </c>
      <c r="N50" s="176" t="s">
        <v>245</v>
      </c>
      <c r="O50" s="176" t="s">
        <v>245</v>
      </c>
      <c r="P50" s="176" t="s">
        <v>245</v>
      </c>
      <c r="Q50" s="176">
        <v>102.0</v>
      </c>
      <c r="R50" s="176">
        <v>36.0</v>
      </c>
      <c r="S50" s="176">
        <v>0.0</v>
      </c>
      <c r="T50" s="176">
        <v>36.0</v>
      </c>
      <c r="U50" s="176">
        <v>0.0</v>
      </c>
      <c r="V50" s="176">
        <v>20.0</v>
      </c>
      <c r="W50" s="176" t="s">
        <v>245</v>
      </c>
      <c r="X50" s="176" t="s">
        <v>245</v>
      </c>
      <c r="Y50" s="176" t="s">
        <v>245</v>
      </c>
      <c r="Z50" s="176">
        <v>10.0</v>
      </c>
      <c r="AA50" s="176">
        <v>30.0</v>
      </c>
      <c r="AB50" s="176">
        <v>374.75</v>
      </c>
      <c r="AC50" s="177">
        <v>30.0</v>
      </c>
      <c r="AD50" s="176">
        <v>0.0</v>
      </c>
      <c r="AE50" s="176">
        <v>0.0</v>
      </c>
      <c r="AF50" s="176">
        <v>195.0</v>
      </c>
      <c r="AG50" s="176" t="s">
        <v>245</v>
      </c>
      <c r="AH50" s="176" t="s">
        <v>245</v>
      </c>
      <c r="AI50" s="176" t="s">
        <v>245</v>
      </c>
      <c r="AJ50" s="176" t="s">
        <v>245</v>
      </c>
      <c r="AK50" s="176" t="s">
        <v>245</v>
      </c>
      <c r="AL50" s="176" t="s">
        <v>245</v>
      </c>
      <c r="AM50" s="176" t="s">
        <v>245</v>
      </c>
      <c r="AN50" s="178" t="s">
        <v>245</v>
      </c>
      <c r="AO50" s="176">
        <v>1367.13</v>
      </c>
      <c r="AP50" s="176">
        <v>2340.24</v>
      </c>
      <c r="AQ50" s="176">
        <v>1494.21</v>
      </c>
      <c r="AR50" s="176">
        <v>0.0</v>
      </c>
      <c r="AS50" s="176">
        <v>138.84</v>
      </c>
      <c r="AT50" s="176">
        <v>341.85</v>
      </c>
      <c r="AU50" s="176">
        <v>855.37</v>
      </c>
      <c r="AV50" s="176">
        <v>2332.0</v>
      </c>
      <c r="AW50" s="176" t="s">
        <v>245</v>
      </c>
      <c r="AX50" s="177" t="s">
        <v>245</v>
      </c>
      <c r="AY50" s="177" t="s">
        <v>245</v>
      </c>
    </row>
    <row r="51">
      <c r="B51" s="174" t="s">
        <v>159</v>
      </c>
      <c r="C51" s="175">
        <f t="shared" si="15"/>
        <v>15070.17</v>
      </c>
      <c r="D51" s="176">
        <v>556.0</v>
      </c>
      <c r="E51" s="176">
        <v>329.0</v>
      </c>
      <c r="F51" s="176" t="s">
        <v>245</v>
      </c>
      <c r="G51" s="177">
        <v>240.0</v>
      </c>
      <c r="H51" s="176">
        <v>0.0</v>
      </c>
      <c r="I51" s="176" t="s">
        <v>245</v>
      </c>
      <c r="J51" s="176">
        <v>0.0</v>
      </c>
      <c r="K51" s="176">
        <v>0.0</v>
      </c>
      <c r="L51" s="176">
        <v>99.0</v>
      </c>
      <c r="M51" s="176" t="s">
        <v>245</v>
      </c>
      <c r="N51" s="176" t="s">
        <v>245</v>
      </c>
      <c r="O51" s="176" t="s">
        <v>245</v>
      </c>
      <c r="P51" s="176" t="s">
        <v>245</v>
      </c>
      <c r="Q51" s="176">
        <v>102.0</v>
      </c>
      <c r="R51" s="176">
        <v>400.0</v>
      </c>
      <c r="S51" s="176">
        <v>0.0</v>
      </c>
      <c r="T51" s="176">
        <v>0.0</v>
      </c>
      <c r="U51" s="176">
        <v>0.0</v>
      </c>
      <c r="V51" s="176">
        <v>40.0</v>
      </c>
      <c r="W51" s="176" t="s">
        <v>245</v>
      </c>
      <c r="X51" s="176" t="s">
        <v>245</v>
      </c>
      <c r="Y51" s="176" t="s">
        <v>245</v>
      </c>
      <c r="Z51" s="176">
        <v>0.0</v>
      </c>
      <c r="AA51" s="176">
        <v>40.0</v>
      </c>
      <c r="AB51" s="176">
        <v>382.75</v>
      </c>
      <c r="AC51" s="177">
        <v>30.0</v>
      </c>
      <c r="AD51" s="176">
        <v>225.0</v>
      </c>
      <c r="AE51" s="176">
        <v>0.0</v>
      </c>
      <c r="AF51" s="176">
        <v>195.0</v>
      </c>
      <c r="AG51" s="176" t="s">
        <v>245</v>
      </c>
      <c r="AH51" s="176" t="s">
        <v>245</v>
      </c>
      <c r="AI51" s="176" t="s">
        <v>245</v>
      </c>
      <c r="AJ51" s="176" t="s">
        <v>245</v>
      </c>
      <c r="AK51" s="176" t="s">
        <v>245</v>
      </c>
      <c r="AL51" s="176" t="s">
        <v>245</v>
      </c>
      <c r="AM51" s="176" t="s">
        <v>245</v>
      </c>
      <c r="AN51" s="178" t="s">
        <v>245</v>
      </c>
      <c r="AO51" s="176">
        <v>3826.05</v>
      </c>
      <c r="AP51" s="176">
        <v>3897.26</v>
      </c>
      <c r="AQ51" s="176">
        <v>967.76</v>
      </c>
      <c r="AR51" s="176">
        <v>65.0</v>
      </c>
      <c r="AS51" s="176">
        <v>33.05</v>
      </c>
      <c r="AT51" s="176">
        <v>258.48</v>
      </c>
      <c r="AU51" s="176">
        <v>900.82</v>
      </c>
      <c r="AV51" s="176">
        <v>2483.0</v>
      </c>
      <c r="AW51" s="176" t="s">
        <v>245</v>
      </c>
      <c r="AX51" s="177" t="s">
        <v>245</v>
      </c>
      <c r="AY51" s="177" t="s">
        <v>245</v>
      </c>
    </row>
    <row r="52">
      <c r="B52" s="174" t="s">
        <v>246</v>
      </c>
      <c r="C52" s="175">
        <f t="shared" si="15"/>
        <v>6964.71</v>
      </c>
      <c r="D52" s="176">
        <v>70.0</v>
      </c>
      <c r="E52" s="176">
        <v>80.0</v>
      </c>
      <c r="F52" s="176">
        <v>100.0</v>
      </c>
      <c r="G52" s="177">
        <v>20.0</v>
      </c>
      <c r="H52" s="176" t="s">
        <v>245</v>
      </c>
      <c r="I52" s="176">
        <v>50.0</v>
      </c>
      <c r="J52" s="176" t="s">
        <v>245</v>
      </c>
      <c r="K52" s="176" t="s">
        <v>245</v>
      </c>
      <c r="L52" s="176" t="s">
        <v>245</v>
      </c>
      <c r="M52" s="176">
        <v>200.0</v>
      </c>
      <c r="N52" s="184">
        <v>100.0</v>
      </c>
      <c r="O52" s="176">
        <v>20.0</v>
      </c>
      <c r="P52" s="176">
        <v>140.0</v>
      </c>
      <c r="Q52" s="176" t="s">
        <v>245</v>
      </c>
      <c r="R52" s="176" t="s">
        <v>245</v>
      </c>
      <c r="S52" s="176" t="s">
        <v>245</v>
      </c>
      <c r="T52" s="176" t="s">
        <v>245</v>
      </c>
      <c r="U52" s="176" t="s">
        <v>245</v>
      </c>
      <c r="V52" s="176" t="s">
        <v>245</v>
      </c>
      <c r="W52" s="176">
        <v>50.0</v>
      </c>
      <c r="X52" s="176">
        <v>162.0</v>
      </c>
      <c r="Y52" s="176">
        <v>0.0</v>
      </c>
      <c r="Z52" s="176" t="s">
        <v>245</v>
      </c>
      <c r="AA52" s="176" t="s">
        <v>245</v>
      </c>
      <c r="AB52" s="176" t="s">
        <v>245</v>
      </c>
      <c r="AC52" s="178" t="s">
        <v>245</v>
      </c>
      <c r="AD52" s="176" t="s">
        <v>245</v>
      </c>
      <c r="AE52" s="176" t="s">
        <v>245</v>
      </c>
      <c r="AF52" s="176" t="s">
        <v>245</v>
      </c>
      <c r="AG52" s="176">
        <v>0.0</v>
      </c>
      <c r="AH52" s="176">
        <v>80.0</v>
      </c>
      <c r="AI52" s="176" t="s">
        <v>245</v>
      </c>
      <c r="AJ52" s="176" t="s">
        <v>245</v>
      </c>
      <c r="AK52" s="176">
        <v>690.0</v>
      </c>
      <c r="AL52" s="176">
        <v>735.0</v>
      </c>
      <c r="AM52" s="176">
        <v>148.0</v>
      </c>
      <c r="AN52" s="177">
        <v>80.0</v>
      </c>
      <c r="AO52" s="176">
        <v>1127.31</v>
      </c>
      <c r="AP52" s="176">
        <v>16.12</v>
      </c>
      <c r="AQ52" s="176" t="s">
        <v>245</v>
      </c>
      <c r="AR52" s="176" t="s">
        <v>245</v>
      </c>
      <c r="AS52" s="176">
        <v>46.28</v>
      </c>
      <c r="AT52" s="176">
        <v>0.0</v>
      </c>
      <c r="AU52" s="176" t="s">
        <v>245</v>
      </c>
      <c r="AV52" s="185" t="s">
        <v>245</v>
      </c>
      <c r="AW52" s="176">
        <v>2700.0</v>
      </c>
      <c r="AX52" s="177">
        <v>350.0</v>
      </c>
      <c r="AY52" s="177" t="s">
        <v>245</v>
      </c>
    </row>
    <row r="53">
      <c r="B53" s="174" t="s">
        <v>247</v>
      </c>
      <c r="C53" s="175">
        <f t="shared" si="15"/>
        <v>4113</v>
      </c>
      <c r="D53" s="176">
        <v>40.0</v>
      </c>
      <c r="E53" s="176">
        <v>70.0</v>
      </c>
      <c r="F53" s="176">
        <v>125.0</v>
      </c>
      <c r="G53" s="177">
        <v>0.0</v>
      </c>
      <c r="H53" s="176" t="s">
        <v>245</v>
      </c>
      <c r="I53" s="176">
        <v>0.0</v>
      </c>
      <c r="J53" s="176" t="s">
        <v>245</v>
      </c>
      <c r="K53" s="176" t="s">
        <v>245</v>
      </c>
      <c r="L53" s="176" t="s">
        <v>245</v>
      </c>
      <c r="M53" s="176">
        <v>0.0</v>
      </c>
      <c r="N53" s="176">
        <v>100.0</v>
      </c>
      <c r="O53" s="176">
        <v>60.0</v>
      </c>
      <c r="P53" s="176">
        <v>60.0</v>
      </c>
      <c r="Q53" s="176" t="s">
        <v>245</v>
      </c>
      <c r="R53" s="176" t="s">
        <v>245</v>
      </c>
      <c r="S53" s="176" t="s">
        <v>245</v>
      </c>
      <c r="T53" s="176" t="s">
        <v>245</v>
      </c>
      <c r="U53" s="176" t="s">
        <v>245</v>
      </c>
      <c r="V53" s="176" t="s">
        <v>245</v>
      </c>
      <c r="W53" s="176">
        <v>125.0</v>
      </c>
      <c r="X53" s="176">
        <v>108.0</v>
      </c>
      <c r="Y53" s="176">
        <v>0.0</v>
      </c>
      <c r="Z53" s="176" t="s">
        <v>245</v>
      </c>
      <c r="AA53" s="176" t="s">
        <v>245</v>
      </c>
      <c r="AB53" s="176" t="s">
        <v>245</v>
      </c>
      <c r="AC53" s="178" t="s">
        <v>245</v>
      </c>
      <c r="AD53" s="176" t="s">
        <v>245</v>
      </c>
      <c r="AE53" s="176" t="s">
        <v>245</v>
      </c>
      <c r="AF53" s="176" t="s">
        <v>245</v>
      </c>
      <c r="AG53" s="176">
        <v>0.0</v>
      </c>
      <c r="AH53" s="176">
        <v>40.0</v>
      </c>
      <c r="AI53" s="176" t="s">
        <v>245</v>
      </c>
      <c r="AJ53" s="176" t="s">
        <v>245</v>
      </c>
      <c r="AK53" s="176">
        <v>375.0</v>
      </c>
      <c r="AL53" s="176">
        <v>168.0</v>
      </c>
      <c r="AM53" s="176">
        <v>172.0</v>
      </c>
      <c r="AN53" s="177">
        <v>120.0</v>
      </c>
      <c r="AQ53" s="176" t="s">
        <v>245</v>
      </c>
      <c r="AR53" s="176" t="s">
        <v>245</v>
      </c>
      <c r="AU53" s="176" t="s">
        <v>245</v>
      </c>
      <c r="AV53" s="185" t="s">
        <v>245</v>
      </c>
      <c r="AW53" s="176">
        <v>2200.0</v>
      </c>
      <c r="AX53" s="177">
        <v>350.0</v>
      </c>
      <c r="AY53" s="177" t="s">
        <v>245</v>
      </c>
    </row>
    <row r="54">
      <c r="B54" s="174" t="s">
        <v>249</v>
      </c>
      <c r="C54" s="175">
        <f t="shared" si="15"/>
        <v>6595</v>
      </c>
      <c r="D54" s="176">
        <v>20.0</v>
      </c>
      <c r="E54" s="176">
        <v>100.0</v>
      </c>
      <c r="F54" s="176">
        <v>45.0</v>
      </c>
      <c r="G54" s="177">
        <v>0.0</v>
      </c>
      <c r="H54" s="176" t="s">
        <v>245</v>
      </c>
      <c r="I54" s="176">
        <v>70.0</v>
      </c>
      <c r="J54" s="176" t="s">
        <v>245</v>
      </c>
      <c r="K54" s="176" t="s">
        <v>245</v>
      </c>
      <c r="L54" s="176" t="s">
        <v>245</v>
      </c>
      <c r="M54" s="176">
        <v>100.0</v>
      </c>
      <c r="N54" s="176">
        <v>100.0</v>
      </c>
      <c r="O54" s="176">
        <v>40.0</v>
      </c>
      <c r="P54" s="176">
        <v>80.0</v>
      </c>
      <c r="Q54" s="176" t="s">
        <v>245</v>
      </c>
      <c r="R54" s="176" t="s">
        <v>245</v>
      </c>
      <c r="S54" s="176" t="s">
        <v>245</v>
      </c>
      <c r="T54" s="176" t="s">
        <v>245</v>
      </c>
      <c r="U54" s="176" t="s">
        <v>245</v>
      </c>
      <c r="V54" s="176" t="s">
        <v>245</v>
      </c>
      <c r="W54" s="176">
        <v>225.0</v>
      </c>
      <c r="X54" s="176">
        <v>90.0</v>
      </c>
      <c r="Y54" s="176">
        <v>0.0</v>
      </c>
      <c r="Z54" s="176" t="s">
        <v>245</v>
      </c>
      <c r="AA54" s="176" t="s">
        <v>245</v>
      </c>
      <c r="AB54" s="176" t="s">
        <v>245</v>
      </c>
      <c r="AC54" s="178" t="s">
        <v>245</v>
      </c>
      <c r="AD54" s="176" t="s">
        <v>245</v>
      </c>
      <c r="AE54" s="176" t="s">
        <v>245</v>
      </c>
      <c r="AF54" s="176" t="s">
        <v>245</v>
      </c>
      <c r="AG54" s="176">
        <v>250.0</v>
      </c>
      <c r="AH54" s="176">
        <v>40.0</v>
      </c>
      <c r="AI54" s="176" t="s">
        <v>245</v>
      </c>
      <c r="AJ54" s="176" t="s">
        <v>245</v>
      </c>
      <c r="AK54" s="176">
        <v>555.0</v>
      </c>
      <c r="AL54" s="176">
        <v>420.0</v>
      </c>
      <c r="AM54" s="176">
        <v>240.0</v>
      </c>
      <c r="AN54" s="177">
        <v>120.0</v>
      </c>
      <c r="AQ54" s="176" t="s">
        <v>245</v>
      </c>
      <c r="AR54" s="176" t="s">
        <v>245</v>
      </c>
      <c r="AU54" s="176" t="s">
        <v>245</v>
      </c>
      <c r="AV54" s="185" t="s">
        <v>245</v>
      </c>
      <c r="AW54" s="176">
        <v>2700.0</v>
      </c>
      <c r="AX54" s="177">
        <v>1400.0</v>
      </c>
      <c r="AY54" s="177" t="s">
        <v>245</v>
      </c>
    </row>
    <row r="55">
      <c r="B55" s="174" t="s">
        <v>250</v>
      </c>
      <c r="C55" s="175">
        <f t="shared" si="15"/>
        <v>10339</v>
      </c>
      <c r="D55" s="176">
        <v>0.0</v>
      </c>
      <c r="E55" s="176">
        <v>240.0</v>
      </c>
      <c r="F55" s="176">
        <v>425.0</v>
      </c>
      <c r="G55" s="177">
        <v>30.0</v>
      </c>
      <c r="H55" s="176" t="s">
        <v>245</v>
      </c>
      <c r="I55" s="176">
        <v>10.0</v>
      </c>
      <c r="J55" s="176" t="s">
        <v>245</v>
      </c>
      <c r="K55" s="176" t="s">
        <v>245</v>
      </c>
      <c r="L55" s="176" t="s">
        <v>245</v>
      </c>
      <c r="M55" s="176">
        <v>200.0</v>
      </c>
      <c r="N55" s="176">
        <v>500.0</v>
      </c>
      <c r="O55" s="176">
        <v>40.0</v>
      </c>
      <c r="P55" s="176">
        <v>120.0</v>
      </c>
      <c r="Q55" s="176" t="s">
        <v>245</v>
      </c>
      <c r="R55" s="176" t="s">
        <v>245</v>
      </c>
      <c r="S55" s="176" t="s">
        <v>245</v>
      </c>
      <c r="T55" s="176" t="s">
        <v>245</v>
      </c>
      <c r="U55" s="176" t="s">
        <v>245</v>
      </c>
      <c r="V55" s="176" t="s">
        <v>245</v>
      </c>
      <c r="W55" s="176">
        <v>75.0</v>
      </c>
      <c r="X55" s="176">
        <v>162.0</v>
      </c>
      <c r="Y55" s="176">
        <v>0.0</v>
      </c>
      <c r="Z55" s="176" t="s">
        <v>245</v>
      </c>
      <c r="AA55" s="176" t="s">
        <v>245</v>
      </c>
      <c r="AB55" s="176" t="s">
        <v>245</v>
      </c>
      <c r="AC55" s="178" t="s">
        <v>245</v>
      </c>
      <c r="AD55" s="176" t="s">
        <v>245</v>
      </c>
      <c r="AE55" s="176" t="s">
        <v>245</v>
      </c>
      <c r="AF55" s="176" t="s">
        <v>245</v>
      </c>
      <c r="AG55" s="176">
        <v>935.0</v>
      </c>
      <c r="AH55" s="176">
        <v>160.0</v>
      </c>
      <c r="AI55" s="176" t="s">
        <v>245</v>
      </c>
      <c r="AJ55" s="176" t="s">
        <v>245</v>
      </c>
      <c r="AK55" s="176">
        <v>1500.0</v>
      </c>
      <c r="AL55" s="176">
        <v>1470.0</v>
      </c>
      <c r="AM55" s="176">
        <v>192.0</v>
      </c>
      <c r="AN55" s="177">
        <v>180.0</v>
      </c>
      <c r="AQ55" s="176" t="s">
        <v>245</v>
      </c>
      <c r="AR55" s="176" t="s">
        <v>245</v>
      </c>
      <c r="AU55" s="176" t="s">
        <v>245</v>
      </c>
      <c r="AV55" s="185" t="s">
        <v>245</v>
      </c>
      <c r="AW55" s="176">
        <v>2700.0</v>
      </c>
      <c r="AX55" s="177">
        <v>1400.0</v>
      </c>
      <c r="AY55" s="177" t="s">
        <v>245</v>
      </c>
    </row>
    <row r="56">
      <c r="B56" s="174" t="s">
        <v>251</v>
      </c>
      <c r="C56" s="175">
        <f t="shared" si="15"/>
        <v>6325</v>
      </c>
      <c r="D56" s="176">
        <v>50.0</v>
      </c>
      <c r="E56" s="176">
        <v>100.0</v>
      </c>
      <c r="F56" s="176">
        <v>65.0</v>
      </c>
      <c r="G56" s="177">
        <v>50.0</v>
      </c>
      <c r="H56" s="176" t="s">
        <v>245</v>
      </c>
      <c r="I56" s="176">
        <v>0.0</v>
      </c>
      <c r="J56" s="176" t="s">
        <v>245</v>
      </c>
      <c r="K56" s="176" t="s">
        <v>245</v>
      </c>
      <c r="L56" s="176" t="s">
        <v>245</v>
      </c>
      <c r="M56" s="176">
        <v>100.0</v>
      </c>
      <c r="N56" s="176">
        <v>100.0</v>
      </c>
      <c r="O56" s="176">
        <v>80.0</v>
      </c>
      <c r="P56" s="176">
        <v>60.0</v>
      </c>
      <c r="Q56" s="176" t="s">
        <v>245</v>
      </c>
      <c r="R56" s="176" t="s">
        <v>245</v>
      </c>
      <c r="S56" s="176" t="s">
        <v>245</v>
      </c>
      <c r="T56" s="176" t="s">
        <v>245</v>
      </c>
      <c r="U56" s="176" t="s">
        <v>245</v>
      </c>
      <c r="V56" s="176" t="s">
        <v>245</v>
      </c>
      <c r="W56" s="176">
        <v>50.0</v>
      </c>
      <c r="X56" s="176">
        <v>18.0</v>
      </c>
      <c r="Y56" s="176">
        <v>0.0</v>
      </c>
      <c r="Z56" s="176" t="s">
        <v>245</v>
      </c>
      <c r="AA56" s="176" t="s">
        <v>245</v>
      </c>
      <c r="AB56" s="176" t="s">
        <v>245</v>
      </c>
      <c r="AC56" s="178" t="s">
        <v>245</v>
      </c>
      <c r="AD56" s="176" t="s">
        <v>245</v>
      </c>
      <c r="AE56" s="176" t="s">
        <v>245</v>
      </c>
      <c r="AF56" s="176" t="s">
        <v>245</v>
      </c>
      <c r="AG56" s="176">
        <v>560.0</v>
      </c>
      <c r="AH56" s="176">
        <v>40.0</v>
      </c>
      <c r="AI56" s="176" t="s">
        <v>245</v>
      </c>
      <c r="AJ56" s="176" t="s">
        <v>245</v>
      </c>
      <c r="AK56" s="176">
        <v>345.0</v>
      </c>
      <c r="AL56" s="176">
        <v>315.0</v>
      </c>
      <c r="AM56" s="176">
        <v>52.0</v>
      </c>
      <c r="AN56" s="177">
        <v>240.0</v>
      </c>
      <c r="AQ56" s="176" t="s">
        <v>245</v>
      </c>
      <c r="AR56" s="176" t="s">
        <v>245</v>
      </c>
      <c r="AU56" s="176" t="s">
        <v>245</v>
      </c>
      <c r="AV56" s="186" t="s">
        <v>245</v>
      </c>
      <c r="AW56" s="176">
        <v>2700.0</v>
      </c>
      <c r="AX56" s="177">
        <v>1400.0</v>
      </c>
      <c r="AY56" s="177" t="s">
        <v>245</v>
      </c>
    </row>
    <row r="57">
      <c r="A57" s="179"/>
      <c r="B57" s="180" t="s">
        <v>144</v>
      </c>
      <c r="C57" s="181">
        <f t="shared" ref="C57:AH57" si="16">SUM(C47:C56)</f>
        <v>114475.71</v>
      </c>
      <c r="D57" s="182">
        <f t="shared" si="16"/>
        <v>2998</v>
      </c>
      <c r="E57" s="182">
        <f t="shared" si="16"/>
        <v>2026</v>
      </c>
      <c r="F57" s="182">
        <f t="shared" si="16"/>
        <v>760</v>
      </c>
      <c r="G57" s="183">
        <f t="shared" si="16"/>
        <v>930</v>
      </c>
      <c r="H57" s="182">
        <f t="shared" si="16"/>
        <v>420</v>
      </c>
      <c r="I57" s="182">
        <f t="shared" si="16"/>
        <v>130</v>
      </c>
      <c r="J57" s="182">
        <f t="shared" si="16"/>
        <v>160</v>
      </c>
      <c r="K57" s="182">
        <f t="shared" si="16"/>
        <v>78</v>
      </c>
      <c r="L57" s="182">
        <f t="shared" si="16"/>
        <v>807</v>
      </c>
      <c r="M57" s="182">
        <f t="shared" si="16"/>
        <v>600</v>
      </c>
      <c r="N57" s="182">
        <f t="shared" si="16"/>
        <v>900</v>
      </c>
      <c r="O57" s="182">
        <f t="shared" si="16"/>
        <v>240</v>
      </c>
      <c r="P57" s="182">
        <f t="shared" si="16"/>
        <v>460</v>
      </c>
      <c r="Q57" s="182">
        <f t="shared" si="16"/>
        <v>842</v>
      </c>
      <c r="R57" s="182">
        <f t="shared" si="16"/>
        <v>998</v>
      </c>
      <c r="S57" s="182">
        <f t="shared" si="16"/>
        <v>0</v>
      </c>
      <c r="T57" s="182">
        <f t="shared" si="16"/>
        <v>58</v>
      </c>
      <c r="U57" s="182">
        <f t="shared" si="16"/>
        <v>24</v>
      </c>
      <c r="V57" s="182">
        <f t="shared" si="16"/>
        <v>140</v>
      </c>
      <c r="W57" s="182">
        <f t="shared" si="16"/>
        <v>525</v>
      </c>
      <c r="X57" s="182">
        <f t="shared" si="16"/>
        <v>540</v>
      </c>
      <c r="Y57" s="182">
        <f t="shared" si="16"/>
        <v>0</v>
      </c>
      <c r="Z57" s="182">
        <f t="shared" si="16"/>
        <v>200</v>
      </c>
      <c r="AA57" s="182">
        <f t="shared" si="16"/>
        <v>460</v>
      </c>
      <c r="AB57" s="182">
        <f t="shared" si="16"/>
        <v>2170.5</v>
      </c>
      <c r="AC57" s="183">
        <f t="shared" si="16"/>
        <v>150</v>
      </c>
      <c r="AD57" s="182">
        <f t="shared" si="16"/>
        <v>975</v>
      </c>
      <c r="AE57" s="182">
        <f t="shared" si="16"/>
        <v>812</v>
      </c>
      <c r="AF57" s="182">
        <f t="shared" si="16"/>
        <v>390</v>
      </c>
      <c r="AG57" s="182">
        <f t="shared" si="16"/>
        <v>1745</v>
      </c>
      <c r="AH57" s="182">
        <f t="shared" si="16"/>
        <v>360</v>
      </c>
      <c r="AI57" s="182">
        <v>0.0</v>
      </c>
      <c r="AJ57" s="182">
        <v>0.0</v>
      </c>
      <c r="AK57" s="182">
        <f t="shared" ref="AK57:AX57" si="17">SUM(AK47:AK56)</f>
        <v>3465</v>
      </c>
      <c r="AL57" s="182">
        <f t="shared" si="17"/>
        <v>3108</v>
      </c>
      <c r="AM57" s="182">
        <f t="shared" si="17"/>
        <v>804</v>
      </c>
      <c r="AN57" s="183">
        <f t="shared" si="17"/>
        <v>740</v>
      </c>
      <c r="AO57" s="182">
        <f t="shared" si="17"/>
        <v>14148.69</v>
      </c>
      <c r="AP57" s="182">
        <f t="shared" si="17"/>
        <v>16905.88</v>
      </c>
      <c r="AQ57" s="182">
        <f t="shared" si="17"/>
        <v>16770.21</v>
      </c>
      <c r="AR57" s="182">
        <f t="shared" si="17"/>
        <v>1019.9</v>
      </c>
      <c r="AS57" s="182">
        <f t="shared" si="17"/>
        <v>713.85</v>
      </c>
      <c r="AT57" s="182">
        <f t="shared" si="17"/>
        <v>1745.91</v>
      </c>
      <c r="AU57" s="182">
        <f t="shared" si="17"/>
        <v>2524.77</v>
      </c>
      <c r="AV57" s="182">
        <f t="shared" si="17"/>
        <v>13731</v>
      </c>
      <c r="AW57" s="182">
        <f t="shared" si="17"/>
        <v>13000</v>
      </c>
      <c r="AX57" s="183">
        <f t="shared" si="17"/>
        <v>4900</v>
      </c>
      <c r="AY57" s="183">
        <v>3013.0</v>
      </c>
    </row>
    <row r="58">
      <c r="A58" s="173" t="s">
        <v>256</v>
      </c>
      <c r="B58" s="174" t="s">
        <v>164</v>
      </c>
      <c r="C58" s="175">
        <f t="shared" ref="C58:C67" si="18">SUM(D58:AY58)</f>
        <v>19385.98</v>
      </c>
      <c r="D58" s="176">
        <v>469.0</v>
      </c>
      <c r="E58" s="176">
        <v>244.0</v>
      </c>
      <c r="F58" s="176" t="s">
        <v>245</v>
      </c>
      <c r="G58" s="177">
        <v>110.0</v>
      </c>
      <c r="H58" s="176">
        <v>80.0</v>
      </c>
      <c r="I58" s="176" t="s">
        <v>245</v>
      </c>
      <c r="J58" s="176">
        <v>0.0</v>
      </c>
      <c r="K58" s="176">
        <v>0.0</v>
      </c>
      <c r="L58" s="176">
        <v>250.0</v>
      </c>
      <c r="M58" s="176" t="s">
        <v>245</v>
      </c>
      <c r="N58" s="176" t="s">
        <v>245</v>
      </c>
      <c r="O58" s="176" t="s">
        <v>245</v>
      </c>
      <c r="P58" s="176" t="s">
        <v>245</v>
      </c>
      <c r="Q58" s="176">
        <v>225.0</v>
      </c>
      <c r="R58" s="176">
        <v>360.0</v>
      </c>
      <c r="S58" s="176">
        <v>0.0</v>
      </c>
      <c r="T58" s="176">
        <v>0.0</v>
      </c>
      <c r="U58" s="176">
        <v>6.0</v>
      </c>
      <c r="V58" s="176">
        <v>29.0</v>
      </c>
      <c r="W58" s="176" t="s">
        <v>245</v>
      </c>
      <c r="X58" s="176" t="s">
        <v>245</v>
      </c>
      <c r="Y58" s="176" t="s">
        <v>245</v>
      </c>
      <c r="Z58" s="176">
        <v>120.0</v>
      </c>
      <c r="AA58" s="176">
        <v>200.0</v>
      </c>
      <c r="AB58" s="176">
        <v>737.0</v>
      </c>
      <c r="AC58" s="177">
        <v>14.0</v>
      </c>
      <c r="AD58" s="176">
        <v>0.0</v>
      </c>
      <c r="AE58" s="176">
        <v>0.0</v>
      </c>
      <c r="AF58" s="176">
        <v>0.0</v>
      </c>
      <c r="AG58" s="176" t="s">
        <v>245</v>
      </c>
      <c r="AH58" s="176" t="s">
        <v>245</v>
      </c>
      <c r="AI58" s="176" t="s">
        <v>245</v>
      </c>
      <c r="AJ58" s="176" t="s">
        <v>245</v>
      </c>
      <c r="AK58" s="176" t="s">
        <v>245</v>
      </c>
      <c r="AL58" s="176" t="s">
        <v>245</v>
      </c>
      <c r="AM58" s="176" t="s">
        <v>245</v>
      </c>
      <c r="AN58" s="178" t="s">
        <v>245</v>
      </c>
      <c r="AO58" s="176">
        <v>2025.96</v>
      </c>
      <c r="AP58" s="176">
        <v>2813.77</v>
      </c>
      <c r="AQ58" s="176">
        <v>6953.71</v>
      </c>
      <c r="AR58" s="176">
        <v>194.0</v>
      </c>
      <c r="AS58" s="176">
        <v>206.8</v>
      </c>
      <c r="AT58" s="176">
        <v>532.89</v>
      </c>
      <c r="AU58" s="176">
        <v>276.85</v>
      </c>
      <c r="AV58" s="176">
        <v>3538.0</v>
      </c>
      <c r="AW58" s="176" t="s">
        <v>245</v>
      </c>
      <c r="AX58" s="177" t="s">
        <v>245</v>
      </c>
      <c r="AY58" s="177" t="s">
        <v>245</v>
      </c>
    </row>
    <row r="59">
      <c r="B59" s="174" t="s">
        <v>155</v>
      </c>
      <c r="C59" s="175">
        <f t="shared" si="18"/>
        <v>21374.27</v>
      </c>
      <c r="D59" s="176">
        <v>839.0</v>
      </c>
      <c r="E59" s="176">
        <v>300.0</v>
      </c>
      <c r="F59" s="176" t="s">
        <v>245</v>
      </c>
      <c r="G59" s="177">
        <v>190.0</v>
      </c>
      <c r="H59" s="176">
        <v>100.0</v>
      </c>
      <c r="I59" s="176" t="s">
        <v>245</v>
      </c>
      <c r="J59" s="176">
        <v>0.0</v>
      </c>
      <c r="K59" s="176">
        <v>39.0</v>
      </c>
      <c r="L59" s="176">
        <v>208.0</v>
      </c>
      <c r="M59" s="176" t="s">
        <v>245</v>
      </c>
      <c r="N59" s="176" t="s">
        <v>245</v>
      </c>
      <c r="O59" s="176" t="s">
        <v>245</v>
      </c>
      <c r="P59" s="176" t="s">
        <v>245</v>
      </c>
      <c r="Q59" s="176">
        <v>375.0</v>
      </c>
      <c r="R59" s="176">
        <v>300.0</v>
      </c>
      <c r="S59" s="176">
        <v>0.0</v>
      </c>
      <c r="T59" s="176">
        <v>9.0</v>
      </c>
      <c r="U59" s="176">
        <v>0.0</v>
      </c>
      <c r="V59" s="176">
        <v>0.0</v>
      </c>
      <c r="W59" s="176" t="s">
        <v>245</v>
      </c>
      <c r="X59" s="176" t="s">
        <v>245</v>
      </c>
      <c r="Y59" s="176" t="s">
        <v>245</v>
      </c>
      <c r="Z59" s="176">
        <v>60.0</v>
      </c>
      <c r="AA59" s="176">
        <v>170.0</v>
      </c>
      <c r="AB59" s="176">
        <v>744.75</v>
      </c>
      <c r="AC59" s="177">
        <v>46.0</v>
      </c>
      <c r="AD59" s="176">
        <v>330.0</v>
      </c>
      <c r="AE59" s="176">
        <v>168.0</v>
      </c>
      <c r="AF59" s="176">
        <v>225.0</v>
      </c>
      <c r="AG59" s="176" t="s">
        <v>245</v>
      </c>
      <c r="AH59" s="176" t="s">
        <v>245</v>
      </c>
      <c r="AI59" s="176" t="s">
        <v>245</v>
      </c>
      <c r="AJ59" s="176" t="s">
        <v>245</v>
      </c>
      <c r="AK59" s="176" t="s">
        <v>245</v>
      </c>
      <c r="AL59" s="176" t="s">
        <v>245</v>
      </c>
      <c r="AM59" s="176" t="s">
        <v>245</v>
      </c>
      <c r="AN59" s="178" t="s">
        <v>245</v>
      </c>
      <c r="AO59" s="176">
        <v>1372.66</v>
      </c>
      <c r="AP59" s="176">
        <v>5181.72</v>
      </c>
      <c r="AQ59" s="176">
        <v>6170.24</v>
      </c>
      <c r="AR59" s="176">
        <v>42.0</v>
      </c>
      <c r="AS59" s="176">
        <v>125.61</v>
      </c>
      <c r="AT59" s="176">
        <v>1073.56</v>
      </c>
      <c r="AU59" s="176">
        <v>491.73</v>
      </c>
      <c r="AV59" s="176">
        <v>2813.0</v>
      </c>
      <c r="AW59" s="176" t="s">
        <v>245</v>
      </c>
      <c r="AX59" s="177" t="s">
        <v>245</v>
      </c>
      <c r="AY59" s="177" t="s">
        <v>245</v>
      </c>
    </row>
    <row r="60">
      <c r="B60" s="174" t="s">
        <v>163</v>
      </c>
      <c r="C60" s="175">
        <f t="shared" si="18"/>
        <v>14019.27</v>
      </c>
      <c r="D60" s="176">
        <v>391.0</v>
      </c>
      <c r="E60" s="176">
        <v>96.0</v>
      </c>
      <c r="F60" s="176" t="s">
        <v>245</v>
      </c>
      <c r="G60" s="177">
        <v>60.0</v>
      </c>
      <c r="H60" s="176">
        <v>40.0</v>
      </c>
      <c r="I60" s="176" t="s">
        <v>245</v>
      </c>
      <c r="J60" s="176">
        <v>0.0</v>
      </c>
      <c r="K60" s="176">
        <v>0.0</v>
      </c>
      <c r="L60" s="176">
        <v>169.0</v>
      </c>
      <c r="M60" s="176" t="s">
        <v>245</v>
      </c>
      <c r="N60" s="176" t="s">
        <v>245</v>
      </c>
      <c r="O60" s="176" t="s">
        <v>245</v>
      </c>
      <c r="P60" s="176" t="s">
        <v>245</v>
      </c>
      <c r="Q60" s="176">
        <v>100.0</v>
      </c>
      <c r="R60" s="176">
        <v>225.0</v>
      </c>
      <c r="S60" s="176">
        <v>0.0</v>
      </c>
      <c r="T60" s="176">
        <v>0.0</v>
      </c>
      <c r="U60" s="176">
        <v>0.0</v>
      </c>
      <c r="V60" s="176">
        <v>0.0</v>
      </c>
      <c r="W60" s="176" t="s">
        <v>245</v>
      </c>
      <c r="X60" s="176" t="s">
        <v>245</v>
      </c>
      <c r="Y60" s="176" t="s">
        <v>245</v>
      </c>
      <c r="Z60" s="176">
        <v>80.0</v>
      </c>
      <c r="AA60" s="176">
        <v>160.0</v>
      </c>
      <c r="AB60" s="176">
        <v>241.0</v>
      </c>
      <c r="AC60" s="177">
        <v>32.0</v>
      </c>
      <c r="AD60" s="176">
        <v>0.0</v>
      </c>
      <c r="AE60" s="176">
        <v>0.0</v>
      </c>
      <c r="AF60" s="176">
        <v>285.0</v>
      </c>
      <c r="AG60" s="176" t="s">
        <v>245</v>
      </c>
      <c r="AH60" s="176" t="s">
        <v>245</v>
      </c>
      <c r="AI60" s="176" t="s">
        <v>245</v>
      </c>
      <c r="AJ60" s="176" t="s">
        <v>245</v>
      </c>
      <c r="AK60" s="176" t="s">
        <v>245</v>
      </c>
      <c r="AL60" s="176" t="s">
        <v>245</v>
      </c>
      <c r="AM60" s="176" t="s">
        <v>245</v>
      </c>
      <c r="AN60" s="178" t="s">
        <v>245</v>
      </c>
      <c r="AO60" s="176">
        <v>993.79</v>
      </c>
      <c r="AP60" s="176">
        <v>2159.68</v>
      </c>
      <c r="AQ60" s="176">
        <v>5245.45</v>
      </c>
      <c r="AR60" s="176">
        <v>355.0</v>
      </c>
      <c r="AS60" s="176">
        <v>79.33</v>
      </c>
      <c r="AT60" s="176">
        <v>543.68</v>
      </c>
      <c r="AU60" s="176">
        <v>198.34</v>
      </c>
      <c r="AV60" s="176">
        <v>2565.0</v>
      </c>
      <c r="AW60" s="176" t="s">
        <v>245</v>
      </c>
      <c r="AX60" s="177" t="s">
        <v>245</v>
      </c>
      <c r="AY60" s="177" t="s">
        <v>245</v>
      </c>
    </row>
    <row r="61">
      <c r="B61" s="174" t="s">
        <v>161</v>
      </c>
      <c r="C61" s="175">
        <f t="shared" si="18"/>
        <v>11712.91</v>
      </c>
      <c r="D61" s="176">
        <v>234.0</v>
      </c>
      <c r="E61" s="176">
        <v>202.0</v>
      </c>
      <c r="F61" s="176" t="s">
        <v>245</v>
      </c>
      <c r="G61" s="177">
        <v>90.0</v>
      </c>
      <c r="H61" s="176">
        <v>0.0</v>
      </c>
      <c r="I61" s="176" t="s">
        <v>245</v>
      </c>
      <c r="J61" s="176">
        <v>240.0</v>
      </c>
      <c r="K61" s="176">
        <v>117.0</v>
      </c>
      <c r="L61" s="176">
        <v>307.0</v>
      </c>
      <c r="M61" s="176" t="s">
        <v>245</v>
      </c>
      <c r="N61" s="176" t="s">
        <v>245</v>
      </c>
      <c r="O61" s="176" t="s">
        <v>245</v>
      </c>
      <c r="P61" s="176" t="s">
        <v>245</v>
      </c>
      <c r="Q61" s="176">
        <v>75.0</v>
      </c>
      <c r="R61" s="176">
        <v>315.0</v>
      </c>
      <c r="S61" s="176">
        <v>0.0</v>
      </c>
      <c r="T61" s="176">
        <v>0.0</v>
      </c>
      <c r="U61" s="176">
        <v>25.0</v>
      </c>
      <c r="V61" s="176">
        <v>0.0</v>
      </c>
      <c r="W61" s="176" t="s">
        <v>245</v>
      </c>
      <c r="X61" s="176" t="s">
        <v>245</v>
      </c>
      <c r="Y61" s="176" t="s">
        <v>245</v>
      </c>
      <c r="Z61" s="176">
        <v>40.0</v>
      </c>
      <c r="AA61" s="176">
        <v>100.0</v>
      </c>
      <c r="AB61" s="176">
        <v>269.0</v>
      </c>
      <c r="AC61" s="177">
        <v>14.0</v>
      </c>
      <c r="AD61" s="176">
        <v>0.0</v>
      </c>
      <c r="AE61" s="176">
        <v>0.0</v>
      </c>
      <c r="AF61" s="176">
        <v>135.0</v>
      </c>
      <c r="AG61" s="176" t="s">
        <v>245</v>
      </c>
      <c r="AH61" s="176" t="s">
        <v>245</v>
      </c>
      <c r="AI61" s="176" t="s">
        <v>245</v>
      </c>
      <c r="AJ61" s="176" t="s">
        <v>245</v>
      </c>
      <c r="AK61" s="176" t="s">
        <v>245</v>
      </c>
      <c r="AL61" s="176" t="s">
        <v>245</v>
      </c>
      <c r="AM61" s="176" t="s">
        <v>245</v>
      </c>
      <c r="AN61" s="178" t="s">
        <v>245</v>
      </c>
      <c r="AO61" s="176">
        <v>950.41</v>
      </c>
      <c r="AP61" s="176">
        <v>1290.82</v>
      </c>
      <c r="AQ61" s="176">
        <v>3499.17</v>
      </c>
      <c r="AR61" s="176">
        <v>0.0</v>
      </c>
      <c r="AS61" s="176">
        <v>125.61</v>
      </c>
      <c r="AT61" s="176">
        <v>331.24</v>
      </c>
      <c r="AU61" s="176">
        <v>1020.66</v>
      </c>
      <c r="AV61" s="176">
        <v>2332.0</v>
      </c>
      <c r="AW61" s="176" t="s">
        <v>245</v>
      </c>
      <c r="AX61" s="177" t="s">
        <v>245</v>
      </c>
      <c r="AY61" s="177" t="s">
        <v>245</v>
      </c>
    </row>
    <row r="62">
      <c r="B62" s="174" t="s">
        <v>159</v>
      </c>
      <c r="C62" s="175">
        <f t="shared" si="18"/>
        <v>15690.46</v>
      </c>
      <c r="D62" s="176">
        <v>536.0</v>
      </c>
      <c r="E62" s="176">
        <v>184.0</v>
      </c>
      <c r="F62" s="176" t="s">
        <v>245</v>
      </c>
      <c r="G62" s="177">
        <v>100.0</v>
      </c>
      <c r="H62" s="176">
        <v>0.0</v>
      </c>
      <c r="I62" s="176" t="s">
        <v>245</v>
      </c>
      <c r="J62" s="176">
        <v>0.0</v>
      </c>
      <c r="K62" s="176">
        <v>0.0</v>
      </c>
      <c r="L62" s="176">
        <v>188.0</v>
      </c>
      <c r="M62" s="176" t="s">
        <v>245</v>
      </c>
      <c r="N62" s="176" t="s">
        <v>245</v>
      </c>
      <c r="O62" s="176" t="s">
        <v>245</v>
      </c>
      <c r="P62" s="176" t="s">
        <v>245</v>
      </c>
      <c r="Q62" s="176">
        <v>50.0</v>
      </c>
      <c r="R62" s="176">
        <v>870.0</v>
      </c>
      <c r="S62" s="176">
        <v>0.0</v>
      </c>
      <c r="T62" s="176">
        <v>0.0</v>
      </c>
      <c r="U62" s="176">
        <v>0.0</v>
      </c>
      <c r="V62" s="176">
        <v>0.0</v>
      </c>
      <c r="W62" s="176" t="s">
        <v>245</v>
      </c>
      <c r="X62" s="176" t="s">
        <v>245</v>
      </c>
      <c r="Y62" s="176" t="s">
        <v>245</v>
      </c>
      <c r="Z62" s="176">
        <v>60.0</v>
      </c>
      <c r="AA62" s="176">
        <v>150.0</v>
      </c>
      <c r="AB62" s="176">
        <v>304.75</v>
      </c>
      <c r="AC62" s="177">
        <v>0.0</v>
      </c>
      <c r="AD62" s="176">
        <v>210.0</v>
      </c>
      <c r="AE62" s="176">
        <v>0.0</v>
      </c>
      <c r="AF62" s="176">
        <v>0.0</v>
      </c>
      <c r="AG62" s="176" t="s">
        <v>245</v>
      </c>
      <c r="AH62" s="176" t="s">
        <v>245</v>
      </c>
      <c r="AI62" s="176" t="s">
        <v>245</v>
      </c>
      <c r="AJ62" s="176" t="s">
        <v>245</v>
      </c>
      <c r="AK62" s="176" t="s">
        <v>245</v>
      </c>
      <c r="AL62" s="176" t="s">
        <v>245</v>
      </c>
      <c r="AM62" s="176" t="s">
        <v>245</v>
      </c>
      <c r="AN62" s="178" t="s">
        <v>245</v>
      </c>
      <c r="AO62" s="176">
        <v>2820.41</v>
      </c>
      <c r="AP62" s="176">
        <v>4055.28</v>
      </c>
      <c r="AQ62" s="176">
        <v>2342.06</v>
      </c>
      <c r="AR62" s="176">
        <v>0.0</v>
      </c>
      <c r="AS62" s="176">
        <v>66.11</v>
      </c>
      <c r="AT62" s="176">
        <v>316.31</v>
      </c>
      <c r="AU62" s="176">
        <v>954.54</v>
      </c>
      <c r="AV62" s="176">
        <v>2483.0</v>
      </c>
      <c r="AW62" s="176" t="s">
        <v>245</v>
      </c>
      <c r="AX62" s="177" t="s">
        <v>245</v>
      </c>
      <c r="AY62" s="177" t="s">
        <v>245</v>
      </c>
    </row>
    <row r="63">
      <c r="B63" s="174" t="s">
        <v>246</v>
      </c>
      <c r="C63" s="175">
        <f t="shared" si="18"/>
        <v>7777.25</v>
      </c>
      <c r="D63" s="176">
        <v>60.0</v>
      </c>
      <c r="E63" s="176">
        <v>200.0</v>
      </c>
      <c r="F63" s="176">
        <v>395.0</v>
      </c>
      <c r="G63" s="177">
        <v>35.0</v>
      </c>
      <c r="H63" s="176" t="s">
        <v>245</v>
      </c>
      <c r="I63" s="176">
        <v>10.0</v>
      </c>
      <c r="J63" s="176" t="s">
        <v>245</v>
      </c>
      <c r="K63" s="176" t="s">
        <v>245</v>
      </c>
      <c r="L63" s="176" t="s">
        <v>245</v>
      </c>
      <c r="M63" s="176">
        <v>0.0</v>
      </c>
      <c r="N63" s="176">
        <v>200.0</v>
      </c>
      <c r="O63" s="176">
        <v>60.0</v>
      </c>
      <c r="P63" s="176">
        <v>60.0</v>
      </c>
      <c r="Q63" s="176" t="s">
        <v>245</v>
      </c>
      <c r="R63" s="176" t="s">
        <v>245</v>
      </c>
      <c r="S63" s="176" t="s">
        <v>245</v>
      </c>
      <c r="T63" s="176" t="s">
        <v>245</v>
      </c>
      <c r="U63" s="176" t="s">
        <v>245</v>
      </c>
      <c r="V63" s="176" t="s">
        <v>245</v>
      </c>
      <c r="W63" s="176">
        <v>50.0</v>
      </c>
      <c r="X63" s="176">
        <v>0.0</v>
      </c>
      <c r="Y63" s="176">
        <v>0.0</v>
      </c>
      <c r="Z63" s="176" t="s">
        <v>245</v>
      </c>
      <c r="AA63" s="176" t="s">
        <v>245</v>
      </c>
      <c r="AB63" s="176" t="s">
        <v>245</v>
      </c>
      <c r="AC63" s="178" t="s">
        <v>245</v>
      </c>
      <c r="AD63" s="176" t="s">
        <v>245</v>
      </c>
      <c r="AE63" s="176" t="s">
        <v>245</v>
      </c>
      <c r="AF63" s="176" t="s">
        <v>245</v>
      </c>
      <c r="AG63" s="176">
        <v>807.5</v>
      </c>
      <c r="AH63" s="176" t="s">
        <v>245</v>
      </c>
      <c r="AI63" s="176" t="s">
        <v>245</v>
      </c>
      <c r="AJ63" s="176" t="s">
        <v>245</v>
      </c>
      <c r="AK63" s="176">
        <v>690.0</v>
      </c>
      <c r="AL63" s="176">
        <v>420.0</v>
      </c>
      <c r="AM63" s="176">
        <v>0.0</v>
      </c>
      <c r="AN63" s="177">
        <v>0.0</v>
      </c>
      <c r="AO63" s="176">
        <v>1894.14</v>
      </c>
      <c r="AP63" s="176">
        <v>92.72</v>
      </c>
      <c r="AQ63" s="176" t="s">
        <v>245</v>
      </c>
      <c r="AR63" s="176" t="s">
        <v>245</v>
      </c>
      <c r="AS63" s="176">
        <v>52.89</v>
      </c>
      <c r="AT63" s="176">
        <v>0.0</v>
      </c>
      <c r="AU63" s="176" t="s">
        <v>245</v>
      </c>
      <c r="AV63" s="185" t="s">
        <v>245</v>
      </c>
      <c r="AW63" s="176">
        <v>2400.0</v>
      </c>
      <c r="AX63" s="177">
        <v>350.0</v>
      </c>
      <c r="AY63" s="177" t="s">
        <v>245</v>
      </c>
    </row>
    <row r="64">
      <c r="B64" s="174" t="s">
        <v>247</v>
      </c>
      <c r="C64" s="175">
        <f t="shared" si="18"/>
        <v>4929</v>
      </c>
      <c r="D64" s="176">
        <v>120.0</v>
      </c>
      <c r="E64" s="176">
        <v>0.0</v>
      </c>
      <c r="F64" s="176">
        <v>405.0</v>
      </c>
      <c r="G64" s="177">
        <v>0.0</v>
      </c>
      <c r="H64" s="176" t="s">
        <v>245</v>
      </c>
      <c r="I64" s="176">
        <v>0.0</v>
      </c>
      <c r="J64" s="176" t="s">
        <v>245</v>
      </c>
      <c r="K64" s="176" t="s">
        <v>245</v>
      </c>
      <c r="L64" s="176" t="s">
        <v>245</v>
      </c>
      <c r="M64" s="176">
        <v>0.0</v>
      </c>
      <c r="N64" s="176">
        <v>200.0</v>
      </c>
      <c r="O64" s="176">
        <v>50.0</v>
      </c>
      <c r="P64" s="176">
        <v>0.0</v>
      </c>
      <c r="Q64" s="176" t="s">
        <v>245</v>
      </c>
      <c r="R64" s="176" t="s">
        <v>245</v>
      </c>
      <c r="S64" s="176" t="s">
        <v>245</v>
      </c>
      <c r="T64" s="176" t="s">
        <v>245</v>
      </c>
      <c r="U64" s="176" t="s">
        <v>245</v>
      </c>
      <c r="V64" s="176" t="s">
        <v>245</v>
      </c>
      <c r="W64" s="176">
        <v>50.0</v>
      </c>
      <c r="X64" s="176">
        <v>54.0</v>
      </c>
      <c r="Y64" s="176">
        <v>0.0</v>
      </c>
      <c r="Z64" s="176" t="s">
        <v>245</v>
      </c>
      <c r="AA64" s="176" t="s">
        <v>245</v>
      </c>
      <c r="AB64" s="176" t="s">
        <v>245</v>
      </c>
      <c r="AC64" s="178" t="s">
        <v>245</v>
      </c>
      <c r="AD64" s="176" t="s">
        <v>245</v>
      </c>
      <c r="AE64" s="176" t="s">
        <v>245</v>
      </c>
      <c r="AF64" s="176" t="s">
        <v>245</v>
      </c>
      <c r="AG64" s="176">
        <v>505.0</v>
      </c>
      <c r="AH64" s="176" t="s">
        <v>245</v>
      </c>
      <c r="AI64" s="176" t="s">
        <v>245</v>
      </c>
      <c r="AJ64" s="176" t="s">
        <v>245</v>
      </c>
      <c r="AK64" s="176">
        <v>375.0</v>
      </c>
      <c r="AL64" s="176">
        <v>420.0</v>
      </c>
      <c r="AM64" s="176">
        <v>0.0</v>
      </c>
      <c r="AN64" s="177">
        <v>0.0</v>
      </c>
      <c r="AQ64" s="176" t="s">
        <v>245</v>
      </c>
      <c r="AR64" s="176" t="s">
        <v>245</v>
      </c>
      <c r="AU64" s="176" t="s">
        <v>245</v>
      </c>
      <c r="AV64" s="185" t="s">
        <v>245</v>
      </c>
      <c r="AW64" s="176">
        <v>2400.0</v>
      </c>
      <c r="AX64" s="177">
        <v>350.0</v>
      </c>
      <c r="AY64" s="177" t="s">
        <v>245</v>
      </c>
    </row>
    <row r="65">
      <c r="B65" s="174" t="s">
        <v>249</v>
      </c>
      <c r="C65" s="175">
        <f t="shared" si="18"/>
        <v>3070</v>
      </c>
      <c r="D65" s="176">
        <v>90.0</v>
      </c>
      <c r="E65" s="176">
        <v>0.0</v>
      </c>
      <c r="F65" s="176">
        <v>20.0</v>
      </c>
      <c r="G65" s="177">
        <v>0.0</v>
      </c>
      <c r="H65" s="176" t="s">
        <v>245</v>
      </c>
      <c r="I65" s="176">
        <v>30.0</v>
      </c>
      <c r="J65" s="176" t="s">
        <v>245</v>
      </c>
      <c r="K65" s="176" t="s">
        <v>245</v>
      </c>
      <c r="L65" s="176" t="s">
        <v>245</v>
      </c>
      <c r="M65" s="176">
        <v>0.0</v>
      </c>
      <c r="N65" s="176">
        <v>100.0</v>
      </c>
      <c r="O65" s="176">
        <v>70.0</v>
      </c>
      <c r="P65" s="176">
        <v>40.0</v>
      </c>
      <c r="Q65" s="176" t="s">
        <v>245</v>
      </c>
      <c r="R65" s="176" t="s">
        <v>245</v>
      </c>
      <c r="S65" s="176" t="s">
        <v>245</v>
      </c>
      <c r="T65" s="176" t="s">
        <v>245</v>
      </c>
      <c r="U65" s="176" t="s">
        <v>245</v>
      </c>
      <c r="V65" s="176" t="s">
        <v>245</v>
      </c>
      <c r="W65" s="176">
        <v>175.0</v>
      </c>
      <c r="X65" s="176">
        <v>90.0</v>
      </c>
      <c r="Y65" s="176">
        <v>0.0</v>
      </c>
      <c r="Z65" s="176" t="s">
        <v>245</v>
      </c>
      <c r="AA65" s="176" t="s">
        <v>245</v>
      </c>
      <c r="AB65" s="176" t="s">
        <v>245</v>
      </c>
      <c r="AC65" s="178" t="s">
        <v>245</v>
      </c>
      <c r="AD65" s="176" t="s">
        <v>245</v>
      </c>
      <c r="AE65" s="176" t="s">
        <v>245</v>
      </c>
      <c r="AF65" s="176" t="s">
        <v>245</v>
      </c>
      <c r="AG65" s="176">
        <v>90.0</v>
      </c>
      <c r="AH65" s="176" t="s">
        <v>245</v>
      </c>
      <c r="AI65" s="176" t="s">
        <v>245</v>
      </c>
      <c r="AJ65" s="176" t="s">
        <v>245</v>
      </c>
      <c r="AK65" s="176">
        <v>555.0</v>
      </c>
      <c r="AL65" s="176">
        <v>0.0</v>
      </c>
      <c r="AM65" s="176">
        <v>200.0</v>
      </c>
      <c r="AN65" s="177">
        <v>210.0</v>
      </c>
      <c r="AQ65" s="176" t="s">
        <v>245</v>
      </c>
      <c r="AR65" s="176" t="s">
        <v>245</v>
      </c>
      <c r="AU65" s="176" t="s">
        <v>245</v>
      </c>
      <c r="AV65" s="185" t="s">
        <v>245</v>
      </c>
      <c r="AW65" s="176">
        <v>0.0</v>
      </c>
      <c r="AX65" s="177">
        <v>1400.0</v>
      </c>
      <c r="AY65" s="177" t="s">
        <v>245</v>
      </c>
    </row>
    <row r="66">
      <c r="B66" s="174" t="s">
        <v>250</v>
      </c>
      <c r="C66" s="175">
        <f t="shared" si="18"/>
        <v>7452</v>
      </c>
      <c r="D66" s="176">
        <v>30.0</v>
      </c>
      <c r="E66" s="176">
        <v>0.0</v>
      </c>
      <c r="F66" s="176">
        <v>155.0</v>
      </c>
      <c r="G66" s="177">
        <v>0.0</v>
      </c>
      <c r="H66" s="176" t="s">
        <v>245</v>
      </c>
      <c r="I66" s="176">
        <v>10.0</v>
      </c>
      <c r="J66" s="176" t="s">
        <v>245</v>
      </c>
      <c r="K66" s="176" t="s">
        <v>245</v>
      </c>
      <c r="L66" s="176" t="s">
        <v>245</v>
      </c>
      <c r="M66" s="176">
        <v>100.0</v>
      </c>
      <c r="N66" s="176">
        <v>0.0</v>
      </c>
      <c r="O66" s="176">
        <v>60.0</v>
      </c>
      <c r="P66" s="176">
        <v>100.0</v>
      </c>
      <c r="Q66" s="176" t="s">
        <v>245</v>
      </c>
      <c r="R66" s="176" t="s">
        <v>245</v>
      </c>
      <c r="S66" s="176" t="s">
        <v>245</v>
      </c>
      <c r="T66" s="176" t="s">
        <v>245</v>
      </c>
      <c r="U66" s="176" t="s">
        <v>245</v>
      </c>
      <c r="V66" s="176" t="s">
        <v>245</v>
      </c>
      <c r="W66" s="176">
        <v>400.0</v>
      </c>
      <c r="X66" s="176">
        <v>0.0</v>
      </c>
      <c r="Y66" s="176">
        <v>20.0</v>
      </c>
      <c r="Z66" s="176" t="s">
        <v>245</v>
      </c>
      <c r="AA66" s="176" t="s">
        <v>245</v>
      </c>
      <c r="AB66" s="176" t="s">
        <v>245</v>
      </c>
      <c r="AC66" s="178" t="s">
        <v>245</v>
      </c>
      <c r="AD66" s="176" t="s">
        <v>245</v>
      </c>
      <c r="AE66" s="176" t="s">
        <v>245</v>
      </c>
      <c r="AF66" s="176" t="s">
        <v>245</v>
      </c>
      <c r="AG66" s="176">
        <v>369.0</v>
      </c>
      <c r="AH66" s="176" t="s">
        <v>245</v>
      </c>
      <c r="AI66" s="176" t="s">
        <v>245</v>
      </c>
      <c r="AJ66" s="176" t="s">
        <v>245</v>
      </c>
      <c r="AK66" s="176">
        <v>1500.0</v>
      </c>
      <c r="AL66" s="176">
        <v>0.0</v>
      </c>
      <c r="AM66" s="176">
        <v>328.0</v>
      </c>
      <c r="AN66" s="177">
        <v>180.0</v>
      </c>
      <c r="AQ66" s="176" t="s">
        <v>245</v>
      </c>
      <c r="AR66" s="176" t="s">
        <v>245</v>
      </c>
      <c r="AU66" s="176" t="s">
        <v>245</v>
      </c>
      <c r="AV66" s="185" t="s">
        <v>245</v>
      </c>
      <c r="AW66" s="176">
        <v>2800.0</v>
      </c>
      <c r="AX66" s="177">
        <v>1400.0</v>
      </c>
      <c r="AY66" s="177" t="s">
        <v>245</v>
      </c>
    </row>
    <row r="67">
      <c r="B67" s="174" t="s">
        <v>251</v>
      </c>
      <c r="C67" s="175">
        <f t="shared" si="18"/>
        <v>6843.5</v>
      </c>
      <c r="D67" s="176">
        <v>0.0</v>
      </c>
      <c r="E67" s="176">
        <v>80.0</v>
      </c>
      <c r="F67" s="176">
        <v>135.0</v>
      </c>
      <c r="G67" s="177">
        <v>10.0</v>
      </c>
      <c r="H67" s="176" t="s">
        <v>245</v>
      </c>
      <c r="I67" s="176">
        <v>0.0</v>
      </c>
      <c r="J67" s="176" t="s">
        <v>245</v>
      </c>
      <c r="K67" s="176" t="s">
        <v>245</v>
      </c>
      <c r="L67" s="176" t="s">
        <v>245</v>
      </c>
      <c r="M67" s="176">
        <v>0.0</v>
      </c>
      <c r="N67" s="176">
        <v>0.0</v>
      </c>
      <c r="O67" s="176">
        <v>80.0</v>
      </c>
      <c r="P67" s="176">
        <v>60.0</v>
      </c>
      <c r="Q67" s="176" t="s">
        <v>245</v>
      </c>
      <c r="R67" s="176" t="s">
        <v>245</v>
      </c>
      <c r="S67" s="176" t="s">
        <v>245</v>
      </c>
      <c r="T67" s="176" t="s">
        <v>245</v>
      </c>
      <c r="U67" s="176" t="s">
        <v>245</v>
      </c>
      <c r="V67" s="176" t="s">
        <v>245</v>
      </c>
      <c r="W67" s="176">
        <v>75.0</v>
      </c>
      <c r="X67" s="176">
        <v>144.0</v>
      </c>
      <c r="Y67" s="176">
        <v>0.0</v>
      </c>
      <c r="Z67" s="176" t="s">
        <v>245</v>
      </c>
      <c r="AA67" s="176" t="s">
        <v>245</v>
      </c>
      <c r="AB67" s="176" t="s">
        <v>245</v>
      </c>
      <c r="AC67" s="178" t="s">
        <v>245</v>
      </c>
      <c r="AD67" s="176" t="s">
        <v>245</v>
      </c>
      <c r="AE67" s="176" t="s">
        <v>245</v>
      </c>
      <c r="AF67" s="176" t="s">
        <v>245</v>
      </c>
      <c r="AG67" s="176">
        <v>1318.5</v>
      </c>
      <c r="AH67" s="176" t="s">
        <v>245</v>
      </c>
      <c r="AI67" s="176" t="s">
        <v>245</v>
      </c>
      <c r="AJ67" s="176" t="s">
        <v>245</v>
      </c>
      <c r="AK67" s="176">
        <v>345.0</v>
      </c>
      <c r="AL67" s="176">
        <v>0.0</v>
      </c>
      <c r="AM67" s="176">
        <v>156.0</v>
      </c>
      <c r="AN67" s="177">
        <v>240.0</v>
      </c>
      <c r="AQ67" s="176" t="s">
        <v>245</v>
      </c>
      <c r="AR67" s="176" t="s">
        <v>245</v>
      </c>
      <c r="AU67" s="176" t="s">
        <v>245</v>
      </c>
      <c r="AV67" s="186" t="s">
        <v>245</v>
      </c>
      <c r="AW67" s="176">
        <v>2800.0</v>
      </c>
      <c r="AX67" s="177">
        <v>1400.0</v>
      </c>
      <c r="AY67" s="177" t="s">
        <v>245</v>
      </c>
    </row>
    <row r="68">
      <c r="A68" s="179"/>
      <c r="B68" s="180" t="s">
        <v>144</v>
      </c>
      <c r="C68" s="181">
        <f t="shared" ref="C68:AG68" si="19">SUM(C58:C67)</f>
        <v>112254.64</v>
      </c>
      <c r="D68" s="182">
        <f t="shared" si="19"/>
        <v>2769</v>
      </c>
      <c r="E68" s="182">
        <f t="shared" si="19"/>
        <v>1306</v>
      </c>
      <c r="F68" s="182">
        <f t="shared" si="19"/>
        <v>1110</v>
      </c>
      <c r="G68" s="183">
        <f t="shared" si="19"/>
        <v>595</v>
      </c>
      <c r="H68" s="182">
        <f t="shared" si="19"/>
        <v>220</v>
      </c>
      <c r="I68" s="182">
        <f t="shared" si="19"/>
        <v>50</v>
      </c>
      <c r="J68" s="182">
        <f t="shared" si="19"/>
        <v>240</v>
      </c>
      <c r="K68" s="182">
        <f t="shared" si="19"/>
        <v>156</v>
      </c>
      <c r="L68" s="182">
        <f t="shared" si="19"/>
        <v>1122</v>
      </c>
      <c r="M68" s="182">
        <f t="shared" si="19"/>
        <v>100</v>
      </c>
      <c r="N68" s="182">
        <f t="shared" si="19"/>
        <v>500</v>
      </c>
      <c r="O68" s="182">
        <f t="shared" si="19"/>
        <v>320</v>
      </c>
      <c r="P68" s="182">
        <f t="shared" si="19"/>
        <v>260</v>
      </c>
      <c r="Q68" s="182">
        <f t="shared" si="19"/>
        <v>825</v>
      </c>
      <c r="R68" s="182">
        <f t="shared" si="19"/>
        <v>2070</v>
      </c>
      <c r="S68" s="182">
        <f t="shared" si="19"/>
        <v>0</v>
      </c>
      <c r="T68" s="182">
        <f t="shared" si="19"/>
        <v>9</v>
      </c>
      <c r="U68" s="182">
        <f t="shared" si="19"/>
        <v>31</v>
      </c>
      <c r="V68" s="182">
        <f t="shared" si="19"/>
        <v>29</v>
      </c>
      <c r="W68" s="182">
        <f t="shared" si="19"/>
        <v>750</v>
      </c>
      <c r="X68" s="182">
        <f t="shared" si="19"/>
        <v>288</v>
      </c>
      <c r="Y68" s="182">
        <f t="shared" si="19"/>
        <v>20</v>
      </c>
      <c r="Z68" s="182">
        <f t="shared" si="19"/>
        <v>360</v>
      </c>
      <c r="AA68" s="182">
        <f t="shared" si="19"/>
        <v>780</v>
      </c>
      <c r="AB68" s="182">
        <f t="shared" si="19"/>
        <v>2296.5</v>
      </c>
      <c r="AC68" s="183">
        <f t="shared" si="19"/>
        <v>106</v>
      </c>
      <c r="AD68" s="182">
        <f t="shared" si="19"/>
        <v>540</v>
      </c>
      <c r="AE68" s="182">
        <f t="shared" si="19"/>
        <v>168</v>
      </c>
      <c r="AF68" s="182">
        <f t="shared" si="19"/>
        <v>645</v>
      </c>
      <c r="AG68" s="182">
        <f t="shared" si="19"/>
        <v>3090</v>
      </c>
      <c r="AH68" s="182">
        <v>0.0</v>
      </c>
      <c r="AI68" s="182">
        <v>0.0</v>
      </c>
      <c r="AJ68" s="182">
        <v>0.0</v>
      </c>
      <c r="AK68" s="182">
        <f t="shared" ref="AK68:AX68" si="20">SUM(AK58:AK67)</f>
        <v>3465</v>
      </c>
      <c r="AL68" s="182">
        <f t="shared" si="20"/>
        <v>840</v>
      </c>
      <c r="AM68" s="182">
        <f t="shared" si="20"/>
        <v>684</v>
      </c>
      <c r="AN68" s="183">
        <f t="shared" si="20"/>
        <v>630</v>
      </c>
      <c r="AO68" s="182">
        <f t="shared" si="20"/>
        <v>10057.37</v>
      </c>
      <c r="AP68" s="182">
        <f t="shared" si="20"/>
        <v>15593.99</v>
      </c>
      <c r="AQ68" s="182">
        <f t="shared" si="20"/>
        <v>24210.63</v>
      </c>
      <c r="AR68" s="182">
        <f t="shared" si="20"/>
        <v>591</v>
      </c>
      <c r="AS68" s="182">
        <f t="shared" si="20"/>
        <v>656.35</v>
      </c>
      <c r="AT68" s="182">
        <f t="shared" si="20"/>
        <v>2797.68</v>
      </c>
      <c r="AU68" s="182">
        <f t="shared" si="20"/>
        <v>2942.12</v>
      </c>
      <c r="AV68" s="182">
        <f t="shared" si="20"/>
        <v>13731</v>
      </c>
      <c r="AW68" s="182">
        <f t="shared" si="20"/>
        <v>10400</v>
      </c>
      <c r="AX68" s="183">
        <f t="shared" si="20"/>
        <v>4900</v>
      </c>
      <c r="AY68" s="183">
        <v>3337.0</v>
      </c>
    </row>
    <row r="69">
      <c r="A69" s="173" t="s">
        <v>257</v>
      </c>
      <c r="B69" s="174" t="s">
        <v>164</v>
      </c>
      <c r="C69" s="175">
        <f t="shared" ref="C69:C78" si="21">SUM(D69:AY69)</f>
        <v>27315.37</v>
      </c>
      <c r="D69" s="176">
        <v>528.0</v>
      </c>
      <c r="E69" s="176">
        <v>186.0</v>
      </c>
      <c r="F69" s="176" t="s">
        <v>245</v>
      </c>
      <c r="G69" s="177">
        <v>560.0</v>
      </c>
      <c r="H69" s="176">
        <v>180.0</v>
      </c>
      <c r="I69" s="176" t="s">
        <v>245</v>
      </c>
      <c r="J69" s="176">
        <v>117.0</v>
      </c>
      <c r="K69" s="176">
        <v>702.0</v>
      </c>
      <c r="L69" s="176">
        <v>230.0</v>
      </c>
      <c r="M69" s="176" t="s">
        <v>245</v>
      </c>
      <c r="N69" s="176" t="s">
        <v>245</v>
      </c>
      <c r="O69" s="176" t="s">
        <v>245</v>
      </c>
      <c r="P69" s="176" t="s">
        <v>245</v>
      </c>
      <c r="Q69" s="176">
        <v>275.0</v>
      </c>
      <c r="R69" s="176">
        <v>300.0</v>
      </c>
      <c r="S69" s="176">
        <v>35.0</v>
      </c>
      <c r="T69" s="176">
        <v>75.0</v>
      </c>
      <c r="U69" s="176">
        <v>15.0</v>
      </c>
      <c r="V69" s="176">
        <v>25.0</v>
      </c>
      <c r="W69" s="176" t="s">
        <v>245</v>
      </c>
      <c r="X69" s="176" t="s">
        <v>245</v>
      </c>
      <c r="Y69" s="176" t="s">
        <v>245</v>
      </c>
      <c r="Z69" s="176">
        <v>25.0</v>
      </c>
      <c r="AA69" s="176">
        <v>100.0</v>
      </c>
      <c r="AB69" s="176">
        <v>509.5</v>
      </c>
      <c r="AC69" s="177">
        <v>62.0</v>
      </c>
      <c r="AD69" s="176">
        <v>180.0</v>
      </c>
      <c r="AE69" s="176">
        <v>0.0</v>
      </c>
      <c r="AF69" s="176">
        <v>225.0</v>
      </c>
      <c r="AG69" s="176" t="s">
        <v>245</v>
      </c>
      <c r="AH69" s="176" t="s">
        <v>245</v>
      </c>
      <c r="AI69" s="176" t="s">
        <v>245</v>
      </c>
      <c r="AJ69" s="176" t="s">
        <v>245</v>
      </c>
      <c r="AK69" s="176" t="s">
        <v>245</v>
      </c>
      <c r="AL69" s="176" t="s">
        <v>245</v>
      </c>
      <c r="AM69" s="176" t="s">
        <v>245</v>
      </c>
      <c r="AN69" s="178" t="s">
        <v>245</v>
      </c>
      <c r="AO69" s="176">
        <v>2189.76</v>
      </c>
      <c r="AP69" s="176">
        <v>6190.9</v>
      </c>
      <c r="AQ69" s="176">
        <v>9448.67</v>
      </c>
      <c r="AR69" s="176">
        <v>386.15</v>
      </c>
      <c r="AS69" s="176">
        <v>158.67</v>
      </c>
      <c r="AT69" s="176">
        <v>577.86</v>
      </c>
      <c r="AU69" s="176">
        <v>495.86</v>
      </c>
      <c r="AV69" s="176">
        <v>3538.0</v>
      </c>
      <c r="AW69" s="176" t="s">
        <v>245</v>
      </c>
      <c r="AX69" s="177" t="s">
        <v>245</v>
      </c>
      <c r="AY69" s="177" t="s">
        <v>245</v>
      </c>
    </row>
    <row r="70">
      <c r="B70" s="174" t="s">
        <v>155</v>
      </c>
      <c r="C70" s="175">
        <f t="shared" si="21"/>
        <v>24835.44</v>
      </c>
      <c r="D70" s="176">
        <v>518.0</v>
      </c>
      <c r="E70" s="176">
        <v>116.0</v>
      </c>
      <c r="F70" s="176" t="s">
        <v>245</v>
      </c>
      <c r="G70" s="177">
        <v>700.0</v>
      </c>
      <c r="H70" s="176">
        <v>80.0</v>
      </c>
      <c r="I70" s="176" t="s">
        <v>245</v>
      </c>
      <c r="J70" s="176">
        <v>0.0</v>
      </c>
      <c r="K70" s="176">
        <v>234.0</v>
      </c>
      <c r="L70" s="176">
        <v>130.0</v>
      </c>
      <c r="M70" s="176" t="s">
        <v>245</v>
      </c>
      <c r="N70" s="176" t="s">
        <v>245</v>
      </c>
      <c r="O70" s="176" t="s">
        <v>245</v>
      </c>
      <c r="P70" s="176" t="s">
        <v>245</v>
      </c>
      <c r="Q70" s="176">
        <v>350.0</v>
      </c>
      <c r="R70" s="176">
        <v>465.0</v>
      </c>
      <c r="S70" s="176">
        <v>60.0</v>
      </c>
      <c r="T70" s="176">
        <v>50.0</v>
      </c>
      <c r="U70" s="176">
        <v>15.0</v>
      </c>
      <c r="V70" s="176">
        <v>15.0</v>
      </c>
      <c r="W70" s="176" t="s">
        <v>245</v>
      </c>
      <c r="X70" s="176" t="s">
        <v>245</v>
      </c>
      <c r="Y70" s="176" t="s">
        <v>245</v>
      </c>
      <c r="Z70" s="176">
        <v>10.0</v>
      </c>
      <c r="AA70" s="176">
        <v>110.0</v>
      </c>
      <c r="AB70" s="176">
        <v>432.25</v>
      </c>
      <c r="AC70" s="177">
        <v>36.0</v>
      </c>
      <c r="AD70" s="176">
        <v>180.0</v>
      </c>
      <c r="AE70" s="176">
        <v>0.0</v>
      </c>
      <c r="AF70" s="176">
        <v>0.0</v>
      </c>
      <c r="AG70" s="176" t="s">
        <v>245</v>
      </c>
      <c r="AH70" s="176" t="s">
        <v>245</v>
      </c>
      <c r="AI70" s="176" t="s">
        <v>245</v>
      </c>
      <c r="AJ70" s="176" t="s">
        <v>245</v>
      </c>
      <c r="AK70" s="176" t="s">
        <v>245</v>
      </c>
      <c r="AL70" s="176" t="s">
        <v>245</v>
      </c>
      <c r="AM70" s="176" t="s">
        <v>245</v>
      </c>
      <c r="AN70" s="178" t="s">
        <v>245</v>
      </c>
      <c r="AO70" s="176">
        <v>2100.95</v>
      </c>
      <c r="AP70" s="176">
        <v>7157.97</v>
      </c>
      <c r="AQ70" s="176">
        <v>7485.86</v>
      </c>
      <c r="AR70" s="176">
        <v>659.15</v>
      </c>
      <c r="AS70" s="176">
        <v>242.76</v>
      </c>
      <c r="AT70" s="176">
        <v>572.85</v>
      </c>
      <c r="AU70" s="176">
        <v>301.65</v>
      </c>
      <c r="AV70" s="176">
        <v>2813.0</v>
      </c>
      <c r="AW70" s="176" t="s">
        <v>245</v>
      </c>
      <c r="AX70" s="177" t="s">
        <v>245</v>
      </c>
      <c r="AY70" s="177" t="s">
        <v>245</v>
      </c>
    </row>
    <row r="71">
      <c r="B71" s="174" t="s">
        <v>163</v>
      </c>
      <c r="C71" s="175">
        <f t="shared" si="21"/>
        <v>11157.36</v>
      </c>
      <c r="D71" s="176">
        <v>226.0</v>
      </c>
      <c r="E71" s="176">
        <v>246.0</v>
      </c>
      <c r="F71" s="176" t="s">
        <v>245</v>
      </c>
      <c r="G71" s="177">
        <v>480.0</v>
      </c>
      <c r="H71" s="176">
        <v>80.0</v>
      </c>
      <c r="I71" s="176" t="s">
        <v>245</v>
      </c>
      <c r="J71" s="176">
        <v>117.0</v>
      </c>
      <c r="K71" s="176">
        <v>429.0</v>
      </c>
      <c r="L71" s="176">
        <v>120.0</v>
      </c>
      <c r="M71" s="176" t="s">
        <v>245</v>
      </c>
      <c r="N71" s="176" t="s">
        <v>245</v>
      </c>
      <c r="O71" s="176" t="s">
        <v>245</v>
      </c>
      <c r="P71" s="176" t="s">
        <v>245</v>
      </c>
      <c r="Q71" s="176">
        <v>50.0</v>
      </c>
      <c r="R71" s="176">
        <v>135.0</v>
      </c>
      <c r="S71" s="176">
        <v>25.0</v>
      </c>
      <c r="T71" s="176">
        <v>0.0</v>
      </c>
      <c r="U71" s="176">
        <v>30.0</v>
      </c>
      <c r="V71" s="176">
        <v>0.0</v>
      </c>
      <c r="W71" s="176" t="s">
        <v>245</v>
      </c>
      <c r="X71" s="176" t="s">
        <v>245</v>
      </c>
      <c r="Y71" s="176" t="s">
        <v>245</v>
      </c>
      <c r="Z71" s="176">
        <v>25.0</v>
      </c>
      <c r="AA71" s="176">
        <v>45.0</v>
      </c>
      <c r="AB71" s="176">
        <v>312.5</v>
      </c>
      <c r="AC71" s="177">
        <v>18.0</v>
      </c>
      <c r="AD71" s="176">
        <v>0.0</v>
      </c>
      <c r="AE71" s="176">
        <v>0.0</v>
      </c>
      <c r="AF71" s="176">
        <v>195.0</v>
      </c>
      <c r="AG71" s="176" t="s">
        <v>245</v>
      </c>
      <c r="AH71" s="176" t="s">
        <v>245</v>
      </c>
      <c r="AI71" s="176" t="s">
        <v>245</v>
      </c>
      <c r="AJ71" s="176" t="s">
        <v>245</v>
      </c>
      <c r="AK71" s="176" t="s">
        <v>245</v>
      </c>
      <c r="AL71" s="176" t="s">
        <v>245</v>
      </c>
      <c r="AM71" s="176" t="s">
        <v>245</v>
      </c>
      <c r="AN71" s="178" t="s">
        <v>245</v>
      </c>
      <c r="AO71" s="176">
        <v>1013.7</v>
      </c>
      <c r="AP71" s="176">
        <v>3122.3</v>
      </c>
      <c r="AQ71" s="176">
        <v>1063.63</v>
      </c>
      <c r="AR71" s="176">
        <v>71.15</v>
      </c>
      <c r="AS71" s="176">
        <v>72.72</v>
      </c>
      <c r="AT71" s="176">
        <v>421.98</v>
      </c>
      <c r="AU71" s="176">
        <v>293.38</v>
      </c>
      <c r="AV71" s="176">
        <v>2565.0</v>
      </c>
      <c r="AW71" s="176" t="s">
        <v>245</v>
      </c>
      <c r="AX71" s="177" t="s">
        <v>245</v>
      </c>
      <c r="AY71" s="177" t="s">
        <v>245</v>
      </c>
    </row>
    <row r="72">
      <c r="B72" s="174" t="s">
        <v>161</v>
      </c>
      <c r="C72" s="175">
        <f t="shared" si="21"/>
        <v>14506.9</v>
      </c>
      <c r="D72" s="176">
        <v>283.0</v>
      </c>
      <c r="E72" s="176">
        <v>0.0</v>
      </c>
      <c r="F72" s="176" t="s">
        <v>245</v>
      </c>
      <c r="G72" s="177">
        <v>400.0</v>
      </c>
      <c r="H72" s="176">
        <v>10.0</v>
      </c>
      <c r="I72" s="176" t="s">
        <v>245</v>
      </c>
      <c r="J72" s="176">
        <v>0.0</v>
      </c>
      <c r="K72" s="176">
        <v>351.0</v>
      </c>
      <c r="L72" s="176">
        <v>80.0</v>
      </c>
      <c r="M72" s="176" t="s">
        <v>245</v>
      </c>
      <c r="N72" s="176" t="s">
        <v>245</v>
      </c>
      <c r="O72" s="176" t="s">
        <v>245</v>
      </c>
      <c r="P72" s="176" t="s">
        <v>245</v>
      </c>
      <c r="Q72" s="176">
        <v>100.0</v>
      </c>
      <c r="R72" s="176">
        <v>180.0</v>
      </c>
      <c r="S72" s="176">
        <v>35.0</v>
      </c>
      <c r="T72" s="176">
        <v>0.0</v>
      </c>
      <c r="U72" s="176">
        <v>15.0</v>
      </c>
      <c r="V72" s="176">
        <v>5.0</v>
      </c>
      <c r="W72" s="176" t="s">
        <v>245</v>
      </c>
      <c r="X72" s="176" t="s">
        <v>245</v>
      </c>
      <c r="Y72" s="176" t="s">
        <v>245</v>
      </c>
      <c r="Z72" s="176">
        <v>10.0</v>
      </c>
      <c r="AA72" s="176">
        <v>40.0</v>
      </c>
      <c r="AB72" s="176">
        <v>318.5</v>
      </c>
      <c r="AC72" s="177">
        <v>36.0</v>
      </c>
      <c r="AD72" s="176">
        <v>0.0</v>
      </c>
      <c r="AE72" s="176">
        <v>14.0</v>
      </c>
      <c r="AF72" s="176">
        <v>0.0</v>
      </c>
      <c r="AG72" s="176" t="s">
        <v>245</v>
      </c>
      <c r="AH72" s="176" t="s">
        <v>245</v>
      </c>
      <c r="AI72" s="176" t="s">
        <v>245</v>
      </c>
      <c r="AJ72" s="176" t="s">
        <v>245</v>
      </c>
      <c r="AK72" s="176" t="s">
        <v>245</v>
      </c>
      <c r="AL72" s="176" t="s">
        <v>245</v>
      </c>
      <c r="AM72" s="176" t="s">
        <v>245</v>
      </c>
      <c r="AN72" s="178" t="s">
        <v>245</v>
      </c>
      <c r="AO72" s="176">
        <v>1831.52</v>
      </c>
      <c r="AP72" s="176">
        <v>3990.0</v>
      </c>
      <c r="AQ72" s="176">
        <v>2657.85</v>
      </c>
      <c r="AR72" s="176">
        <v>29.15</v>
      </c>
      <c r="AS72" s="176">
        <v>171.9</v>
      </c>
      <c r="AT72" s="176">
        <v>344.26</v>
      </c>
      <c r="AU72" s="176">
        <v>1272.72</v>
      </c>
      <c r="AV72" s="176">
        <v>2332.0</v>
      </c>
      <c r="AW72" s="176" t="s">
        <v>245</v>
      </c>
      <c r="AX72" s="177" t="s">
        <v>245</v>
      </c>
      <c r="AY72" s="177" t="s">
        <v>245</v>
      </c>
    </row>
    <row r="73">
      <c r="B73" s="174" t="s">
        <v>159</v>
      </c>
      <c r="C73" s="175">
        <f t="shared" si="21"/>
        <v>15918.1</v>
      </c>
      <c r="D73" s="176">
        <v>400.0</v>
      </c>
      <c r="E73" s="176">
        <v>56.0</v>
      </c>
      <c r="F73" s="176" t="s">
        <v>245</v>
      </c>
      <c r="G73" s="177">
        <v>560.0</v>
      </c>
      <c r="H73" s="176">
        <v>10.0</v>
      </c>
      <c r="I73" s="176" t="s">
        <v>245</v>
      </c>
      <c r="J73" s="176">
        <v>0.0</v>
      </c>
      <c r="K73" s="176">
        <v>78.0</v>
      </c>
      <c r="L73" s="176">
        <v>210.0</v>
      </c>
      <c r="M73" s="176" t="s">
        <v>245</v>
      </c>
      <c r="N73" s="176" t="s">
        <v>245</v>
      </c>
      <c r="O73" s="176" t="s">
        <v>245</v>
      </c>
      <c r="P73" s="176" t="s">
        <v>245</v>
      </c>
      <c r="Q73" s="176">
        <v>150.0</v>
      </c>
      <c r="R73" s="176">
        <v>225.0</v>
      </c>
      <c r="S73" s="176">
        <v>35.0</v>
      </c>
      <c r="T73" s="176">
        <v>0.0</v>
      </c>
      <c r="U73" s="176">
        <v>0.0</v>
      </c>
      <c r="V73" s="176">
        <v>0.0</v>
      </c>
      <c r="W73" s="176" t="s">
        <v>245</v>
      </c>
      <c r="X73" s="176" t="s">
        <v>245</v>
      </c>
      <c r="Y73" s="176" t="s">
        <v>245</v>
      </c>
      <c r="Z73" s="176">
        <v>10.0</v>
      </c>
      <c r="AA73" s="176">
        <v>55.0</v>
      </c>
      <c r="AB73" s="176">
        <v>299.25</v>
      </c>
      <c r="AC73" s="177">
        <v>26.0</v>
      </c>
      <c r="AD73" s="176">
        <v>0.0</v>
      </c>
      <c r="AE73" s="176">
        <v>14.0</v>
      </c>
      <c r="AF73" s="176">
        <v>0.0</v>
      </c>
      <c r="AG73" s="176" t="s">
        <v>245</v>
      </c>
      <c r="AH73" s="176" t="s">
        <v>245</v>
      </c>
      <c r="AI73" s="176" t="s">
        <v>245</v>
      </c>
      <c r="AJ73" s="176" t="s">
        <v>245</v>
      </c>
      <c r="AK73" s="176" t="s">
        <v>245</v>
      </c>
      <c r="AL73" s="176" t="s">
        <v>245</v>
      </c>
      <c r="AM73" s="176" t="s">
        <v>245</v>
      </c>
      <c r="AN73" s="178" t="s">
        <v>245</v>
      </c>
      <c r="AO73" s="176">
        <v>2202.3</v>
      </c>
      <c r="AP73" s="176">
        <v>3697.61</v>
      </c>
      <c r="AQ73" s="176">
        <v>3198.34</v>
      </c>
      <c r="AR73" s="176">
        <v>599.15</v>
      </c>
      <c r="AS73" s="176">
        <v>99.17</v>
      </c>
      <c r="AT73" s="176">
        <v>382.19</v>
      </c>
      <c r="AU73" s="176">
        <v>1128.09</v>
      </c>
      <c r="AV73" s="176">
        <v>2483.0</v>
      </c>
      <c r="AW73" s="176" t="s">
        <v>245</v>
      </c>
      <c r="AX73" s="177" t="s">
        <v>245</v>
      </c>
      <c r="AY73" s="177" t="s">
        <v>245</v>
      </c>
    </row>
    <row r="74">
      <c r="B74" s="174" t="s">
        <v>246</v>
      </c>
      <c r="C74" s="175">
        <f t="shared" si="21"/>
        <v>5749.8</v>
      </c>
      <c r="D74" s="176">
        <v>20.0</v>
      </c>
      <c r="E74" s="176">
        <v>520.0</v>
      </c>
      <c r="F74" s="176">
        <v>0.0</v>
      </c>
      <c r="G74" s="177">
        <v>70.0</v>
      </c>
      <c r="H74" s="176" t="s">
        <v>245</v>
      </c>
      <c r="I74" s="176">
        <v>40.0</v>
      </c>
      <c r="J74" s="176" t="s">
        <v>245</v>
      </c>
      <c r="K74" s="176" t="s">
        <v>245</v>
      </c>
      <c r="L74" s="176" t="s">
        <v>245</v>
      </c>
      <c r="M74" s="176">
        <v>200.0</v>
      </c>
      <c r="N74" s="176">
        <v>100.0</v>
      </c>
      <c r="O74" s="176">
        <v>100.0</v>
      </c>
      <c r="P74" s="176">
        <v>20.0</v>
      </c>
      <c r="Q74" s="176" t="s">
        <v>245</v>
      </c>
      <c r="R74" s="176" t="s">
        <v>245</v>
      </c>
      <c r="S74" s="176" t="s">
        <v>245</v>
      </c>
      <c r="T74" s="176" t="s">
        <v>245</v>
      </c>
      <c r="U74" s="176" t="s">
        <v>245</v>
      </c>
      <c r="V74" s="176" t="s">
        <v>245</v>
      </c>
      <c r="W74" s="176">
        <v>0.0</v>
      </c>
      <c r="X74" s="176">
        <v>18.0</v>
      </c>
      <c r="Y74" s="176">
        <v>0.0</v>
      </c>
      <c r="Z74" s="176" t="s">
        <v>245</v>
      </c>
      <c r="AA74" s="176" t="s">
        <v>245</v>
      </c>
      <c r="AB74" s="176" t="s">
        <v>245</v>
      </c>
      <c r="AC74" s="178" t="s">
        <v>245</v>
      </c>
      <c r="AD74" s="176" t="s">
        <v>245</v>
      </c>
      <c r="AE74" s="176" t="s">
        <v>245</v>
      </c>
      <c r="AF74" s="176" t="s">
        <v>245</v>
      </c>
      <c r="AG74" s="176">
        <v>0.0</v>
      </c>
      <c r="AH74" s="176" t="s">
        <v>245</v>
      </c>
      <c r="AI74" s="176" t="s">
        <v>245</v>
      </c>
      <c r="AJ74" s="176" t="s">
        <v>245</v>
      </c>
      <c r="AK74" s="176">
        <v>215.0</v>
      </c>
      <c r="AL74" s="176">
        <v>540.0</v>
      </c>
      <c r="AM74" s="176">
        <v>340.0</v>
      </c>
      <c r="AN74" s="177">
        <v>0.0</v>
      </c>
      <c r="AO74" s="176">
        <v>64.76</v>
      </c>
      <c r="AP74" s="176">
        <v>463.63</v>
      </c>
      <c r="AQ74" s="176" t="s">
        <v>245</v>
      </c>
      <c r="AR74" s="176" t="s">
        <v>245</v>
      </c>
      <c r="AS74" s="176">
        <v>33.05</v>
      </c>
      <c r="AT74" s="176">
        <v>0.0</v>
      </c>
      <c r="AU74" s="176" t="s">
        <v>245</v>
      </c>
      <c r="AV74" s="185" t="s">
        <v>245</v>
      </c>
      <c r="AW74" s="176">
        <v>2655.36</v>
      </c>
      <c r="AX74" s="177">
        <v>350.0</v>
      </c>
      <c r="AY74" s="177" t="s">
        <v>245</v>
      </c>
    </row>
    <row r="75">
      <c r="B75" s="174" t="s">
        <v>247</v>
      </c>
      <c r="C75" s="175">
        <f t="shared" si="21"/>
        <v>3923.36</v>
      </c>
      <c r="D75" s="176">
        <v>100.0</v>
      </c>
      <c r="E75" s="176">
        <v>160.0</v>
      </c>
      <c r="F75" s="176">
        <v>55.0</v>
      </c>
      <c r="G75" s="177">
        <v>40.0</v>
      </c>
      <c r="H75" s="176" t="s">
        <v>245</v>
      </c>
      <c r="I75" s="176">
        <v>20.0</v>
      </c>
      <c r="J75" s="176" t="s">
        <v>245</v>
      </c>
      <c r="K75" s="176" t="s">
        <v>245</v>
      </c>
      <c r="L75" s="176" t="s">
        <v>245</v>
      </c>
      <c r="M75" s="176">
        <v>100.0</v>
      </c>
      <c r="N75" s="176">
        <v>0.0</v>
      </c>
      <c r="O75" s="176">
        <v>30.0</v>
      </c>
      <c r="P75" s="176">
        <v>20.0</v>
      </c>
      <c r="Q75" s="176" t="s">
        <v>245</v>
      </c>
      <c r="R75" s="176" t="s">
        <v>245</v>
      </c>
      <c r="S75" s="176" t="s">
        <v>245</v>
      </c>
      <c r="T75" s="176" t="s">
        <v>245</v>
      </c>
      <c r="U75" s="176" t="s">
        <v>245</v>
      </c>
      <c r="V75" s="176" t="s">
        <v>245</v>
      </c>
      <c r="W75" s="176">
        <v>25.0</v>
      </c>
      <c r="X75" s="176">
        <v>18.0</v>
      </c>
      <c r="Y75" s="176">
        <v>0.0</v>
      </c>
      <c r="Z75" s="176" t="s">
        <v>245</v>
      </c>
      <c r="AA75" s="176" t="s">
        <v>245</v>
      </c>
      <c r="AB75" s="176" t="s">
        <v>245</v>
      </c>
      <c r="AC75" s="178" t="s">
        <v>245</v>
      </c>
      <c r="AD75" s="176" t="s">
        <v>245</v>
      </c>
      <c r="AE75" s="176" t="s">
        <v>245</v>
      </c>
      <c r="AF75" s="176" t="s">
        <v>245</v>
      </c>
      <c r="AG75" s="176">
        <v>0.0</v>
      </c>
      <c r="AH75" s="176" t="s">
        <v>245</v>
      </c>
      <c r="AI75" s="176" t="s">
        <v>245</v>
      </c>
      <c r="AJ75" s="176" t="s">
        <v>245</v>
      </c>
      <c r="AK75" s="176">
        <v>145.0</v>
      </c>
      <c r="AL75" s="176">
        <v>180.0</v>
      </c>
      <c r="AM75" s="176">
        <v>25.0</v>
      </c>
      <c r="AN75" s="177">
        <v>0.0</v>
      </c>
      <c r="AQ75" s="176" t="s">
        <v>245</v>
      </c>
      <c r="AR75" s="176" t="s">
        <v>245</v>
      </c>
      <c r="AU75" s="176" t="s">
        <v>245</v>
      </c>
      <c r="AV75" s="185" t="s">
        <v>245</v>
      </c>
      <c r="AW75" s="176">
        <v>2655.36</v>
      </c>
      <c r="AX75" s="177">
        <v>350.0</v>
      </c>
      <c r="AY75" s="177" t="s">
        <v>245</v>
      </c>
    </row>
    <row r="76">
      <c r="B76" s="174" t="s">
        <v>249</v>
      </c>
      <c r="C76" s="175">
        <f t="shared" si="21"/>
        <v>3905</v>
      </c>
      <c r="D76" s="176">
        <v>0.0</v>
      </c>
      <c r="E76" s="176">
        <v>0.0</v>
      </c>
      <c r="F76" s="176">
        <v>125.0</v>
      </c>
      <c r="G76" s="177">
        <v>60.0</v>
      </c>
      <c r="H76" s="176" t="s">
        <v>245</v>
      </c>
      <c r="I76" s="176">
        <v>0.0</v>
      </c>
      <c r="J76" s="176" t="s">
        <v>245</v>
      </c>
      <c r="K76" s="176" t="s">
        <v>245</v>
      </c>
      <c r="L76" s="176" t="s">
        <v>245</v>
      </c>
      <c r="M76" s="176">
        <v>0.0</v>
      </c>
      <c r="N76" s="176">
        <v>100.0</v>
      </c>
      <c r="O76" s="176">
        <v>100.0</v>
      </c>
      <c r="P76" s="176">
        <v>0.0</v>
      </c>
      <c r="Q76" s="176" t="s">
        <v>245</v>
      </c>
      <c r="R76" s="176" t="s">
        <v>245</v>
      </c>
      <c r="S76" s="176" t="s">
        <v>245</v>
      </c>
      <c r="T76" s="176" t="s">
        <v>245</v>
      </c>
      <c r="U76" s="176" t="s">
        <v>245</v>
      </c>
      <c r="V76" s="176" t="s">
        <v>245</v>
      </c>
      <c r="W76" s="176">
        <v>150.0</v>
      </c>
      <c r="X76" s="176">
        <v>90.0</v>
      </c>
      <c r="Y76" s="176">
        <v>0.0</v>
      </c>
      <c r="Z76" s="176" t="s">
        <v>245</v>
      </c>
      <c r="AA76" s="176" t="s">
        <v>245</v>
      </c>
      <c r="AB76" s="176" t="s">
        <v>245</v>
      </c>
      <c r="AC76" s="178" t="s">
        <v>245</v>
      </c>
      <c r="AD76" s="176" t="s">
        <v>245</v>
      </c>
      <c r="AE76" s="176" t="s">
        <v>245</v>
      </c>
      <c r="AF76" s="176" t="s">
        <v>245</v>
      </c>
      <c r="AG76" s="176">
        <v>0.0</v>
      </c>
      <c r="AH76" s="176" t="s">
        <v>245</v>
      </c>
      <c r="AI76" s="176" t="s">
        <v>245</v>
      </c>
      <c r="AJ76" s="176" t="s">
        <v>245</v>
      </c>
      <c r="AK76" s="176">
        <v>260.0</v>
      </c>
      <c r="AL76" s="176">
        <v>300.0</v>
      </c>
      <c r="AM76" s="176">
        <v>0.0</v>
      </c>
      <c r="AN76" s="177">
        <v>0.0</v>
      </c>
      <c r="AQ76" s="176" t="s">
        <v>245</v>
      </c>
      <c r="AR76" s="176" t="s">
        <v>245</v>
      </c>
      <c r="AU76" s="176" t="s">
        <v>245</v>
      </c>
      <c r="AV76" s="185" t="s">
        <v>245</v>
      </c>
      <c r="AW76" s="176">
        <v>1320.0</v>
      </c>
      <c r="AX76" s="177">
        <v>1400.0</v>
      </c>
      <c r="AY76" s="177" t="s">
        <v>245</v>
      </c>
    </row>
    <row r="77">
      <c r="B77" s="174" t="s">
        <v>250</v>
      </c>
      <c r="C77" s="175">
        <f t="shared" si="21"/>
        <v>3994</v>
      </c>
      <c r="D77" s="176">
        <v>0.0</v>
      </c>
      <c r="E77" s="176">
        <v>240.0</v>
      </c>
      <c r="F77" s="176">
        <v>0.0</v>
      </c>
      <c r="G77" s="177">
        <v>40.0</v>
      </c>
      <c r="H77" s="176" t="s">
        <v>245</v>
      </c>
      <c r="I77" s="176">
        <v>0.0</v>
      </c>
      <c r="J77" s="176" t="s">
        <v>245</v>
      </c>
      <c r="K77" s="176" t="s">
        <v>245</v>
      </c>
      <c r="L77" s="176" t="s">
        <v>245</v>
      </c>
      <c r="M77" s="176">
        <v>0.0</v>
      </c>
      <c r="N77" s="176">
        <v>100.0</v>
      </c>
      <c r="O77" s="176">
        <v>60.0</v>
      </c>
      <c r="P77" s="176">
        <v>40.0</v>
      </c>
      <c r="Q77" s="176" t="s">
        <v>245</v>
      </c>
      <c r="R77" s="176" t="s">
        <v>245</v>
      </c>
      <c r="S77" s="176" t="s">
        <v>245</v>
      </c>
      <c r="T77" s="176" t="s">
        <v>245</v>
      </c>
      <c r="U77" s="176" t="s">
        <v>245</v>
      </c>
      <c r="V77" s="176" t="s">
        <v>245</v>
      </c>
      <c r="W77" s="176">
        <v>200.0</v>
      </c>
      <c r="X77" s="176">
        <v>54.0</v>
      </c>
      <c r="Y77" s="176">
        <v>0.0</v>
      </c>
      <c r="Z77" s="176" t="s">
        <v>245</v>
      </c>
      <c r="AA77" s="176" t="s">
        <v>245</v>
      </c>
      <c r="AB77" s="176" t="s">
        <v>245</v>
      </c>
      <c r="AC77" s="178" t="s">
        <v>245</v>
      </c>
      <c r="AD77" s="176" t="s">
        <v>245</v>
      </c>
      <c r="AE77" s="176" t="s">
        <v>245</v>
      </c>
      <c r="AF77" s="176" t="s">
        <v>245</v>
      </c>
      <c r="AG77" s="176">
        <v>0.0</v>
      </c>
      <c r="AH77" s="176" t="s">
        <v>245</v>
      </c>
      <c r="AI77" s="176" t="s">
        <v>245</v>
      </c>
      <c r="AJ77" s="176" t="s">
        <v>245</v>
      </c>
      <c r="AK77" s="176">
        <v>460.0</v>
      </c>
      <c r="AL77" s="176">
        <v>300.0</v>
      </c>
      <c r="AM77" s="176">
        <v>0.0</v>
      </c>
      <c r="AN77" s="177">
        <v>0.0</v>
      </c>
      <c r="AQ77" s="176" t="s">
        <v>245</v>
      </c>
      <c r="AR77" s="176" t="s">
        <v>245</v>
      </c>
      <c r="AU77" s="176" t="s">
        <v>245</v>
      </c>
      <c r="AV77" s="185" t="s">
        <v>245</v>
      </c>
      <c r="AW77" s="176">
        <v>1100.0</v>
      </c>
      <c r="AX77" s="177">
        <v>1400.0</v>
      </c>
      <c r="AY77" s="177" t="s">
        <v>245</v>
      </c>
    </row>
    <row r="78">
      <c r="B78" s="174" t="s">
        <v>251</v>
      </c>
      <c r="C78" s="175">
        <f t="shared" si="21"/>
        <v>5200</v>
      </c>
      <c r="D78" s="176">
        <v>100.0</v>
      </c>
      <c r="E78" s="176">
        <v>0.0</v>
      </c>
      <c r="F78" s="176">
        <v>0.0</v>
      </c>
      <c r="G78" s="177">
        <v>120.0</v>
      </c>
      <c r="H78" s="176" t="s">
        <v>245</v>
      </c>
      <c r="I78" s="176">
        <v>10.0</v>
      </c>
      <c r="J78" s="176" t="s">
        <v>245</v>
      </c>
      <c r="K78" s="176" t="s">
        <v>245</v>
      </c>
      <c r="L78" s="176" t="s">
        <v>245</v>
      </c>
      <c r="M78" s="176">
        <v>200.0</v>
      </c>
      <c r="N78" s="176">
        <v>100.0</v>
      </c>
      <c r="O78" s="176">
        <v>80.0</v>
      </c>
      <c r="P78" s="176">
        <v>0.0</v>
      </c>
      <c r="Q78" s="176" t="s">
        <v>245</v>
      </c>
      <c r="R78" s="176" t="s">
        <v>245</v>
      </c>
      <c r="S78" s="176" t="s">
        <v>245</v>
      </c>
      <c r="T78" s="176" t="s">
        <v>245</v>
      </c>
      <c r="U78" s="176" t="s">
        <v>245</v>
      </c>
      <c r="V78" s="176" t="s">
        <v>245</v>
      </c>
      <c r="W78" s="176">
        <v>100.0</v>
      </c>
      <c r="X78" s="176">
        <v>0.0</v>
      </c>
      <c r="Y78" s="176">
        <v>0.0</v>
      </c>
      <c r="Z78" s="176" t="s">
        <v>245</v>
      </c>
      <c r="AA78" s="176" t="s">
        <v>245</v>
      </c>
      <c r="AB78" s="176" t="s">
        <v>245</v>
      </c>
      <c r="AC78" s="178" t="s">
        <v>245</v>
      </c>
      <c r="AD78" s="176" t="s">
        <v>245</v>
      </c>
      <c r="AE78" s="176" t="s">
        <v>245</v>
      </c>
      <c r="AF78" s="176" t="s">
        <v>245</v>
      </c>
      <c r="AG78" s="176">
        <v>0.0</v>
      </c>
      <c r="AH78" s="176" t="s">
        <v>245</v>
      </c>
      <c r="AI78" s="176" t="s">
        <v>245</v>
      </c>
      <c r="AJ78" s="176" t="s">
        <v>245</v>
      </c>
      <c r="AK78" s="176">
        <v>660.0</v>
      </c>
      <c r="AL78" s="176">
        <v>450.0</v>
      </c>
      <c r="AM78" s="176">
        <v>0.0</v>
      </c>
      <c r="AN78" s="177">
        <v>0.0</v>
      </c>
      <c r="AQ78" s="176" t="s">
        <v>245</v>
      </c>
      <c r="AR78" s="176" t="s">
        <v>245</v>
      </c>
      <c r="AU78" s="176" t="s">
        <v>245</v>
      </c>
      <c r="AV78" s="186" t="s">
        <v>245</v>
      </c>
      <c r="AW78" s="176">
        <v>1980.0</v>
      </c>
      <c r="AX78" s="177">
        <v>1400.0</v>
      </c>
      <c r="AY78" s="177" t="s">
        <v>245</v>
      </c>
    </row>
    <row r="79">
      <c r="A79" s="179"/>
      <c r="B79" s="180" t="s">
        <v>144</v>
      </c>
      <c r="C79" s="181">
        <f t="shared" ref="C79:AG79" si="22">SUM(C69:C78)</f>
        <v>116505.33</v>
      </c>
      <c r="D79" s="182">
        <f t="shared" si="22"/>
        <v>2175</v>
      </c>
      <c r="E79" s="182">
        <f t="shared" si="22"/>
        <v>1524</v>
      </c>
      <c r="F79" s="182">
        <f t="shared" si="22"/>
        <v>180</v>
      </c>
      <c r="G79" s="183">
        <f t="shared" si="22"/>
        <v>3030</v>
      </c>
      <c r="H79" s="182">
        <f t="shared" si="22"/>
        <v>360</v>
      </c>
      <c r="I79" s="182">
        <f t="shared" si="22"/>
        <v>70</v>
      </c>
      <c r="J79" s="182">
        <f t="shared" si="22"/>
        <v>234</v>
      </c>
      <c r="K79" s="182">
        <f t="shared" si="22"/>
        <v>1794</v>
      </c>
      <c r="L79" s="182">
        <f t="shared" si="22"/>
        <v>770</v>
      </c>
      <c r="M79" s="182">
        <f t="shared" si="22"/>
        <v>500</v>
      </c>
      <c r="N79" s="182">
        <f t="shared" si="22"/>
        <v>400</v>
      </c>
      <c r="O79" s="182">
        <f t="shared" si="22"/>
        <v>370</v>
      </c>
      <c r="P79" s="182">
        <f t="shared" si="22"/>
        <v>80</v>
      </c>
      <c r="Q79" s="182">
        <f t="shared" si="22"/>
        <v>925</v>
      </c>
      <c r="R79" s="182">
        <f t="shared" si="22"/>
        <v>1305</v>
      </c>
      <c r="S79" s="182">
        <f t="shared" si="22"/>
        <v>190</v>
      </c>
      <c r="T79" s="182">
        <f t="shared" si="22"/>
        <v>125</v>
      </c>
      <c r="U79" s="182">
        <f t="shared" si="22"/>
        <v>75</v>
      </c>
      <c r="V79" s="182">
        <f t="shared" si="22"/>
        <v>45</v>
      </c>
      <c r="W79" s="182">
        <f t="shared" si="22"/>
        <v>475</v>
      </c>
      <c r="X79" s="182">
        <f t="shared" si="22"/>
        <v>180</v>
      </c>
      <c r="Y79" s="182">
        <f t="shared" si="22"/>
        <v>0</v>
      </c>
      <c r="Z79" s="182">
        <f t="shared" si="22"/>
        <v>80</v>
      </c>
      <c r="AA79" s="182">
        <f t="shared" si="22"/>
        <v>350</v>
      </c>
      <c r="AB79" s="182">
        <f t="shared" si="22"/>
        <v>1872</v>
      </c>
      <c r="AC79" s="183">
        <f t="shared" si="22"/>
        <v>178</v>
      </c>
      <c r="AD79" s="182">
        <f t="shared" si="22"/>
        <v>360</v>
      </c>
      <c r="AE79" s="182">
        <f t="shared" si="22"/>
        <v>28</v>
      </c>
      <c r="AF79" s="182">
        <f t="shared" si="22"/>
        <v>420</v>
      </c>
      <c r="AG79" s="182">
        <f t="shared" si="22"/>
        <v>0</v>
      </c>
      <c r="AH79" s="182">
        <v>0.0</v>
      </c>
      <c r="AI79" s="182">
        <v>0.0</v>
      </c>
      <c r="AJ79" s="182">
        <v>0.0</v>
      </c>
      <c r="AK79" s="182">
        <f t="shared" ref="AK79:AX79" si="23">SUM(AK69:AK78)</f>
        <v>1740</v>
      </c>
      <c r="AL79" s="182">
        <f t="shared" si="23"/>
        <v>1770</v>
      </c>
      <c r="AM79" s="182">
        <f t="shared" si="23"/>
        <v>365</v>
      </c>
      <c r="AN79" s="183">
        <f t="shared" si="23"/>
        <v>0</v>
      </c>
      <c r="AO79" s="182">
        <f t="shared" si="23"/>
        <v>9402.99</v>
      </c>
      <c r="AP79" s="182">
        <f t="shared" si="23"/>
        <v>24622.41</v>
      </c>
      <c r="AQ79" s="182">
        <f t="shared" si="23"/>
        <v>23854.35</v>
      </c>
      <c r="AR79" s="182">
        <f t="shared" si="23"/>
        <v>1744.75</v>
      </c>
      <c r="AS79" s="182">
        <f t="shared" si="23"/>
        <v>778.27</v>
      </c>
      <c r="AT79" s="182">
        <f t="shared" si="23"/>
        <v>2299.14</v>
      </c>
      <c r="AU79" s="182">
        <f t="shared" si="23"/>
        <v>3491.7</v>
      </c>
      <c r="AV79" s="182">
        <f t="shared" si="23"/>
        <v>13731</v>
      </c>
      <c r="AW79" s="182">
        <f t="shared" si="23"/>
        <v>9710.72</v>
      </c>
      <c r="AX79" s="183">
        <f t="shared" si="23"/>
        <v>4900</v>
      </c>
      <c r="AY79" s="183">
        <v>3200.0</v>
      </c>
    </row>
    <row r="80">
      <c r="A80" s="173" t="s">
        <v>258</v>
      </c>
      <c r="B80" s="174" t="s">
        <v>164</v>
      </c>
      <c r="C80" s="175">
        <f t="shared" ref="C80:C89" si="24">SUM(D80:AY80)</f>
        <v>23639.51</v>
      </c>
      <c r="D80" s="176">
        <v>665.0</v>
      </c>
      <c r="E80" s="176">
        <v>690.0</v>
      </c>
      <c r="F80" s="176" t="s">
        <v>245</v>
      </c>
      <c r="G80" s="177">
        <v>450.0</v>
      </c>
      <c r="H80" s="176">
        <v>220.0</v>
      </c>
      <c r="I80" s="176" t="s">
        <v>245</v>
      </c>
      <c r="J80" s="176">
        <v>0.0</v>
      </c>
      <c r="K80" s="176">
        <v>0.0</v>
      </c>
      <c r="L80" s="176">
        <v>637.0</v>
      </c>
      <c r="M80" s="176" t="s">
        <v>245</v>
      </c>
      <c r="N80" s="176" t="s">
        <v>245</v>
      </c>
      <c r="O80" s="176" t="s">
        <v>245</v>
      </c>
      <c r="P80" s="176" t="s">
        <v>245</v>
      </c>
      <c r="Q80" s="176">
        <v>225.0</v>
      </c>
      <c r="R80" s="176">
        <v>390.0</v>
      </c>
      <c r="S80" s="176">
        <v>15.0</v>
      </c>
      <c r="T80" s="176">
        <v>100.0</v>
      </c>
      <c r="U80" s="176">
        <v>30.0</v>
      </c>
      <c r="V80" s="176">
        <v>0.0</v>
      </c>
      <c r="W80" s="176" t="s">
        <v>245</v>
      </c>
      <c r="X80" s="176" t="s">
        <v>245</v>
      </c>
      <c r="Y80" s="176" t="s">
        <v>245</v>
      </c>
      <c r="Z80" s="176">
        <v>35.0</v>
      </c>
      <c r="AA80" s="176">
        <v>125.0</v>
      </c>
      <c r="AB80" s="176">
        <v>506.0</v>
      </c>
      <c r="AC80" s="177">
        <v>35.0</v>
      </c>
      <c r="AD80" s="176">
        <v>225.0</v>
      </c>
      <c r="AE80" s="176">
        <v>420.0</v>
      </c>
      <c r="AF80" s="176">
        <v>375.0</v>
      </c>
      <c r="AG80" s="176" t="s">
        <v>245</v>
      </c>
      <c r="AH80" s="176" t="s">
        <v>245</v>
      </c>
      <c r="AI80" s="176" t="s">
        <v>245</v>
      </c>
      <c r="AJ80" s="176" t="s">
        <v>245</v>
      </c>
      <c r="AK80" s="176" t="s">
        <v>245</v>
      </c>
      <c r="AL80" s="176" t="s">
        <v>245</v>
      </c>
      <c r="AM80" s="176" t="s">
        <v>245</v>
      </c>
      <c r="AN80" s="178" t="s">
        <v>245</v>
      </c>
      <c r="AO80" s="176">
        <v>2110.75</v>
      </c>
      <c r="AP80" s="176">
        <v>5033.47</v>
      </c>
      <c r="AQ80" s="176">
        <v>5562.8</v>
      </c>
      <c r="AR80" s="176">
        <v>515.18</v>
      </c>
      <c r="AS80" s="176">
        <v>238.01</v>
      </c>
      <c r="AT80" s="176">
        <v>932.19</v>
      </c>
      <c r="AU80" s="176">
        <v>566.11</v>
      </c>
      <c r="AV80" s="176">
        <v>3538.0</v>
      </c>
      <c r="AW80" s="176" t="s">
        <v>245</v>
      </c>
      <c r="AX80" s="177" t="s">
        <v>245</v>
      </c>
      <c r="AY80" s="177" t="s">
        <v>245</v>
      </c>
    </row>
    <row r="81">
      <c r="B81" s="174" t="s">
        <v>155</v>
      </c>
      <c r="C81" s="175">
        <f t="shared" si="24"/>
        <v>15434.71</v>
      </c>
      <c r="D81" s="176">
        <v>616.0</v>
      </c>
      <c r="E81" s="176">
        <v>498.0</v>
      </c>
      <c r="F81" s="176" t="s">
        <v>245</v>
      </c>
      <c r="G81" s="177">
        <v>380.0</v>
      </c>
      <c r="H81" s="176">
        <v>180.0</v>
      </c>
      <c r="I81" s="176" t="s">
        <v>245</v>
      </c>
      <c r="J81" s="176">
        <v>0.0</v>
      </c>
      <c r="K81" s="176">
        <v>0.0</v>
      </c>
      <c r="L81" s="176">
        <v>751.0</v>
      </c>
      <c r="M81" s="176" t="s">
        <v>245</v>
      </c>
      <c r="N81" s="176" t="s">
        <v>245</v>
      </c>
      <c r="O81" s="176" t="s">
        <v>245</v>
      </c>
      <c r="P81" s="176" t="s">
        <v>245</v>
      </c>
      <c r="Q81" s="176">
        <v>125.0</v>
      </c>
      <c r="R81" s="176">
        <v>180.0</v>
      </c>
      <c r="S81" s="176">
        <v>25.0</v>
      </c>
      <c r="T81" s="176">
        <v>0.0</v>
      </c>
      <c r="U81" s="176">
        <v>30.0</v>
      </c>
      <c r="V81" s="176">
        <v>10.0</v>
      </c>
      <c r="W81" s="176" t="s">
        <v>245</v>
      </c>
      <c r="X81" s="176" t="s">
        <v>245</v>
      </c>
      <c r="Y81" s="176" t="s">
        <v>245</v>
      </c>
      <c r="Z81" s="176">
        <v>5.0</v>
      </c>
      <c r="AA81" s="176">
        <v>15.0</v>
      </c>
      <c r="AB81" s="176">
        <v>515.25</v>
      </c>
      <c r="AC81" s="177">
        <v>26.0</v>
      </c>
      <c r="AD81" s="176">
        <v>210.0</v>
      </c>
      <c r="AE81" s="176">
        <v>322.0</v>
      </c>
      <c r="AF81" s="176">
        <v>330.0</v>
      </c>
      <c r="AG81" s="176" t="s">
        <v>245</v>
      </c>
      <c r="AH81" s="176" t="s">
        <v>245</v>
      </c>
      <c r="AI81" s="176" t="s">
        <v>245</v>
      </c>
      <c r="AJ81" s="176" t="s">
        <v>245</v>
      </c>
      <c r="AK81" s="176" t="s">
        <v>245</v>
      </c>
      <c r="AL81" s="176" t="s">
        <v>245</v>
      </c>
      <c r="AM81" s="176" t="s">
        <v>245</v>
      </c>
      <c r="AN81" s="178" t="s">
        <v>245</v>
      </c>
      <c r="AO81" s="176">
        <v>1061.96</v>
      </c>
      <c r="AP81" s="176">
        <v>4578.5</v>
      </c>
      <c r="AQ81" s="176">
        <v>637.16</v>
      </c>
      <c r="AR81" s="176">
        <v>404.18</v>
      </c>
      <c r="AS81" s="176">
        <v>163.63</v>
      </c>
      <c r="AT81" s="176">
        <v>921.67</v>
      </c>
      <c r="AU81" s="176">
        <v>636.36</v>
      </c>
      <c r="AV81" s="176">
        <v>2813.0</v>
      </c>
      <c r="AW81" s="176" t="s">
        <v>245</v>
      </c>
      <c r="AX81" s="177" t="s">
        <v>245</v>
      </c>
      <c r="AY81" s="177" t="s">
        <v>245</v>
      </c>
    </row>
    <row r="82">
      <c r="B82" s="174" t="s">
        <v>163</v>
      </c>
      <c r="C82" s="175">
        <f t="shared" si="24"/>
        <v>11091.75</v>
      </c>
      <c r="D82" s="176">
        <v>411.0</v>
      </c>
      <c r="E82" s="176">
        <v>208.0</v>
      </c>
      <c r="F82" s="176" t="s">
        <v>245</v>
      </c>
      <c r="G82" s="177">
        <v>290.0</v>
      </c>
      <c r="H82" s="176">
        <v>140.0</v>
      </c>
      <c r="I82" s="176" t="s">
        <v>245</v>
      </c>
      <c r="J82" s="176">
        <v>0.0</v>
      </c>
      <c r="K82" s="176">
        <v>0.0</v>
      </c>
      <c r="L82" s="176">
        <v>421.0</v>
      </c>
      <c r="M82" s="176" t="s">
        <v>245</v>
      </c>
      <c r="N82" s="176" t="s">
        <v>245</v>
      </c>
      <c r="O82" s="176" t="s">
        <v>245</v>
      </c>
      <c r="P82" s="176" t="s">
        <v>245</v>
      </c>
      <c r="Q82" s="176">
        <v>75.0</v>
      </c>
      <c r="R82" s="176">
        <v>105.0</v>
      </c>
      <c r="S82" s="176">
        <v>10.0</v>
      </c>
      <c r="T82" s="176">
        <v>0.0</v>
      </c>
      <c r="U82" s="176">
        <v>0.0</v>
      </c>
      <c r="V82" s="176">
        <v>0.0</v>
      </c>
      <c r="W82" s="176" t="s">
        <v>245</v>
      </c>
      <c r="X82" s="176" t="s">
        <v>245</v>
      </c>
      <c r="Y82" s="176" t="s">
        <v>245</v>
      </c>
      <c r="Z82" s="176">
        <v>20.0</v>
      </c>
      <c r="AA82" s="176">
        <v>15.0</v>
      </c>
      <c r="AB82" s="176">
        <v>264.5</v>
      </c>
      <c r="AC82" s="177">
        <v>45.0</v>
      </c>
      <c r="AD82" s="176">
        <v>135.0</v>
      </c>
      <c r="AE82" s="176">
        <v>266.0</v>
      </c>
      <c r="AF82" s="176">
        <v>195.0</v>
      </c>
      <c r="AG82" s="176" t="s">
        <v>245</v>
      </c>
      <c r="AH82" s="176" t="s">
        <v>245</v>
      </c>
      <c r="AI82" s="176" t="s">
        <v>245</v>
      </c>
      <c r="AJ82" s="176" t="s">
        <v>245</v>
      </c>
      <c r="AK82" s="176" t="s">
        <v>245</v>
      </c>
      <c r="AL82" s="176" t="s">
        <v>245</v>
      </c>
      <c r="AM82" s="176" t="s">
        <v>245</v>
      </c>
      <c r="AN82" s="178" t="s">
        <v>245</v>
      </c>
      <c r="AO82" s="176">
        <v>993.11</v>
      </c>
      <c r="AP82" s="176">
        <v>3534.7</v>
      </c>
      <c r="AQ82" s="176">
        <v>321.48</v>
      </c>
      <c r="AR82" s="176">
        <v>322.68</v>
      </c>
      <c r="AS82" s="176">
        <v>104.13</v>
      </c>
      <c r="AT82" s="176">
        <v>385.69</v>
      </c>
      <c r="AU82" s="176">
        <v>264.46</v>
      </c>
      <c r="AV82" s="176">
        <v>2565.0</v>
      </c>
      <c r="AW82" s="176" t="s">
        <v>245</v>
      </c>
      <c r="AX82" s="177" t="s">
        <v>245</v>
      </c>
      <c r="AY82" s="177" t="s">
        <v>245</v>
      </c>
    </row>
    <row r="83">
      <c r="B83" s="174" t="s">
        <v>161</v>
      </c>
      <c r="C83" s="175">
        <f t="shared" si="24"/>
        <v>16256.73</v>
      </c>
      <c r="D83" s="176">
        <v>98.0</v>
      </c>
      <c r="E83" s="176">
        <v>282.0</v>
      </c>
      <c r="F83" s="176" t="s">
        <v>245</v>
      </c>
      <c r="G83" s="177">
        <v>330.0</v>
      </c>
      <c r="H83" s="176">
        <v>0.0</v>
      </c>
      <c r="I83" s="176" t="s">
        <v>245</v>
      </c>
      <c r="J83" s="176">
        <v>0.0</v>
      </c>
      <c r="K83" s="176">
        <v>0.0</v>
      </c>
      <c r="L83" s="176">
        <v>250.0</v>
      </c>
      <c r="M83" s="176" t="s">
        <v>245</v>
      </c>
      <c r="N83" s="176" t="s">
        <v>245</v>
      </c>
      <c r="O83" s="176" t="s">
        <v>245</v>
      </c>
      <c r="P83" s="176" t="s">
        <v>245</v>
      </c>
      <c r="Q83" s="176">
        <v>50.0</v>
      </c>
      <c r="R83" s="176">
        <v>345.0</v>
      </c>
      <c r="S83" s="176">
        <v>20.0</v>
      </c>
      <c r="T83" s="176">
        <v>0.0</v>
      </c>
      <c r="U83" s="176">
        <v>0.0</v>
      </c>
      <c r="V83" s="176">
        <v>0.0</v>
      </c>
      <c r="W83" s="176" t="s">
        <v>245</v>
      </c>
      <c r="X83" s="176" t="s">
        <v>245</v>
      </c>
      <c r="Y83" s="176" t="s">
        <v>245</v>
      </c>
      <c r="Z83" s="176">
        <v>25.0</v>
      </c>
      <c r="AA83" s="176">
        <v>0.0</v>
      </c>
      <c r="AB83" s="176">
        <v>345.75</v>
      </c>
      <c r="AC83" s="177">
        <v>0.0</v>
      </c>
      <c r="AD83" s="176">
        <v>0.0</v>
      </c>
      <c r="AE83" s="176">
        <v>0.0</v>
      </c>
      <c r="AF83" s="176">
        <v>210.0</v>
      </c>
      <c r="AG83" s="176" t="s">
        <v>245</v>
      </c>
      <c r="AH83" s="176" t="s">
        <v>245</v>
      </c>
      <c r="AI83" s="176" t="s">
        <v>245</v>
      </c>
      <c r="AJ83" s="176" t="s">
        <v>245</v>
      </c>
      <c r="AK83" s="176" t="s">
        <v>245</v>
      </c>
      <c r="AL83" s="176" t="s">
        <v>245</v>
      </c>
      <c r="AM83" s="176" t="s">
        <v>245</v>
      </c>
      <c r="AN83" s="178" t="s">
        <v>245</v>
      </c>
      <c r="AO83" s="176">
        <v>2330.41</v>
      </c>
      <c r="AP83" s="176">
        <v>5539.58</v>
      </c>
      <c r="AQ83" s="176">
        <v>1814.87</v>
      </c>
      <c r="AR83" s="176">
        <v>21.68</v>
      </c>
      <c r="AS83" s="176">
        <v>216.52</v>
      </c>
      <c r="AT83" s="176">
        <v>504.6</v>
      </c>
      <c r="AU83" s="176">
        <v>1541.32</v>
      </c>
      <c r="AV83" s="176">
        <v>2332.0</v>
      </c>
      <c r="AW83" s="176" t="s">
        <v>245</v>
      </c>
      <c r="AX83" s="177" t="s">
        <v>245</v>
      </c>
      <c r="AY83" s="177" t="s">
        <v>245</v>
      </c>
    </row>
    <row r="84">
      <c r="B84" s="174" t="s">
        <v>159</v>
      </c>
      <c r="C84" s="175">
        <f t="shared" si="24"/>
        <v>19902.53</v>
      </c>
      <c r="D84" s="176">
        <v>566.0</v>
      </c>
      <c r="E84" s="176">
        <v>476.0</v>
      </c>
      <c r="F84" s="176" t="s">
        <v>245</v>
      </c>
      <c r="G84" s="177">
        <v>340.0</v>
      </c>
      <c r="H84" s="176">
        <v>0.0</v>
      </c>
      <c r="I84" s="176" t="s">
        <v>245</v>
      </c>
      <c r="J84" s="176">
        <v>39.0</v>
      </c>
      <c r="K84" s="176">
        <v>0.0</v>
      </c>
      <c r="L84" s="176">
        <v>178.0</v>
      </c>
      <c r="M84" s="176" t="s">
        <v>245</v>
      </c>
      <c r="N84" s="176" t="s">
        <v>245</v>
      </c>
      <c r="O84" s="176" t="s">
        <v>245</v>
      </c>
      <c r="P84" s="176" t="s">
        <v>245</v>
      </c>
      <c r="Q84" s="176">
        <v>175.0</v>
      </c>
      <c r="R84" s="176">
        <v>405.0</v>
      </c>
      <c r="S84" s="176">
        <v>20.0</v>
      </c>
      <c r="T84" s="176">
        <v>0.0</v>
      </c>
      <c r="U84" s="176">
        <v>0.0</v>
      </c>
      <c r="V84" s="176">
        <v>0.0</v>
      </c>
      <c r="W84" s="176" t="s">
        <v>245</v>
      </c>
      <c r="X84" s="176" t="s">
        <v>245</v>
      </c>
      <c r="Y84" s="176" t="s">
        <v>245</v>
      </c>
      <c r="Z84" s="176">
        <v>35.0</v>
      </c>
      <c r="AA84" s="176">
        <v>30.0</v>
      </c>
      <c r="AB84" s="176">
        <v>412.75</v>
      </c>
      <c r="AC84" s="177">
        <v>21.0</v>
      </c>
      <c r="AD84" s="176">
        <v>210.0</v>
      </c>
      <c r="AE84" s="176">
        <v>14.0</v>
      </c>
      <c r="AF84" s="176">
        <v>285.0</v>
      </c>
      <c r="AG84" s="176" t="s">
        <v>245</v>
      </c>
      <c r="AH84" s="176" t="s">
        <v>245</v>
      </c>
      <c r="AI84" s="176" t="s">
        <v>245</v>
      </c>
      <c r="AJ84" s="176" t="s">
        <v>245</v>
      </c>
      <c r="AK84" s="176" t="s">
        <v>245</v>
      </c>
      <c r="AL84" s="176" t="s">
        <v>245</v>
      </c>
      <c r="AM84" s="176" t="s">
        <v>245</v>
      </c>
      <c r="AN84" s="178" t="s">
        <v>245</v>
      </c>
      <c r="AO84" s="176">
        <v>2226.64</v>
      </c>
      <c r="AP84" s="176">
        <v>8775.19</v>
      </c>
      <c r="AQ84" s="176">
        <v>724.79</v>
      </c>
      <c r="AR84" s="176">
        <v>252.68</v>
      </c>
      <c r="AS84" s="176">
        <v>84.29</v>
      </c>
      <c r="AT84" s="176">
        <v>616.14</v>
      </c>
      <c r="AU84" s="176">
        <v>1533.05</v>
      </c>
      <c r="AV84" s="176">
        <v>2483.0</v>
      </c>
      <c r="AW84" s="176" t="s">
        <v>245</v>
      </c>
      <c r="AX84" s="177" t="s">
        <v>245</v>
      </c>
      <c r="AY84" s="177" t="s">
        <v>245</v>
      </c>
    </row>
    <row r="85">
      <c r="B85" s="174" t="s">
        <v>246</v>
      </c>
      <c r="C85" s="175">
        <f t="shared" si="24"/>
        <v>6322.12</v>
      </c>
      <c r="D85" s="176">
        <v>30.0</v>
      </c>
      <c r="E85" s="176">
        <v>170.0</v>
      </c>
      <c r="F85" s="176">
        <v>235.0</v>
      </c>
      <c r="G85" s="177">
        <v>0.0</v>
      </c>
      <c r="H85" s="176" t="s">
        <v>245</v>
      </c>
      <c r="I85" s="176">
        <v>10.0</v>
      </c>
      <c r="J85" s="176" t="s">
        <v>245</v>
      </c>
      <c r="K85" s="176" t="s">
        <v>245</v>
      </c>
      <c r="L85" s="176" t="s">
        <v>245</v>
      </c>
      <c r="M85" s="176">
        <v>100.0</v>
      </c>
      <c r="N85" s="176">
        <v>400.0</v>
      </c>
      <c r="O85" s="176">
        <v>3.0</v>
      </c>
      <c r="P85" s="176">
        <v>0.0</v>
      </c>
      <c r="Q85" s="176" t="s">
        <v>245</v>
      </c>
      <c r="R85" s="176" t="s">
        <v>245</v>
      </c>
      <c r="S85" s="176" t="s">
        <v>245</v>
      </c>
      <c r="T85" s="176" t="s">
        <v>245</v>
      </c>
      <c r="U85" s="176" t="s">
        <v>245</v>
      </c>
      <c r="V85" s="176" t="s">
        <v>245</v>
      </c>
      <c r="W85" s="176">
        <v>175.0</v>
      </c>
      <c r="X85" s="176">
        <v>126.0</v>
      </c>
      <c r="Y85" s="176">
        <v>0.0</v>
      </c>
      <c r="Z85" s="176" t="s">
        <v>245</v>
      </c>
      <c r="AA85" s="176" t="s">
        <v>245</v>
      </c>
      <c r="AB85" s="176" t="s">
        <v>245</v>
      </c>
      <c r="AC85" s="178" t="s">
        <v>245</v>
      </c>
      <c r="AD85" s="176" t="s">
        <v>245</v>
      </c>
      <c r="AE85" s="176" t="s">
        <v>245</v>
      </c>
      <c r="AF85" s="176" t="s">
        <v>245</v>
      </c>
      <c r="AG85" s="176">
        <v>720.0</v>
      </c>
      <c r="AH85" s="176" t="s">
        <v>245</v>
      </c>
      <c r="AI85" s="176" t="s">
        <v>245</v>
      </c>
      <c r="AJ85" s="176" t="s">
        <v>245</v>
      </c>
      <c r="AK85" s="176">
        <v>484.0</v>
      </c>
      <c r="AL85" s="176">
        <v>696.0</v>
      </c>
      <c r="AM85" s="176">
        <v>340.0</v>
      </c>
      <c r="AN85" s="177">
        <v>0.0</v>
      </c>
      <c r="AO85" s="176">
        <v>98.01</v>
      </c>
      <c r="AP85" s="176">
        <v>226.44</v>
      </c>
      <c r="AQ85" s="176" t="s">
        <v>245</v>
      </c>
      <c r="AR85" s="176" t="s">
        <v>245</v>
      </c>
      <c r="AS85" s="176">
        <v>26.44</v>
      </c>
      <c r="AT85" s="176">
        <v>32.23</v>
      </c>
      <c r="AU85" s="176" t="s">
        <v>245</v>
      </c>
      <c r="AV85" s="185" t="s">
        <v>245</v>
      </c>
      <c r="AW85" s="176">
        <v>2100.0</v>
      </c>
      <c r="AX85" s="177">
        <v>350.0</v>
      </c>
      <c r="AY85" s="177" t="s">
        <v>245</v>
      </c>
    </row>
    <row r="86">
      <c r="B86" s="174" t="s">
        <v>247</v>
      </c>
      <c r="C86" s="175">
        <f t="shared" si="24"/>
        <v>4740</v>
      </c>
      <c r="D86" s="176">
        <v>0.0</v>
      </c>
      <c r="E86" s="176">
        <v>90.0</v>
      </c>
      <c r="F86" s="176">
        <v>320.0</v>
      </c>
      <c r="G86" s="177">
        <v>0.0</v>
      </c>
      <c r="H86" s="176" t="s">
        <v>245</v>
      </c>
      <c r="I86" s="176">
        <v>20.0</v>
      </c>
      <c r="J86" s="176" t="s">
        <v>245</v>
      </c>
      <c r="K86" s="176" t="s">
        <v>245</v>
      </c>
      <c r="L86" s="176" t="s">
        <v>245</v>
      </c>
      <c r="M86" s="176">
        <v>300.0</v>
      </c>
      <c r="N86" s="176">
        <v>0.0</v>
      </c>
      <c r="O86" s="176">
        <v>50.0</v>
      </c>
      <c r="P86" s="176">
        <v>0.0</v>
      </c>
      <c r="Q86" s="176" t="s">
        <v>245</v>
      </c>
      <c r="R86" s="176" t="s">
        <v>245</v>
      </c>
      <c r="S86" s="176" t="s">
        <v>245</v>
      </c>
      <c r="T86" s="176" t="s">
        <v>245</v>
      </c>
      <c r="U86" s="176" t="s">
        <v>245</v>
      </c>
      <c r="V86" s="176" t="s">
        <v>245</v>
      </c>
      <c r="W86" s="176">
        <v>25.0</v>
      </c>
      <c r="X86" s="176">
        <v>0.0</v>
      </c>
      <c r="Y86" s="176">
        <v>0.0</v>
      </c>
      <c r="Z86" s="176" t="s">
        <v>245</v>
      </c>
      <c r="AA86" s="176" t="s">
        <v>245</v>
      </c>
      <c r="AB86" s="176" t="s">
        <v>245</v>
      </c>
      <c r="AC86" s="178" t="s">
        <v>245</v>
      </c>
      <c r="AD86" s="176" t="s">
        <v>245</v>
      </c>
      <c r="AE86" s="176" t="s">
        <v>245</v>
      </c>
      <c r="AF86" s="176" t="s">
        <v>245</v>
      </c>
      <c r="AG86" s="176">
        <v>580.0</v>
      </c>
      <c r="AH86" s="176" t="s">
        <v>245</v>
      </c>
      <c r="AI86" s="176" t="s">
        <v>245</v>
      </c>
      <c r="AJ86" s="176" t="s">
        <v>245</v>
      </c>
      <c r="AK86" s="176">
        <v>400.0</v>
      </c>
      <c r="AL86" s="176">
        <v>480.0</v>
      </c>
      <c r="AM86" s="176">
        <v>25.0</v>
      </c>
      <c r="AN86" s="177">
        <v>0.0</v>
      </c>
      <c r="AQ86" s="176" t="s">
        <v>245</v>
      </c>
      <c r="AR86" s="176" t="s">
        <v>245</v>
      </c>
      <c r="AU86" s="176" t="s">
        <v>245</v>
      </c>
      <c r="AV86" s="185" t="s">
        <v>245</v>
      </c>
      <c r="AW86" s="176">
        <v>2100.0</v>
      </c>
      <c r="AX86" s="177">
        <v>350.0</v>
      </c>
      <c r="AY86" s="177" t="s">
        <v>245</v>
      </c>
    </row>
    <row r="87">
      <c r="B87" s="174" t="s">
        <v>249</v>
      </c>
      <c r="C87" s="175">
        <f t="shared" si="24"/>
        <v>8603</v>
      </c>
      <c r="D87" s="176">
        <v>0.0</v>
      </c>
      <c r="E87" s="176">
        <v>160.0</v>
      </c>
      <c r="F87" s="176">
        <v>245.0</v>
      </c>
      <c r="G87" s="177">
        <v>40.0</v>
      </c>
      <c r="H87" s="176" t="s">
        <v>245</v>
      </c>
      <c r="I87" s="176">
        <v>10.0</v>
      </c>
      <c r="J87" s="176" t="s">
        <v>245</v>
      </c>
      <c r="K87" s="176" t="s">
        <v>245</v>
      </c>
      <c r="L87" s="176" t="s">
        <v>245</v>
      </c>
      <c r="M87" s="176">
        <v>0.0</v>
      </c>
      <c r="N87" s="176">
        <v>200.0</v>
      </c>
      <c r="O87" s="176">
        <v>40.0</v>
      </c>
      <c r="P87" s="176">
        <v>20.0</v>
      </c>
      <c r="Q87" s="176" t="s">
        <v>245</v>
      </c>
      <c r="R87" s="176" t="s">
        <v>245</v>
      </c>
      <c r="S87" s="176" t="s">
        <v>245</v>
      </c>
      <c r="T87" s="176" t="s">
        <v>245</v>
      </c>
      <c r="U87" s="176" t="s">
        <v>245</v>
      </c>
      <c r="V87" s="176" t="s">
        <v>245</v>
      </c>
      <c r="W87" s="176">
        <v>50.0</v>
      </c>
      <c r="X87" s="176">
        <v>18.0</v>
      </c>
      <c r="Y87" s="176">
        <v>0.0</v>
      </c>
      <c r="Z87" s="176" t="s">
        <v>245</v>
      </c>
      <c r="AA87" s="176" t="s">
        <v>245</v>
      </c>
      <c r="AB87" s="176" t="s">
        <v>245</v>
      </c>
      <c r="AC87" s="178" t="s">
        <v>245</v>
      </c>
      <c r="AD87" s="176" t="s">
        <v>245</v>
      </c>
      <c r="AE87" s="176" t="s">
        <v>245</v>
      </c>
      <c r="AF87" s="176" t="s">
        <v>245</v>
      </c>
      <c r="AG87" s="176">
        <v>140.0</v>
      </c>
      <c r="AH87" s="176" t="s">
        <v>245</v>
      </c>
      <c r="AI87" s="176" t="s">
        <v>245</v>
      </c>
      <c r="AJ87" s="176" t="s">
        <v>245</v>
      </c>
      <c r="AK87" s="176">
        <v>260.0</v>
      </c>
      <c r="AL87" s="176">
        <v>420.0</v>
      </c>
      <c r="AM87" s="176">
        <v>0.0</v>
      </c>
      <c r="AN87" s="177">
        <v>0.0</v>
      </c>
      <c r="AQ87" s="176" t="s">
        <v>245</v>
      </c>
      <c r="AR87" s="176" t="s">
        <v>245</v>
      </c>
      <c r="AU87" s="176" t="s">
        <v>245</v>
      </c>
      <c r="AV87" s="185" t="s">
        <v>245</v>
      </c>
      <c r="AW87" s="176">
        <v>5600.0</v>
      </c>
      <c r="AX87" s="177">
        <v>1400.0</v>
      </c>
      <c r="AY87" s="177" t="s">
        <v>245</v>
      </c>
    </row>
    <row r="88">
      <c r="B88" s="174" t="s">
        <v>250</v>
      </c>
      <c r="C88" s="175">
        <f t="shared" si="24"/>
        <v>9450</v>
      </c>
      <c r="D88" s="176">
        <v>0.0</v>
      </c>
      <c r="E88" s="176">
        <v>0.0</v>
      </c>
      <c r="F88" s="176">
        <v>255.0</v>
      </c>
      <c r="G88" s="177">
        <v>0.0</v>
      </c>
      <c r="H88" s="176" t="s">
        <v>245</v>
      </c>
      <c r="I88" s="176">
        <v>10.0</v>
      </c>
      <c r="J88" s="176" t="s">
        <v>245</v>
      </c>
      <c r="K88" s="176" t="s">
        <v>245</v>
      </c>
      <c r="L88" s="176" t="s">
        <v>245</v>
      </c>
      <c r="M88" s="176">
        <v>400.0</v>
      </c>
      <c r="N88" s="176">
        <v>0.0</v>
      </c>
      <c r="O88" s="176">
        <v>40.0</v>
      </c>
      <c r="P88" s="176">
        <v>20.0</v>
      </c>
      <c r="Q88" s="176" t="s">
        <v>245</v>
      </c>
      <c r="R88" s="176" t="s">
        <v>245</v>
      </c>
      <c r="S88" s="176" t="s">
        <v>245</v>
      </c>
      <c r="T88" s="176" t="s">
        <v>245</v>
      </c>
      <c r="U88" s="176" t="s">
        <v>245</v>
      </c>
      <c r="V88" s="176" t="s">
        <v>245</v>
      </c>
      <c r="W88" s="176">
        <v>125.0</v>
      </c>
      <c r="X88" s="176">
        <v>0.0</v>
      </c>
      <c r="Y88" s="176">
        <v>0.0</v>
      </c>
      <c r="Z88" s="176" t="s">
        <v>245</v>
      </c>
      <c r="AA88" s="176" t="s">
        <v>245</v>
      </c>
      <c r="AB88" s="176" t="s">
        <v>245</v>
      </c>
      <c r="AC88" s="178" t="s">
        <v>245</v>
      </c>
      <c r="AD88" s="176" t="s">
        <v>245</v>
      </c>
      <c r="AE88" s="176" t="s">
        <v>245</v>
      </c>
      <c r="AF88" s="176" t="s">
        <v>245</v>
      </c>
      <c r="AG88" s="176">
        <v>360.0</v>
      </c>
      <c r="AH88" s="176" t="s">
        <v>245</v>
      </c>
      <c r="AI88" s="176" t="s">
        <v>245</v>
      </c>
      <c r="AJ88" s="176" t="s">
        <v>245</v>
      </c>
      <c r="AK88" s="176">
        <v>600.0</v>
      </c>
      <c r="AL88" s="176">
        <v>840.0</v>
      </c>
      <c r="AM88" s="176">
        <v>0.0</v>
      </c>
      <c r="AN88" s="177">
        <v>0.0</v>
      </c>
      <c r="AQ88" s="176" t="s">
        <v>245</v>
      </c>
      <c r="AR88" s="176" t="s">
        <v>245</v>
      </c>
      <c r="AU88" s="176" t="s">
        <v>245</v>
      </c>
      <c r="AV88" s="185" t="s">
        <v>245</v>
      </c>
      <c r="AW88" s="176">
        <v>5400.0</v>
      </c>
      <c r="AX88" s="177">
        <v>1400.0</v>
      </c>
      <c r="AY88" s="177" t="s">
        <v>245</v>
      </c>
    </row>
    <row r="89">
      <c r="B89" s="174" t="s">
        <v>251</v>
      </c>
      <c r="C89" s="175">
        <f t="shared" si="24"/>
        <v>8226</v>
      </c>
      <c r="D89" s="176">
        <v>20.0</v>
      </c>
      <c r="E89" s="176">
        <v>0.0</v>
      </c>
      <c r="F89" s="176">
        <v>90.0</v>
      </c>
      <c r="G89" s="177">
        <v>0.0</v>
      </c>
      <c r="H89" s="176" t="s">
        <v>245</v>
      </c>
      <c r="I89" s="176">
        <v>10.0</v>
      </c>
      <c r="J89" s="176" t="s">
        <v>245</v>
      </c>
      <c r="K89" s="176" t="s">
        <v>245</v>
      </c>
      <c r="L89" s="176" t="s">
        <v>245</v>
      </c>
      <c r="M89" s="176">
        <v>0.0</v>
      </c>
      <c r="N89" s="176">
        <v>200.0</v>
      </c>
      <c r="O89" s="176">
        <v>20.0</v>
      </c>
      <c r="P89" s="176">
        <v>80.0</v>
      </c>
      <c r="Q89" s="176" t="s">
        <v>245</v>
      </c>
      <c r="R89" s="176" t="s">
        <v>245</v>
      </c>
      <c r="S89" s="176" t="s">
        <v>245</v>
      </c>
      <c r="T89" s="176" t="s">
        <v>245</v>
      </c>
      <c r="U89" s="176" t="s">
        <v>245</v>
      </c>
      <c r="V89" s="176" t="s">
        <v>245</v>
      </c>
      <c r="W89" s="176">
        <v>25.0</v>
      </c>
      <c r="X89" s="176">
        <v>18.0</v>
      </c>
      <c r="Y89" s="176">
        <v>0.0</v>
      </c>
      <c r="Z89" s="176" t="s">
        <v>245</v>
      </c>
      <c r="AA89" s="176" t="s">
        <v>245</v>
      </c>
      <c r="AB89" s="176" t="s">
        <v>245</v>
      </c>
      <c r="AC89" s="178" t="s">
        <v>245</v>
      </c>
      <c r="AD89" s="176" t="s">
        <v>245</v>
      </c>
      <c r="AE89" s="176" t="s">
        <v>245</v>
      </c>
      <c r="AF89" s="176" t="s">
        <v>245</v>
      </c>
      <c r="AG89" s="176">
        <v>90.0</v>
      </c>
      <c r="AH89" s="176" t="s">
        <v>245</v>
      </c>
      <c r="AI89" s="176" t="s">
        <v>245</v>
      </c>
      <c r="AJ89" s="176" t="s">
        <v>245</v>
      </c>
      <c r="AK89" s="176">
        <v>330.0</v>
      </c>
      <c r="AL89" s="176">
        <v>343.0</v>
      </c>
      <c r="AM89" s="176">
        <v>0.0</v>
      </c>
      <c r="AN89" s="177">
        <v>0.0</v>
      </c>
      <c r="AQ89" s="176" t="s">
        <v>245</v>
      </c>
      <c r="AR89" s="176" t="s">
        <v>245</v>
      </c>
      <c r="AU89" s="176" t="s">
        <v>245</v>
      </c>
      <c r="AV89" s="186" t="s">
        <v>245</v>
      </c>
      <c r="AW89" s="176">
        <v>5600.0</v>
      </c>
      <c r="AX89" s="177">
        <v>1400.0</v>
      </c>
      <c r="AY89" s="177" t="s">
        <v>245</v>
      </c>
    </row>
    <row r="90">
      <c r="A90" s="179"/>
      <c r="B90" s="180" t="s">
        <v>144</v>
      </c>
      <c r="C90" s="181">
        <f t="shared" ref="C90:AG90" si="25">SUM(C80:C89)</f>
        <v>123666.35</v>
      </c>
      <c r="D90" s="182">
        <f t="shared" si="25"/>
        <v>2406</v>
      </c>
      <c r="E90" s="182">
        <f t="shared" si="25"/>
        <v>2574</v>
      </c>
      <c r="F90" s="182">
        <f t="shared" si="25"/>
        <v>1145</v>
      </c>
      <c r="G90" s="183">
        <f t="shared" si="25"/>
        <v>1830</v>
      </c>
      <c r="H90" s="182">
        <f t="shared" si="25"/>
        <v>540</v>
      </c>
      <c r="I90" s="182">
        <f t="shared" si="25"/>
        <v>60</v>
      </c>
      <c r="J90" s="182">
        <f t="shared" si="25"/>
        <v>39</v>
      </c>
      <c r="K90" s="182">
        <f t="shared" si="25"/>
        <v>0</v>
      </c>
      <c r="L90" s="182">
        <f t="shared" si="25"/>
        <v>2237</v>
      </c>
      <c r="M90" s="182">
        <f t="shared" si="25"/>
        <v>800</v>
      </c>
      <c r="N90" s="182">
        <f t="shared" si="25"/>
        <v>800</v>
      </c>
      <c r="O90" s="182">
        <f t="shared" si="25"/>
        <v>153</v>
      </c>
      <c r="P90" s="182">
        <f t="shared" si="25"/>
        <v>120</v>
      </c>
      <c r="Q90" s="182">
        <f t="shared" si="25"/>
        <v>650</v>
      </c>
      <c r="R90" s="182">
        <f t="shared" si="25"/>
        <v>1425</v>
      </c>
      <c r="S90" s="182">
        <f t="shared" si="25"/>
        <v>90</v>
      </c>
      <c r="T90" s="182">
        <f t="shared" si="25"/>
        <v>100</v>
      </c>
      <c r="U90" s="182">
        <f t="shared" si="25"/>
        <v>60</v>
      </c>
      <c r="V90" s="182">
        <f t="shared" si="25"/>
        <v>10</v>
      </c>
      <c r="W90" s="182">
        <f t="shared" si="25"/>
        <v>400</v>
      </c>
      <c r="X90" s="182">
        <f t="shared" si="25"/>
        <v>162</v>
      </c>
      <c r="Y90" s="182">
        <f t="shared" si="25"/>
        <v>0</v>
      </c>
      <c r="Z90" s="182">
        <f t="shared" si="25"/>
        <v>120</v>
      </c>
      <c r="AA90" s="182">
        <f t="shared" si="25"/>
        <v>185</v>
      </c>
      <c r="AB90" s="182">
        <f t="shared" si="25"/>
        <v>2044.25</v>
      </c>
      <c r="AC90" s="183">
        <f t="shared" si="25"/>
        <v>127</v>
      </c>
      <c r="AD90" s="182">
        <f t="shared" si="25"/>
        <v>780</v>
      </c>
      <c r="AE90" s="182">
        <f t="shared" si="25"/>
        <v>1022</v>
      </c>
      <c r="AF90" s="182">
        <f t="shared" si="25"/>
        <v>1395</v>
      </c>
      <c r="AG90" s="182">
        <f t="shared" si="25"/>
        <v>1890</v>
      </c>
      <c r="AH90" s="182">
        <v>0.0</v>
      </c>
      <c r="AI90" s="182">
        <v>0.0</v>
      </c>
      <c r="AJ90" s="182">
        <v>0.0</v>
      </c>
      <c r="AK90" s="182">
        <f t="shared" ref="AK90:AX90" si="26">SUM(AK80:AK89)</f>
        <v>2074</v>
      </c>
      <c r="AL90" s="182">
        <f t="shared" si="26"/>
        <v>2779</v>
      </c>
      <c r="AM90" s="182">
        <f t="shared" si="26"/>
        <v>365</v>
      </c>
      <c r="AN90" s="183">
        <f t="shared" si="26"/>
        <v>0</v>
      </c>
      <c r="AO90" s="182">
        <f t="shared" si="26"/>
        <v>8820.88</v>
      </c>
      <c r="AP90" s="182">
        <f t="shared" si="26"/>
        <v>27687.88</v>
      </c>
      <c r="AQ90" s="182">
        <f t="shared" si="26"/>
        <v>9061.1</v>
      </c>
      <c r="AR90" s="182">
        <f t="shared" si="26"/>
        <v>1516.4</v>
      </c>
      <c r="AS90" s="182">
        <f t="shared" si="26"/>
        <v>833.02</v>
      </c>
      <c r="AT90" s="182">
        <f t="shared" si="26"/>
        <v>3392.52</v>
      </c>
      <c r="AU90" s="182">
        <f t="shared" si="26"/>
        <v>4541.3</v>
      </c>
      <c r="AV90" s="182">
        <f t="shared" si="26"/>
        <v>13731</v>
      </c>
      <c r="AW90" s="182">
        <f t="shared" si="26"/>
        <v>20800</v>
      </c>
      <c r="AX90" s="183">
        <f t="shared" si="26"/>
        <v>4900</v>
      </c>
      <c r="AY90" s="183">
        <v>3775.8</v>
      </c>
    </row>
    <row r="91">
      <c r="A91" s="173" t="s">
        <v>259</v>
      </c>
      <c r="B91" s="174" t="s">
        <v>164</v>
      </c>
      <c r="C91" s="175">
        <f t="shared" ref="C91:C100" si="27">SUM(D91:AY91)</f>
        <v>26485.19</v>
      </c>
      <c r="D91" s="176">
        <v>1134.0</v>
      </c>
      <c r="E91" s="176">
        <v>644.0</v>
      </c>
      <c r="F91" s="176" t="s">
        <v>245</v>
      </c>
      <c r="G91" s="177">
        <v>460.0</v>
      </c>
      <c r="H91" s="176">
        <v>240.0</v>
      </c>
      <c r="I91" s="176" t="s">
        <v>245</v>
      </c>
      <c r="J91" s="176">
        <v>150.0</v>
      </c>
      <c r="K91" s="176">
        <v>0.0</v>
      </c>
      <c r="L91" s="176">
        <v>510.0</v>
      </c>
      <c r="M91" s="176" t="s">
        <v>245</v>
      </c>
      <c r="N91" s="176" t="s">
        <v>245</v>
      </c>
      <c r="O91" s="176" t="s">
        <v>245</v>
      </c>
      <c r="P91" s="176" t="s">
        <v>245</v>
      </c>
      <c r="Q91" s="176">
        <v>425.0</v>
      </c>
      <c r="R91" s="176">
        <v>315.0</v>
      </c>
      <c r="S91" s="176">
        <v>5.0</v>
      </c>
      <c r="T91" s="176">
        <v>0.0</v>
      </c>
      <c r="U91" s="176">
        <v>45.0</v>
      </c>
      <c r="V91" s="176">
        <v>0.0</v>
      </c>
      <c r="W91" s="176" t="s">
        <v>245</v>
      </c>
      <c r="X91" s="176" t="s">
        <v>245</v>
      </c>
      <c r="Y91" s="176" t="s">
        <v>245</v>
      </c>
      <c r="Z91" s="176">
        <v>30.0</v>
      </c>
      <c r="AA91" s="176">
        <v>120.0</v>
      </c>
      <c r="AB91" s="176">
        <v>508.5</v>
      </c>
      <c r="AC91" s="177">
        <v>4.0</v>
      </c>
      <c r="AD91" s="176">
        <v>390.0</v>
      </c>
      <c r="AE91" s="176">
        <v>462.0</v>
      </c>
      <c r="AF91" s="176">
        <v>360.0</v>
      </c>
      <c r="AG91" s="176" t="s">
        <v>245</v>
      </c>
      <c r="AH91" s="176" t="s">
        <v>245</v>
      </c>
      <c r="AI91" s="176" t="s">
        <v>245</v>
      </c>
      <c r="AJ91" s="176" t="s">
        <v>245</v>
      </c>
      <c r="AK91" s="176" t="s">
        <v>245</v>
      </c>
      <c r="AL91" s="176" t="s">
        <v>245</v>
      </c>
      <c r="AM91" s="176" t="s">
        <v>245</v>
      </c>
      <c r="AN91" s="178" t="s">
        <v>245</v>
      </c>
      <c r="AO91" s="176">
        <v>2486.51</v>
      </c>
      <c r="AP91" s="176">
        <v>6599.17</v>
      </c>
      <c r="AQ91" s="176">
        <v>6552.06</v>
      </c>
      <c r="AR91" s="176">
        <v>302.0</v>
      </c>
      <c r="AS91" s="176">
        <v>152.06</v>
      </c>
      <c r="AT91" s="176">
        <v>656.2</v>
      </c>
      <c r="AU91" s="176">
        <v>396.69</v>
      </c>
      <c r="AV91" s="176">
        <v>3538.0</v>
      </c>
      <c r="AW91" s="176" t="s">
        <v>245</v>
      </c>
      <c r="AX91" s="177" t="s">
        <v>245</v>
      </c>
      <c r="AY91" s="177" t="s">
        <v>245</v>
      </c>
    </row>
    <row r="92">
      <c r="B92" s="174" t="s">
        <v>155</v>
      </c>
      <c r="C92" s="175">
        <f t="shared" si="27"/>
        <v>17735.92</v>
      </c>
      <c r="D92" s="176">
        <v>1331.0</v>
      </c>
      <c r="E92" s="176">
        <v>420.0</v>
      </c>
      <c r="F92" s="176" t="s">
        <v>245</v>
      </c>
      <c r="G92" s="177">
        <v>390.0</v>
      </c>
      <c r="H92" s="176">
        <v>140.0</v>
      </c>
      <c r="I92" s="176" t="s">
        <v>245</v>
      </c>
      <c r="J92" s="176">
        <v>0.0</v>
      </c>
      <c r="K92" s="176">
        <v>0.0</v>
      </c>
      <c r="L92" s="176">
        <v>195.0</v>
      </c>
      <c r="M92" s="176" t="s">
        <v>245</v>
      </c>
      <c r="N92" s="176" t="s">
        <v>245</v>
      </c>
      <c r="O92" s="176" t="s">
        <v>245</v>
      </c>
      <c r="P92" s="176" t="s">
        <v>245</v>
      </c>
      <c r="Q92" s="176">
        <v>225.0</v>
      </c>
      <c r="R92" s="176">
        <v>330.0</v>
      </c>
      <c r="S92" s="176">
        <v>25.0</v>
      </c>
      <c r="T92" s="176">
        <v>0.0</v>
      </c>
      <c r="U92" s="176">
        <v>30.0</v>
      </c>
      <c r="V92" s="176">
        <v>25.0</v>
      </c>
      <c r="W92" s="176" t="s">
        <v>245</v>
      </c>
      <c r="X92" s="176" t="s">
        <v>245</v>
      </c>
      <c r="Y92" s="176" t="s">
        <v>245</v>
      </c>
      <c r="Z92" s="176">
        <v>0.0</v>
      </c>
      <c r="AA92" s="176">
        <v>75.0</v>
      </c>
      <c r="AB92" s="176">
        <v>709.5</v>
      </c>
      <c r="AC92" s="177">
        <v>11.0</v>
      </c>
      <c r="AD92" s="176">
        <v>435.0</v>
      </c>
      <c r="AE92" s="176">
        <v>420.0</v>
      </c>
      <c r="AF92" s="176">
        <v>240.0</v>
      </c>
      <c r="AG92" s="176" t="s">
        <v>245</v>
      </c>
      <c r="AH92" s="176" t="s">
        <v>245</v>
      </c>
      <c r="AI92" s="176" t="s">
        <v>245</v>
      </c>
      <c r="AJ92" s="176" t="s">
        <v>245</v>
      </c>
      <c r="AK92" s="176" t="s">
        <v>245</v>
      </c>
      <c r="AL92" s="176" t="s">
        <v>245</v>
      </c>
      <c r="AM92" s="176" t="s">
        <v>245</v>
      </c>
      <c r="AN92" s="178" t="s">
        <v>245</v>
      </c>
      <c r="AO92" s="176">
        <v>1631.66</v>
      </c>
      <c r="AP92" s="176">
        <v>3909.91</v>
      </c>
      <c r="AQ92" s="176">
        <v>3247.93</v>
      </c>
      <c r="AR92" s="176">
        <v>0.0</v>
      </c>
      <c r="AS92" s="176">
        <v>223.14</v>
      </c>
      <c r="AT92" s="176">
        <v>226.97</v>
      </c>
      <c r="AU92" s="176">
        <v>681.81</v>
      </c>
      <c r="AV92" s="176">
        <v>2813.0</v>
      </c>
      <c r="AW92" s="176" t="s">
        <v>245</v>
      </c>
      <c r="AX92" s="177" t="s">
        <v>245</v>
      </c>
      <c r="AY92" s="177" t="s">
        <v>245</v>
      </c>
    </row>
    <row r="93">
      <c r="B93" s="174" t="s">
        <v>163</v>
      </c>
      <c r="C93" s="175">
        <f t="shared" si="27"/>
        <v>16667</v>
      </c>
      <c r="D93" s="176">
        <v>675.0</v>
      </c>
      <c r="E93" s="176">
        <v>408.0</v>
      </c>
      <c r="F93" s="176" t="s">
        <v>245</v>
      </c>
      <c r="G93" s="177">
        <v>210.0</v>
      </c>
      <c r="H93" s="176">
        <v>80.0</v>
      </c>
      <c r="I93" s="176" t="s">
        <v>245</v>
      </c>
      <c r="J93" s="176">
        <v>0.0</v>
      </c>
      <c r="K93" s="176">
        <v>0.0</v>
      </c>
      <c r="L93" s="176">
        <v>130.0</v>
      </c>
      <c r="M93" s="176" t="s">
        <v>245</v>
      </c>
      <c r="N93" s="176" t="s">
        <v>245</v>
      </c>
      <c r="O93" s="176" t="s">
        <v>245</v>
      </c>
      <c r="P93" s="176" t="s">
        <v>245</v>
      </c>
      <c r="Q93" s="176">
        <v>275.0</v>
      </c>
      <c r="R93" s="176">
        <v>135.0</v>
      </c>
      <c r="S93" s="176">
        <v>0.0</v>
      </c>
      <c r="T93" s="176">
        <v>0.0</v>
      </c>
      <c r="U93" s="176">
        <v>15.0</v>
      </c>
      <c r="V93" s="176">
        <v>0.0</v>
      </c>
      <c r="W93" s="176" t="s">
        <v>245</v>
      </c>
      <c r="X93" s="176" t="s">
        <v>245</v>
      </c>
      <c r="Y93" s="176" t="s">
        <v>245</v>
      </c>
      <c r="Z93" s="176">
        <v>10.0</v>
      </c>
      <c r="AA93" s="176">
        <v>0.0</v>
      </c>
      <c r="AB93" s="176">
        <v>313.25</v>
      </c>
      <c r="AC93" s="177">
        <v>8.0</v>
      </c>
      <c r="AD93" s="176">
        <v>240.0</v>
      </c>
      <c r="AE93" s="176">
        <v>210.0</v>
      </c>
      <c r="AF93" s="176">
        <v>270.0</v>
      </c>
      <c r="AG93" s="176" t="s">
        <v>245</v>
      </c>
      <c r="AH93" s="176" t="s">
        <v>245</v>
      </c>
      <c r="AI93" s="176" t="s">
        <v>245</v>
      </c>
      <c r="AJ93" s="176" t="s">
        <v>245</v>
      </c>
      <c r="AK93" s="176" t="s">
        <v>245</v>
      </c>
      <c r="AL93" s="176" t="s">
        <v>245</v>
      </c>
      <c r="AM93" s="176" t="s">
        <v>245</v>
      </c>
      <c r="AN93" s="178" t="s">
        <v>245</v>
      </c>
      <c r="AO93" s="176">
        <v>1405.76</v>
      </c>
      <c r="AP93" s="176">
        <v>3103.83</v>
      </c>
      <c r="AQ93" s="176">
        <v>5412.31</v>
      </c>
      <c r="AR93" s="176">
        <v>417.5</v>
      </c>
      <c r="AS93" s="176">
        <v>218.18</v>
      </c>
      <c r="AT93" s="176">
        <v>375.09</v>
      </c>
      <c r="AU93" s="176">
        <v>190.08</v>
      </c>
      <c r="AV93" s="176">
        <v>2565.0</v>
      </c>
      <c r="AW93" s="176" t="s">
        <v>245</v>
      </c>
      <c r="AX93" s="177" t="s">
        <v>245</v>
      </c>
      <c r="AY93" s="177" t="s">
        <v>245</v>
      </c>
    </row>
    <row r="94">
      <c r="B94" s="174" t="s">
        <v>161</v>
      </c>
      <c r="C94" s="175">
        <f t="shared" si="27"/>
        <v>12020.31</v>
      </c>
      <c r="D94" s="176">
        <v>440.0</v>
      </c>
      <c r="E94" s="176">
        <v>252.0</v>
      </c>
      <c r="F94" s="176" t="s">
        <v>245</v>
      </c>
      <c r="G94" s="177">
        <v>370.0</v>
      </c>
      <c r="H94" s="176">
        <v>0.0</v>
      </c>
      <c r="I94" s="176" t="s">
        <v>245</v>
      </c>
      <c r="J94" s="176">
        <v>0.0</v>
      </c>
      <c r="K94" s="176">
        <v>0.0</v>
      </c>
      <c r="L94" s="176">
        <v>75.0</v>
      </c>
      <c r="M94" s="176" t="s">
        <v>245</v>
      </c>
      <c r="N94" s="176" t="s">
        <v>245</v>
      </c>
      <c r="O94" s="176" t="s">
        <v>245</v>
      </c>
      <c r="P94" s="176" t="s">
        <v>245</v>
      </c>
      <c r="Q94" s="176">
        <v>75.0</v>
      </c>
      <c r="R94" s="176">
        <v>165.0</v>
      </c>
      <c r="S94" s="176">
        <v>15.0</v>
      </c>
      <c r="T94" s="176">
        <v>0.0</v>
      </c>
      <c r="U94" s="176">
        <v>15.0</v>
      </c>
      <c r="V94" s="176">
        <v>0.0</v>
      </c>
      <c r="W94" s="176" t="s">
        <v>245</v>
      </c>
      <c r="X94" s="176" t="s">
        <v>245</v>
      </c>
      <c r="Y94" s="176" t="s">
        <v>245</v>
      </c>
      <c r="Z94" s="176">
        <v>5.0</v>
      </c>
      <c r="AA94" s="176">
        <v>15.0</v>
      </c>
      <c r="AB94" s="176">
        <v>266.0</v>
      </c>
      <c r="AC94" s="177">
        <v>4.0</v>
      </c>
      <c r="AD94" s="176">
        <v>150.0</v>
      </c>
      <c r="AE94" s="176">
        <v>0.0</v>
      </c>
      <c r="AF94" s="176">
        <v>0.0</v>
      </c>
      <c r="AG94" s="176" t="s">
        <v>245</v>
      </c>
      <c r="AH94" s="176" t="s">
        <v>245</v>
      </c>
      <c r="AI94" s="176" t="s">
        <v>245</v>
      </c>
      <c r="AJ94" s="176" t="s">
        <v>245</v>
      </c>
      <c r="AK94" s="176" t="s">
        <v>245</v>
      </c>
      <c r="AL94" s="176" t="s">
        <v>245</v>
      </c>
      <c r="AM94" s="176" t="s">
        <v>245</v>
      </c>
      <c r="AN94" s="178" t="s">
        <v>245</v>
      </c>
      <c r="AO94" s="176">
        <v>1292.82</v>
      </c>
      <c r="AP94" s="176">
        <v>3503.29</v>
      </c>
      <c r="AQ94" s="176">
        <v>1401.65</v>
      </c>
      <c r="AR94" s="176">
        <v>0.0</v>
      </c>
      <c r="AS94" s="176">
        <v>145.45</v>
      </c>
      <c r="AT94" s="176">
        <v>262.57</v>
      </c>
      <c r="AU94" s="176">
        <v>1235.53</v>
      </c>
      <c r="AV94" s="176">
        <v>2332.0</v>
      </c>
      <c r="AW94" s="176" t="s">
        <v>245</v>
      </c>
      <c r="AX94" s="177" t="s">
        <v>245</v>
      </c>
      <c r="AY94" s="177" t="s">
        <v>245</v>
      </c>
    </row>
    <row r="95">
      <c r="B95" s="174" t="s">
        <v>159</v>
      </c>
      <c r="C95" s="175">
        <f t="shared" si="27"/>
        <v>18072.24</v>
      </c>
      <c r="D95" s="176">
        <v>625.0</v>
      </c>
      <c r="E95" s="176">
        <v>318.0</v>
      </c>
      <c r="F95" s="176" t="s">
        <v>245</v>
      </c>
      <c r="G95" s="177">
        <v>380.0</v>
      </c>
      <c r="H95" s="176">
        <v>0.0</v>
      </c>
      <c r="I95" s="176" t="s">
        <v>245</v>
      </c>
      <c r="J95" s="176">
        <v>0.0</v>
      </c>
      <c r="K95" s="176">
        <v>0.0</v>
      </c>
      <c r="L95" s="176">
        <v>280.0</v>
      </c>
      <c r="M95" s="176" t="s">
        <v>245</v>
      </c>
      <c r="N95" s="176" t="s">
        <v>245</v>
      </c>
      <c r="O95" s="176" t="s">
        <v>245</v>
      </c>
      <c r="P95" s="176" t="s">
        <v>245</v>
      </c>
      <c r="Q95" s="176">
        <v>125.0</v>
      </c>
      <c r="R95" s="176">
        <v>345.0</v>
      </c>
      <c r="S95" s="176">
        <v>5.0</v>
      </c>
      <c r="T95" s="176">
        <v>0.0</v>
      </c>
      <c r="U95" s="176">
        <v>0.0</v>
      </c>
      <c r="V95" s="176">
        <v>0.0</v>
      </c>
      <c r="W95" s="176" t="s">
        <v>245</v>
      </c>
      <c r="X95" s="176" t="s">
        <v>245</v>
      </c>
      <c r="Y95" s="176" t="s">
        <v>245</v>
      </c>
      <c r="Z95" s="176">
        <v>0.0</v>
      </c>
      <c r="AA95" s="176">
        <v>65.0</v>
      </c>
      <c r="AB95" s="176">
        <v>286.0</v>
      </c>
      <c r="AC95" s="177">
        <v>8.0</v>
      </c>
      <c r="AD95" s="176">
        <v>225.0</v>
      </c>
      <c r="AE95" s="176">
        <v>0.0</v>
      </c>
      <c r="AF95" s="176">
        <v>0.0</v>
      </c>
      <c r="AG95" s="176" t="s">
        <v>245</v>
      </c>
      <c r="AH95" s="176" t="s">
        <v>245</v>
      </c>
      <c r="AI95" s="176" t="s">
        <v>245</v>
      </c>
      <c r="AJ95" s="176" t="s">
        <v>245</v>
      </c>
      <c r="AK95" s="176" t="s">
        <v>245</v>
      </c>
      <c r="AL95" s="176" t="s">
        <v>245</v>
      </c>
      <c r="AM95" s="176" t="s">
        <v>245</v>
      </c>
      <c r="AN95" s="178" t="s">
        <v>245</v>
      </c>
      <c r="AO95" s="176">
        <v>1782.67</v>
      </c>
      <c r="AP95" s="176">
        <v>5345.44</v>
      </c>
      <c r="AQ95" s="176">
        <v>4083.47</v>
      </c>
      <c r="AR95" s="176">
        <v>190.5</v>
      </c>
      <c r="AS95" s="176">
        <v>72.72</v>
      </c>
      <c r="AT95" s="176">
        <v>340.87</v>
      </c>
      <c r="AU95" s="176">
        <v>1111.57</v>
      </c>
      <c r="AV95" s="176">
        <v>2483.0</v>
      </c>
      <c r="AW95" s="176" t="s">
        <v>245</v>
      </c>
      <c r="AX95" s="177" t="s">
        <v>245</v>
      </c>
      <c r="AY95" s="177" t="s">
        <v>245</v>
      </c>
    </row>
    <row r="96">
      <c r="B96" s="174" t="s">
        <v>246</v>
      </c>
      <c r="C96" s="175">
        <f t="shared" si="27"/>
        <v>6993.22</v>
      </c>
      <c r="D96" s="176">
        <v>0.0</v>
      </c>
      <c r="E96" s="176">
        <v>160.0</v>
      </c>
      <c r="F96" s="176">
        <v>220.0</v>
      </c>
      <c r="G96" s="177">
        <v>10.0</v>
      </c>
      <c r="H96" s="176" t="s">
        <v>245</v>
      </c>
      <c r="I96" s="176">
        <v>0.0</v>
      </c>
      <c r="J96" s="176" t="s">
        <v>245</v>
      </c>
      <c r="K96" s="176" t="s">
        <v>245</v>
      </c>
      <c r="L96" s="176" t="s">
        <v>245</v>
      </c>
      <c r="M96" s="176">
        <v>200.0</v>
      </c>
      <c r="N96" s="176">
        <v>200.0</v>
      </c>
      <c r="O96" s="176">
        <v>100.0</v>
      </c>
      <c r="P96" s="176">
        <v>20.0</v>
      </c>
      <c r="Q96" s="176" t="s">
        <v>245</v>
      </c>
      <c r="R96" s="176" t="s">
        <v>245</v>
      </c>
      <c r="S96" s="176" t="s">
        <v>245</v>
      </c>
      <c r="T96" s="176" t="s">
        <v>245</v>
      </c>
      <c r="U96" s="176" t="s">
        <v>245</v>
      </c>
      <c r="V96" s="176" t="s">
        <v>245</v>
      </c>
      <c r="W96" s="176">
        <v>100.0</v>
      </c>
      <c r="X96" s="176">
        <v>18.0</v>
      </c>
      <c r="Y96" s="176">
        <v>0.0</v>
      </c>
      <c r="Z96" s="176" t="s">
        <v>245</v>
      </c>
      <c r="AA96" s="176" t="s">
        <v>245</v>
      </c>
      <c r="AB96" s="176" t="s">
        <v>245</v>
      </c>
      <c r="AC96" s="178" t="s">
        <v>245</v>
      </c>
      <c r="AD96" s="176" t="s">
        <v>245</v>
      </c>
      <c r="AE96" s="176" t="s">
        <v>245</v>
      </c>
      <c r="AF96" s="176" t="s">
        <v>245</v>
      </c>
      <c r="AG96" s="176">
        <v>350.0</v>
      </c>
      <c r="AH96" s="176" t="s">
        <v>245</v>
      </c>
      <c r="AI96" s="176" t="s">
        <v>245</v>
      </c>
      <c r="AJ96" s="176" t="s">
        <v>245</v>
      </c>
      <c r="AK96" s="176">
        <v>500.0</v>
      </c>
      <c r="AL96" s="176">
        <v>696.0</v>
      </c>
      <c r="AM96" s="176">
        <v>340.0</v>
      </c>
      <c r="AN96" s="177">
        <v>300.0</v>
      </c>
      <c r="AO96" s="176">
        <v>465.17</v>
      </c>
      <c r="AP96" s="176">
        <v>531.0</v>
      </c>
      <c r="AQ96" s="176" t="s">
        <v>245</v>
      </c>
      <c r="AR96" s="176" t="s">
        <v>245</v>
      </c>
      <c r="AS96" s="176">
        <v>33.05</v>
      </c>
      <c r="AT96" s="176">
        <v>0.0</v>
      </c>
      <c r="AU96" s="176" t="s">
        <v>245</v>
      </c>
      <c r="AV96" s="185" t="s">
        <v>245</v>
      </c>
      <c r="AW96" s="176">
        <v>2400.0</v>
      </c>
      <c r="AX96" s="177">
        <v>350.0</v>
      </c>
      <c r="AY96" s="177" t="s">
        <v>245</v>
      </c>
    </row>
    <row r="97">
      <c r="B97" s="174" t="s">
        <v>247</v>
      </c>
      <c r="C97" s="175">
        <f t="shared" si="27"/>
        <v>4432</v>
      </c>
      <c r="D97" s="176">
        <v>50.0</v>
      </c>
      <c r="E97" s="176">
        <v>160.0</v>
      </c>
      <c r="F97" s="176">
        <v>150.0</v>
      </c>
      <c r="G97" s="177">
        <v>40.0</v>
      </c>
      <c r="H97" s="176" t="s">
        <v>245</v>
      </c>
      <c r="I97" s="176">
        <v>0.0</v>
      </c>
      <c r="J97" s="176" t="s">
        <v>245</v>
      </c>
      <c r="K97" s="176" t="s">
        <v>245</v>
      </c>
      <c r="L97" s="176" t="s">
        <v>245</v>
      </c>
      <c r="M97" s="176">
        <v>200.0</v>
      </c>
      <c r="N97" s="176">
        <v>0.0</v>
      </c>
      <c r="O97" s="176">
        <v>70.0</v>
      </c>
      <c r="P97" s="176">
        <v>0.0</v>
      </c>
      <c r="Q97" s="176" t="s">
        <v>245</v>
      </c>
      <c r="R97" s="176" t="s">
        <v>245</v>
      </c>
      <c r="S97" s="176" t="s">
        <v>245</v>
      </c>
      <c r="T97" s="176" t="s">
        <v>245</v>
      </c>
      <c r="U97" s="176" t="s">
        <v>245</v>
      </c>
      <c r="V97" s="176" t="s">
        <v>245</v>
      </c>
      <c r="W97" s="176">
        <v>25.0</v>
      </c>
      <c r="X97" s="176">
        <v>72.0</v>
      </c>
      <c r="Y97" s="176">
        <v>0.0</v>
      </c>
      <c r="Z97" s="176" t="s">
        <v>245</v>
      </c>
      <c r="AA97" s="176" t="s">
        <v>245</v>
      </c>
      <c r="AB97" s="176" t="s">
        <v>245</v>
      </c>
      <c r="AC97" s="178" t="s">
        <v>245</v>
      </c>
      <c r="AD97" s="176" t="s">
        <v>245</v>
      </c>
      <c r="AE97" s="176" t="s">
        <v>245</v>
      </c>
      <c r="AF97" s="176" t="s">
        <v>245</v>
      </c>
      <c r="AG97" s="176">
        <v>430.0</v>
      </c>
      <c r="AH97" s="176" t="s">
        <v>245</v>
      </c>
      <c r="AI97" s="176" t="s">
        <v>245</v>
      </c>
      <c r="AJ97" s="176" t="s">
        <v>245</v>
      </c>
      <c r="AK97" s="176">
        <v>310.0</v>
      </c>
      <c r="AL97" s="176">
        <v>480.0</v>
      </c>
      <c r="AM97" s="176">
        <v>25.0</v>
      </c>
      <c r="AN97" s="177">
        <v>210.0</v>
      </c>
      <c r="AQ97" s="176" t="s">
        <v>245</v>
      </c>
      <c r="AR97" s="176" t="s">
        <v>245</v>
      </c>
      <c r="AU97" s="176" t="s">
        <v>245</v>
      </c>
      <c r="AV97" s="185" t="s">
        <v>245</v>
      </c>
      <c r="AW97" s="176">
        <v>1860.0</v>
      </c>
      <c r="AX97" s="177">
        <v>350.0</v>
      </c>
      <c r="AY97" s="177" t="s">
        <v>245</v>
      </c>
    </row>
    <row r="98">
      <c r="B98" s="174" t="s">
        <v>249</v>
      </c>
      <c r="C98" s="175">
        <f t="shared" si="27"/>
        <v>5144</v>
      </c>
      <c r="D98" s="176">
        <v>0.0</v>
      </c>
      <c r="E98" s="176">
        <v>10.0</v>
      </c>
      <c r="F98" s="176">
        <v>20.0</v>
      </c>
      <c r="G98" s="177">
        <v>0.0</v>
      </c>
      <c r="H98" s="176" t="s">
        <v>245</v>
      </c>
      <c r="I98" s="176">
        <v>0.0</v>
      </c>
      <c r="J98" s="176" t="s">
        <v>245</v>
      </c>
      <c r="K98" s="176" t="s">
        <v>245</v>
      </c>
      <c r="L98" s="176" t="s">
        <v>245</v>
      </c>
      <c r="M98" s="176">
        <v>0.0</v>
      </c>
      <c r="N98" s="176">
        <v>200.0</v>
      </c>
      <c r="O98" s="176">
        <v>80.0</v>
      </c>
      <c r="P98" s="176">
        <v>0.0</v>
      </c>
      <c r="Q98" s="176" t="s">
        <v>245</v>
      </c>
      <c r="R98" s="176" t="s">
        <v>245</v>
      </c>
      <c r="S98" s="176" t="s">
        <v>245</v>
      </c>
      <c r="T98" s="176" t="s">
        <v>245</v>
      </c>
      <c r="U98" s="176" t="s">
        <v>245</v>
      </c>
      <c r="V98" s="176" t="s">
        <v>245</v>
      </c>
      <c r="W98" s="176">
        <v>50.0</v>
      </c>
      <c r="X98" s="176">
        <v>54.0</v>
      </c>
      <c r="Y98" s="176">
        <v>30.0</v>
      </c>
      <c r="Z98" s="176" t="s">
        <v>245</v>
      </c>
      <c r="AA98" s="176" t="s">
        <v>245</v>
      </c>
      <c r="AB98" s="176" t="s">
        <v>245</v>
      </c>
      <c r="AC98" s="178" t="s">
        <v>245</v>
      </c>
      <c r="AD98" s="176" t="s">
        <v>245</v>
      </c>
      <c r="AE98" s="176" t="s">
        <v>245</v>
      </c>
      <c r="AF98" s="176" t="s">
        <v>245</v>
      </c>
      <c r="AG98" s="176">
        <v>0.0</v>
      </c>
      <c r="AH98" s="176" t="s">
        <v>245</v>
      </c>
      <c r="AI98" s="176" t="s">
        <v>245</v>
      </c>
      <c r="AJ98" s="176" t="s">
        <v>245</v>
      </c>
      <c r="AK98" s="176">
        <v>380.0</v>
      </c>
      <c r="AL98" s="176">
        <v>420.0</v>
      </c>
      <c r="AM98" s="176">
        <v>0.0</v>
      </c>
      <c r="AN98" s="177">
        <v>240.0</v>
      </c>
      <c r="AQ98" s="176" t="s">
        <v>245</v>
      </c>
      <c r="AR98" s="176" t="s">
        <v>245</v>
      </c>
      <c r="AU98" s="176" t="s">
        <v>245</v>
      </c>
      <c r="AV98" s="185" t="s">
        <v>245</v>
      </c>
      <c r="AW98" s="176">
        <v>2260.0</v>
      </c>
      <c r="AX98" s="177">
        <v>1400.0</v>
      </c>
      <c r="AY98" s="177" t="s">
        <v>245</v>
      </c>
    </row>
    <row r="99">
      <c r="B99" s="174" t="s">
        <v>250</v>
      </c>
      <c r="C99" s="175">
        <f t="shared" si="27"/>
        <v>6243</v>
      </c>
      <c r="D99" s="176">
        <v>150.0</v>
      </c>
      <c r="E99" s="176">
        <v>0.0</v>
      </c>
      <c r="F99" s="176">
        <v>30.0</v>
      </c>
      <c r="G99" s="177">
        <v>0.0</v>
      </c>
      <c r="H99" s="176" t="s">
        <v>245</v>
      </c>
      <c r="I99" s="176">
        <v>0.0</v>
      </c>
      <c r="J99" s="176" t="s">
        <v>245</v>
      </c>
      <c r="K99" s="176" t="s">
        <v>245</v>
      </c>
      <c r="L99" s="176" t="s">
        <v>245</v>
      </c>
      <c r="M99" s="176">
        <v>200.0</v>
      </c>
      <c r="N99" s="176">
        <v>100.0</v>
      </c>
      <c r="O99" s="176">
        <v>60.0</v>
      </c>
      <c r="P99" s="176">
        <v>100.0</v>
      </c>
      <c r="Q99" s="176" t="s">
        <v>245</v>
      </c>
      <c r="R99" s="176" t="s">
        <v>245</v>
      </c>
      <c r="S99" s="176" t="s">
        <v>245</v>
      </c>
      <c r="T99" s="176" t="s">
        <v>245</v>
      </c>
      <c r="U99" s="176" t="s">
        <v>245</v>
      </c>
      <c r="V99" s="176" t="s">
        <v>245</v>
      </c>
      <c r="W99" s="176">
        <v>125.0</v>
      </c>
      <c r="X99" s="176">
        <v>108.0</v>
      </c>
      <c r="Y99" s="176">
        <v>0.0</v>
      </c>
      <c r="Z99" s="176" t="s">
        <v>245</v>
      </c>
      <c r="AA99" s="176" t="s">
        <v>245</v>
      </c>
      <c r="AB99" s="176" t="s">
        <v>245</v>
      </c>
      <c r="AC99" s="178" t="s">
        <v>245</v>
      </c>
      <c r="AD99" s="176" t="s">
        <v>245</v>
      </c>
      <c r="AE99" s="176" t="s">
        <v>245</v>
      </c>
      <c r="AF99" s="176" t="s">
        <v>245</v>
      </c>
      <c r="AG99" s="176">
        <v>0.0</v>
      </c>
      <c r="AH99" s="176" t="s">
        <v>245</v>
      </c>
      <c r="AI99" s="176" t="s">
        <v>245</v>
      </c>
      <c r="AJ99" s="176" t="s">
        <v>245</v>
      </c>
      <c r="AK99" s="176">
        <v>550.0</v>
      </c>
      <c r="AL99" s="176">
        <v>840.0</v>
      </c>
      <c r="AM99" s="176">
        <v>0.0</v>
      </c>
      <c r="AN99" s="177">
        <v>180.0</v>
      </c>
      <c r="AQ99" s="176" t="s">
        <v>245</v>
      </c>
      <c r="AR99" s="176" t="s">
        <v>245</v>
      </c>
      <c r="AU99" s="176" t="s">
        <v>245</v>
      </c>
      <c r="AV99" s="185" t="s">
        <v>245</v>
      </c>
      <c r="AW99" s="176">
        <v>2400.0</v>
      </c>
      <c r="AX99" s="177">
        <v>1400.0</v>
      </c>
      <c r="AY99" s="177" t="s">
        <v>245</v>
      </c>
    </row>
    <row r="100">
      <c r="B100" s="174" t="s">
        <v>251</v>
      </c>
      <c r="C100" s="175">
        <f t="shared" si="27"/>
        <v>5224</v>
      </c>
      <c r="D100" s="176">
        <v>20.0</v>
      </c>
      <c r="E100" s="176">
        <v>0.0</v>
      </c>
      <c r="F100" s="176">
        <v>35.0</v>
      </c>
      <c r="G100" s="177">
        <v>0.0</v>
      </c>
      <c r="H100" s="176" t="s">
        <v>245</v>
      </c>
      <c r="I100" s="176">
        <v>0.0</v>
      </c>
      <c r="J100" s="176" t="s">
        <v>245</v>
      </c>
      <c r="K100" s="176" t="s">
        <v>245</v>
      </c>
      <c r="L100" s="176" t="s">
        <v>245</v>
      </c>
      <c r="M100" s="176">
        <v>100.0</v>
      </c>
      <c r="N100" s="176">
        <v>100.0</v>
      </c>
      <c r="O100" s="176">
        <v>70.0</v>
      </c>
      <c r="P100" s="176">
        <v>80.0</v>
      </c>
      <c r="Q100" s="176" t="s">
        <v>245</v>
      </c>
      <c r="R100" s="176" t="s">
        <v>245</v>
      </c>
      <c r="S100" s="176" t="s">
        <v>245</v>
      </c>
      <c r="T100" s="176" t="s">
        <v>245</v>
      </c>
      <c r="U100" s="176" t="s">
        <v>245</v>
      </c>
      <c r="V100" s="176" t="s">
        <v>245</v>
      </c>
      <c r="W100" s="176">
        <v>0.0</v>
      </c>
      <c r="X100" s="176">
        <v>36.0</v>
      </c>
      <c r="Y100" s="176">
        <v>0.0</v>
      </c>
      <c r="Z100" s="176" t="s">
        <v>245</v>
      </c>
      <c r="AA100" s="176" t="s">
        <v>245</v>
      </c>
      <c r="AB100" s="176" t="s">
        <v>245</v>
      </c>
      <c r="AC100" s="178" t="s">
        <v>245</v>
      </c>
      <c r="AD100" s="176" t="s">
        <v>245</v>
      </c>
      <c r="AE100" s="176" t="s">
        <v>245</v>
      </c>
      <c r="AF100" s="176" t="s">
        <v>245</v>
      </c>
      <c r="AG100" s="176">
        <v>0.0</v>
      </c>
      <c r="AH100" s="176" t="s">
        <v>245</v>
      </c>
      <c r="AI100" s="176" t="s">
        <v>245</v>
      </c>
      <c r="AJ100" s="176" t="s">
        <v>245</v>
      </c>
      <c r="AK100" s="176">
        <v>330.0</v>
      </c>
      <c r="AL100" s="176">
        <v>343.0</v>
      </c>
      <c r="AM100" s="176">
        <v>0.0</v>
      </c>
      <c r="AN100" s="177">
        <v>210.0</v>
      </c>
      <c r="AQ100" s="176" t="s">
        <v>245</v>
      </c>
      <c r="AR100" s="176" t="s">
        <v>245</v>
      </c>
      <c r="AU100" s="176" t="s">
        <v>245</v>
      </c>
      <c r="AV100" s="186" t="s">
        <v>245</v>
      </c>
      <c r="AW100" s="176">
        <v>2500.0</v>
      </c>
      <c r="AX100" s="177">
        <v>1400.0</v>
      </c>
      <c r="AY100" s="177" t="s">
        <v>245</v>
      </c>
    </row>
    <row r="101">
      <c r="A101" s="179"/>
      <c r="B101" s="180" t="s">
        <v>144</v>
      </c>
      <c r="C101" s="181">
        <f t="shared" ref="C101:AG101" si="28">SUM(C91:C100)</f>
        <v>119016.88</v>
      </c>
      <c r="D101" s="182">
        <f t="shared" si="28"/>
        <v>4425</v>
      </c>
      <c r="E101" s="182">
        <f t="shared" si="28"/>
        <v>2372</v>
      </c>
      <c r="F101" s="182">
        <f t="shared" si="28"/>
        <v>455</v>
      </c>
      <c r="G101" s="183">
        <f t="shared" si="28"/>
        <v>1860</v>
      </c>
      <c r="H101" s="182">
        <f t="shared" si="28"/>
        <v>460</v>
      </c>
      <c r="I101" s="182">
        <f t="shared" si="28"/>
        <v>0</v>
      </c>
      <c r="J101" s="182">
        <f t="shared" si="28"/>
        <v>150</v>
      </c>
      <c r="K101" s="182">
        <f t="shared" si="28"/>
        <v>0</v>
      </c>
      <c r="L101" s="182">
        <f t="shared" si="28"/>
        <v>1190</v>
      </c>
      <c r="M101" s="182">
        <f t="shared" si="28"/>
        <v>700</v>
      </c>
      <c r="N101" s="182">
        <f t="shared" si="28"/>
        <v>600</v>
      </c>
      <c r="O101" s="182">
        <f t="shared" si="28"/>
        <v>380</v>
      </c>
      <c r="P101" s="182">
        <f t="shared" si="28"/>
        <v>200</v>
      </c>
      <c r="Q101" s="182">
        <f t="shared" si="28"/>
        <v>1125</v>
      </c>
      <c r="R101" s="182">
        <f t="shared" si="28"/>
        <v>1290</v>
      </c>
      <c r="S101" s="182">
        <f t="shared" si="28"/>
        <v>50</v>
      </c>
      <c r="T101" s="182">
        <f t="shared" si="28"/>
        <v>0</v>
      </c>
      <c r="U101" s="182">
        <f t="shared" si="28"/>
        <v>105</v>
      </c>
      <c r="V101" s="182">
        <f t="shared" si="28"/>
        <v>25</v>
      </c>
      <c r="W101" s="182">
        <f t="shared" si="28"/>
        <v>300</v>
      </c>
      <c r="X101" s="182">
        <f t="shared" si="28"/>
        <v>288</v>
      </c>
      <c r="Y101" s="182">
        <f t="shared" si="28"/>
        <v>30</v>
      </c>
      <c r="Z101" s="182">
        <f t="shared" si="28"/>
        <v>45</v>
      </c>
      <c r="AA101" s="182">
        <f t="shared" si="28"/>
        <v>275</v>
      </c>
      <c r="AB101" s="182">
        <f t="shared" si="28"/>
        <v>2083.25</v>
      </c>
      <c r="AC101" s="183">
        <f t="shared" si="28"/>
        <v>35</v>
      </c>
      <c r="AD101" s="182">
        <f t="shared" si="28"/>
        <v>1440</v>
      </c>
      <c r="AE101" s="182">
        <f t="shared" si="28"/>
        <v>1092</v>
      </c>
      <c r="AF101" s="182">
        <f t="shared" si="28"/>
        <v>870</v>
      </c>
      <c r="AG101" s="182">
        <f t="shared" si="28"/>
        <v>780</v>
      </c>
      <c r="AH101" s="182">
        <v>0.0</v>
      </c>
      <c r="AI101" s="182">
        <v>0.0</v>
      </c>
      <c r="AJ101" s="182">
        <v>0.0</v>
      </c>
      <c r="AK101" s="182">
        <f t="shared" ref="AK101:AX101" si="29">SUM(AK91:AK100)</f>
        <v>2070</v>
      </c>
      <c r="AL101" s="182">
        <f t="shared" si="29"/>
        <v>2779</v>
      </c>
      <c r="AM101" s="182">
        <f t="shared" si="29"/>
        <v>365</v>
      </c>
      <c r="AN101" s="183">
        <f t="shared" si="29"/>
        <v>1140</v>
      </c>
      <c r="AO101" s="182">
        <f t="shared" si="29"/>
        <v>9064.59</v>
      </c>
      <c r="AP101" s="182">
        <f t="shared" si="29"/>
        <v>22992.64</v>
      </c>
      <c r="AQ101" s="182">
        <f t="shared" si="29"/>
        <v>20697.42</v>
      </c>
      <c r="AR101" s="182">
        <f t="shared" si="29"/>
        <v>910</v>
      </c>
      <c r="AS101" s="182">
        <f t="shared" si="29"/>
        <v>844.6</v>
      </c>
      <c r="AT101" s="182">
        <f t="shared" si="29"/>
        <v>1861.7</v>
      </c>
      <c r="AU101" s="182">
        <f t="shared" si="29"/>
        <v>3615.68</v>
      </c>
      <c r="AV101" s="182">
        <f t="shared" si="29"/>
        <v>13731</v>
      </c>
      <c r="AW101" s="182">
        <f t="shared" si="29"/>
        <v>11420</v>
      </c>
      <c r="AX101" s="183">
        <f t="shared" si="29"/>
        <v>4900</v>
      </c>
      <c r="AY101" s="183">
        <v>3089.1</v>
      </c>
    </row>
    <row r="102">
      <c r="A102" s="173" t="s">
        <v>260</v>
      </c>
      <c r="B102" s="174" t="s">
        <v>164</v>
      </c>
      <c r="C102" s="175">
        <f t="shared" ref="C102:C111" si="30">SUM(D102:AY102)</f>
        <v>28905.94</v>
      </c>
      <c r="D102" s="176">
        <v>718.0</v>
      </c>
      <c r="E102" s="176">
        <v>478.0</v>
      </c>
      <c r="F102" s="176" t="s">
        <v>245</v>
      </c>
      <c r="G102" s="177">
        <v>310.0</v>
      </c>
      <c r="H102" s="176">
        <v>200.0</v>
      </c>
      <c r="I102" s="176" t="s">
        <v>245</v>
      </c>
      <c r="J102" s="176">
        <v>150.0</v>
      </c>
      <c r="K102" s="176">
        <v>0.0</v>
      </c>
      <c r="L102" s="176">
        <v>170.0</v>
      </c>
      <c r="M102" s="176" t="s">
        <v>245</v>
      </c>
      <c r="N102" s="176" t="s">
        <v>245</v>
      </c>
      <c r="O102" s="176" t="s">
        <v>245</v>
      </c>
      <c r="P102" s="176" t="s">
        <v>245</v>
      </c>
      <c r="Q102" s="176">
        <v>506.0</v>
      </c>
      <c r="R102" s="176">
        <v>364.0</v>
      </c>
      <c r="S102" s="176">
        <v>0.0</v>
      </c>
      <c r="T102" s="176">
        <v>23.0</v>
      </c>
      <c r="U102" s="176">
        <v>0.0</v>
      </c>
      <c r="V102" s="176">
        <v>4.0</v>
      </c>
      <c r="W102" s="176" t="s">
        <v>245</v>
      </c>
      <c r="X102" s="176" t="s">
        <v>245</v>
      </c>
      <c r="Y102" s="176" t="s">
        <v>245</v>
      </c>
      <c r="Z102" s="176">
        <v>40.0</v>
      </c>
      <c r="AA102" s="176">
        <v>180.0</v>
      </c>
      <c r="AB102" s="176">
        <v>385.5</v>
      </c>
      <c r="AC102" s="177">
        <v>63.0</v>
      </c>
      <c r="AD102" s="176">
        <v>270.0</v>
      </c>
      <c r="AE102" s="176">
        <v>420.0</v>
      </c>
      <c r="AF102" s="176">
        <v>0.0</v>
      </c>
      <c r="AG102" s="176" t="s">
        <v>245</v>
      </c>
      <c r="AH102" s="176" t="s">
        <v>245</v>
      </c>
      <c r="AI102" s="176" t="s">
        <v>245</v>
      </c>
      <c r="AJ102" s="176" t="s">
        <v>245</v>
      </c>
      <c r="AK102" s="176" t="s">
        <v>245</v>
      </c>
      <c r="AL102" s="176" t="s">
        <v>245</v>
      </c>
      <c r="AM102" s="176" t="s">
        <v>245</v>
      </c>
      <c r="AN102" s="178" t="s">
        <v>245</v>
      </c>
      <c r="AO102" s="176">
        <v>2651.66</v>
      </c>
      <c r="AP102" s="176">
        <v>6369.42</v>
      </c>
      <c r="AQ102" s="176">
        <v>14595.04</v>
      </c>
      <c r="AR102" s="176">
        <v>30.5</v>
      </c>
      <c r="AS102" s="176">
        <v>171.9</v>
      </c>
      <c r="AT102" s="176">
        <v>516.67</v>
      </c>
      <c r="AU102" s="176">
        <v>289.25</v>
      </c>
      <c r="AV102" s="187"/>
      <c r="AW102" s="176" t="s">
        <v>245</v>
      </c>
      <c r="AX102" s="177" t="s">
        <v>245</v>
      </c>
      <c r="AY102" s="177" t="s">
        <v>245</v>
      </c>
    </row>
    <row r="103">
      <c r="B103" s="174" t="s">
        <v>155</v>
      </c>
      <c r="C103" s="175">
        <f t="shared" si="30"/>
        <v>17188.94</v>
      </c>
      <c r="D103" s="176">
        <v>390.0</v>
      </c>
      <c r="E103" s="176">
        <v>500.0</v>
      </c>
      <c r="F103" s="176" t="s">
        <v>245</v>
      </c>
      <c r="G103" s="177">
        <v>180.0</v>
      </c>
      <c r="H103" s="176">
        <v>160.0</v>
      </c>
      <c r="I103" s="176" t="s">
        <v>245</v>
      </c>
      <c r="J103" s="176">
        <v>0.0</v>
      </c>
      <c r="K103" s="176">
        <v>0.0</v>
      </c>
      <c r="L103" s="176">
        <v>155.0</v>
      </c>
      <c r="M103" s="176" t="s">
        <v>245</v>
      </c>
      <c r="N103" s="176" t="s">
        <v>245</v>
      </c>
      <c r="O103" s="176" t="s">
        <v>245</v>
      </c>
      <c r="P103" s="176" t="s">
        <v>245</v>
      </c>
      <c r="Q103" s="176">
        <v>184.0</v>
      </c>
      <c r="R103" s="176">
        <v>143.0</v>
      </c>
      <c r="S103" s="176">
        <v>16.0</v>
      </c>
      <c r="T103" s="176">
        <v>46.0</v>
      </c>
      <c r="U103" s="176">
        <v>0.0</v>
      </c>
      <c r="V103" s="176">
        <v>8.0</v>
      </c>
      <c r="W103" s="176" t="s">
        <v>245</v>
      </c>
      <c r="X103" s="176" t="s">
        <v>245</v>
      </c>
      <c r="Y103" s="176" t="s">
        <v>245</v>
      </c>
      <c r="Z103" s="176">
        <v>0.0</v>
      </c>
      <c r="AA103" s="176">
        <v>60.0</v>
      </c>
      <c r="AB103" s="176">
        <v>291.75</v>
      </c>
      <c r="AC103" s="177">
        <v>27.0</v>
      </c>
      <c r="AD103" s="176">
        <v>0.0</v>
      </c>
      <c r="AE103" s="176">
        <v>294.0</v>
      </c>
      <c r="AF103" s="176">
        <v>0.0</v>
      </c>
      <c r="AG103" s="176" t="s">
        <v>245</v>
      </c>
      <c r="AH103" s="176" t="s">
        <v>245</v>
      </c>
      <c r="AI103" s="176" t="s">
        <v>245</v>
      </c>
      <c r="AJ103" s="176" t="s">
        <v>245</v>
      </c>
      <c r="AK103" s="176" t="s">
        <v>245</v>
      </c>
      <c r="AL103" s="176" t="s">
        <v>245</v>
      </c>
      <c r="AM103" s="176" t="s">
        <v>245</v>
      </c>
      <c r="AN103" s="178" t="s">
        <v>245</v>
      </c>
      <c r="AO103" s="176">
        <v>1571.81</v>
      </c>
      <c r="AP103" s="176">
        <v>6123.68</v>
      </c>
      <c r="AQ103" s="176">
        <v>6085.12</v>
      </c>
      <c r="AR103" s="176">
        <v>30.0</v>
      </c>
      <c r="AS103" s="176">
        <v>163.63</v>
      </c>
      <c r="AT103" s="176">
        <v>367.39</v>
      </c>
      <c r="AU103" s="176">
        <v>392.56</v>
      </c>
      <c r="AV103" s="187"/>
      <c r="AW103" s="176" t="s">
        <v>245</v>
      </c>
      <c r="AX103" s="177" t="s">
        <v>245</v>
      </c>
      <c r="AY103" s="177" t="s">
        <v>245</v>
      </c>
    </row>
    <row r="104">
      <c r="B104" s="174" t="s">
        <v>163</v>
      </c>
      <c r="C104" s="175">
        <f t="shared" si="30"/>
        <v>9360.27</v>
      </c>
      <c r="D104" s="176">
        <v>327.0</v>
      </c>
      <c r="E104" s="176">
        <v>510.0</v>
      </c>
      <c r="F104" s="176" t="s">
        <v>245</v>
      </c>
      <c r="G104" s="177">
        <v>40.0</v>
      </c>
      <c r="H104" s="176">
        <v>120.0</v>
      </c>
      <c r="I104" s="176" t="s">
        <v>245</v>
      </c>
      <c r="J104" s="176">
        <v>0.0</v>
      </c>
      <c r="K104" s="176">
        <v>0.0</v>
      </c>
      <c r="L104" s="176">
        <v>95.0</v>
      </c>
      <c r="M104" s="176" t="s">
        <v>245</v>
      </c>
      <c r="N104" s="176" t="s">
        <v>245</v>
      </c>
      <c r="O104" s="176" t="s">
        <v>245</v>
      </c>
      <c r="P104" s="176" t="s">
        <v>245</v>
      </c>
      <c r="Q104" s="176">
        <v>115.0</v>
      </c>
      <c r="R104" s="176">
        <v>130.0</v>
      </c>
      <c r="S104" s="176">
        <v>0.0</v>
      </c>
      <c r="T104" s="176">
        <v>0.0</v>
      </c>
      <c r="U104" s="176">
        <v>0.0</v>
      </c>
      <c r="V104" s="176">
        <v>0.0</v>
      </c>
      <c r="W104" s="176" t="s">
        <v>245</v>
      </c>
      <c r="X104" s="176" t="s">
        <v>245</v>
      </c>
      <c r="Y104" s="176" t="s">
        <v>245</v>
      </c>
      <c r="Z104" s="176">
        <v>50.0</v>
      </c>
      <c r="AA104" s="176">
        <v>0.0</v>
      </c>
      <c r="AB104" s="176">
        <v>161.25</v>
      </c>
      <c r="AC104" s="177">
        <v>36.0</v>
      </c>
      <c r="AD104" s="176">
        <v>0.0</v>
      </c>
      <c r="AE104" s="176">
        <v>210.0</v>
      </c>
      <c r="AF104" s="176">
        <v>150.0</v>
      </c>
      <c r="AG104" s="176" t="s">
        <v>245</v>
      </c>
      <c r="AH104" s="176" t="s">
        <v>245</v>
      </c>
      <c r="AI104" s="176" t="s">
        <v>245</v>
      </c>
      <c r="AJ104" s="176" t="s">
        <v>245</v>
      </c>
      <c r="AK104" s="176" t="s">
        <v>245</v>
      </c>
      <c r="AL104" s="176" t="s">
        <v>245</v>
      </c>
      <c r="AM104" s="176" t="s">
        <v>245</v>
      </c>
      <c r="AN104" s="178" t="s">
        <v>245</v>
      </c>
      <c r="AO104" s="176">
        <v>884.01</v>
      </c>
      <c r="AP104" s="176">
        <v>3442.97</v>
      </c>
      <c r="AQ104" s="176">
        <v>2417.35</v>
      </c>
      <c r="AR104" s="176">
        <v>0.0</v>
      </c>
      <c r="AS104" s="176">
        <v>79.33</v>
      </c>
      <c r="AT104" s="176">
        <v>402.28</v>
      </c>
      <c r="AU104" s="176">
        <v>190.08</v>
      </c>
      <c r="AV104" s="187"/>
      <c r="AW104" s="176" t="s">
        <v>245</v>
      </c>
      <c r="AX104" s="177" t="s">
        <v>245</v>
      </c>
      <c r="AY104" s="177" t="s">
        <v>245</v>
      </c>
    </row>
    <row r="105">
      <c r="B105" s="174" t="s">
        <v>161</v>
      </c>
      <c r="C105" s="175">
        <f t="shared" si="30"/>
        <v>10710.43</v>
      </c>
      <c r="D105" s="176">
        <v>234.0</v>
      </c>
      <c r="E105" s="176">
        <v>140.0</v>
      </c>
      <c r="F105" s="176" t="s">
        <v>245</v>
      </c>
      <c r="G105" s="177">
        <v>210.0</v>
      </c>
      <c r="H105" s="176">
        <v>10.0</v>
      </c>
      <c r="I105" s="176" t="s">
        <v>245</v>
      </c>
      <c r="J105" s="176">
        <v>0.0</v>
      </c>
      <c r="K105" s="176">
        <v>0.0</v>
      </c>
      <c r="L105" s="176">
        <v>115.0</v>
      </c>
      <c r="M105" s="176" t="s">
        <v>245</v>
      </c>
      <c r="N105" s="176" t="s">
        <v>245</v>
      </c>
      <c r="O105" s="176" t="s">
        <v>245</v>
      </c>
      <c r="P105" s="176" t="s">
        <v>245</v>
      </c>
      <c r="Q105" s="176">
        <v>92.0</v>
      </c>
      <c r="R105" s="176">
        <v>117.0</v>
      </c>
      <c r="S105" s="176">
        <v>0.0</v>
      </c>
      <c r="T105" s="176">
        <v>0.0</v>
      </c>
      <c r="U105" s="176">
        <v>0.0</v>
      </c>
      <c r="V105" s="176">
        <v>4.0</v>
      </c>
      <c r="W105" s="176" t="s">
        <v>245</v>
      </c>
      <c r="X105" s="176" t="s">
        <v>245</v>
      </c>
      <c r="Y105" s="176" t="s">
        <v>245</v>
      </c>
      <c r="Z105" s="176">
        <v>30.0</v>
      </c>
      <c r="AA105" s="176">
        <v>0.0</v>
      </c>
      <c r="AB105" s="176">
        <v>241.25</v>
      </c>
      <c r="AC105" s="177">
        <v>0.0</v>
      </c>
      <c r="AD105" s="176">
        <v>0.0</v>
      </c>
      <c r="AE105" s="176">
        <v>14.0</v>
      </c>
      <c r="AF105" s="176">
        <v>0.0</v>
      </c>
      <c r="AG105" s="176" t="s">
        <v>245</v>
      </c>
      <c r="AH105" s="176" t="s">
        <v>245</v>
      </c>
      <c r="AI105" s="176" t="s">
        <v>245</v>
      </c>
      <c r="AJ105" s="176" t="s">
        <v>245</v>
      </c>
      <c r="AK105" s="176" t="s">
        <v>245</v>
      </c>
      <c r="AL105" s="176" t="s">
        <v>245</v>
      </c>
      <c r="AM105" s="176" t="s">
        <v>245</v>
      </c>
      <c r="AN105" s="178" t="s">
        <v>245</v>
      </c>
      <c r="AO105" s="176">
        <v>1703.41</v>
      </c>
      <c r="AP105" s="176">
        <v>2990.08</v>
      </c>
      <c r="AQ105" s="176">
        <v>3685.12</v>
      </c>
      <c r="AR105" s="176">
        <v>0.0</v>
      </c>
      <c r="AS105" s="176">
        <v>99.17</v>
      </c>
      <c r="AT105" s="176">
        <v>240.28</v>
      </c>
      <c r="AU105" s="176">
        <v>785.12</v>
      </c>
      <c r="AV105" s="187"/>
      <c r="AW105" s="176" t="s">
        <v>245</v>
      </c>
      <c r="AX105" s="177" t="s">
        <v>245</v>
      </c>
      <c r="AY105" s="177" t="s">
        <v>245</v>
      </c>
    </row>
    <row r="106">
      <c r="B106" s="174" t="s">
        <v>159</v>
      </c>
      <c r="C106" s="175">
        <f t="shared" si="30"/>
        <v>11872.74</v>
      </c>
      <c r="D106" s="176">
        <v>517.0</v>
      </c>
      <c r="E106" s="176">
        <v>220.0</v>
      </c>
      <c r="F106" s="176" t="s">
        <v>245</v>
      </c>
      <c r="G106" s="177">
        <v>310.0</v>
      </c>
      <c r="H106" s="176">
        <v>0.0</v>
      </c>
      <c r="I106" s="176" t="s">
        <v>245</v>
      </c>
      <c r="J106" s="176">
        <v>0.0</v>
      </c>
      <c r="K106" s="176">
        <v>0.0</v>
      </c>
      <c r="L106" s="176">
        <v>75.0</v>
      </c>
      <c r="M106" s="176" t="s">
        <v>245</v>
      </c>
      <c r="N106" s="176" t="s">
        <v>245</v>
      </c>
      <c r="O106" s="176" t="s">
        <v>245</v>
      </c>
      <c r="P106" s="176" t="s">
        <v>245</v>
      </c>
      <c r="Q106" s="176">
        <v>230.0</v>
      </c>
      <c r="R106" s="176">
        <v>182.0</v>
      </c>
      <c r="S106" s="176">
        <v>8.0</v>
      </c>
      <c r="T106" s="176">
        <v>0.0</v>
      </c>
      <c r="U106" s="176">
        <v>0.0</v>
      </c>
      <c r="V106" s="176">
        <v>0.0</v>
      </c>
      <c r="W106" s="176" t="s">
        <v>245</v>
      </c>
      <c r="X106" s="176" t="s">
        <v>245</v>
      </c>
      <c r="Y106" s="176" t="s">
        <v>245</v>
      </c>
      <c r="Z106" s="176">
        <v>20.0</v>
      </c>
      <c r="AA106" s="176"/>
      <c r="AB106" s="176">
        <v>272.25</v>
      </c>
      <c r="AC106" s="177">
        <v>0.0</v>
      </c>
      <c r="AD106" s="176">
        <v>255.0</v>
      </c>
      <c r="AE106" s="176">
        <v>0.0</v>
      </c>
      <c r="AF106" s="176">
        <v>0.0</v>
      </c>
      <c r="AG106" s="176" t="s">
        <v>245</v>
      </c>
      <c r="AH106" s="176" t="s">
        <v>245</v>
      </c>
      <c r="AI106" s="176" t="s">
        <v>245</v>
      </c>
      <c r="AJ106" s="176" t="s">
        <v>245</v>
      </c>
      <c r="AK106" s="176" t="s">
        <v>245</v>
      </c>
      <c r="AL106" s="176" t="s">
        <v>245</v>
      </c>
      <c r="AM106" s="176" t="s">
        <v>245</v>
      </c>
      <c r="AN106" s="178" t="s">
        <v>245</v>
      </c>
      <c r="AO106" s="176">
        <v>2161.65</v>
      </c>
      <c r="AP106" s="176">
        <v>4477.27</v>
      </c>
      <c r="AQ106" s="176">
        <v>2173.55</v>
      </c>
      <c r="AR106" s="176">
        <v>30.67</v>
      </c>
      <c r="AS106" s="176">
        <v>39.66</v>
      </c>
      <c r="AT106" s="176">
        <v>173.42</v>
      </c>
      <c r="AU106" s="176">
        <v>727.27</v>
      </c>
      <c r="AV106" s="187"/>
      <c r="AW106" s="176" t="s">
        <v>245</v>
      </c>
      <c r="AX106" s="177" t="s">
        <v>245</v>
      </c>
      <c r="AY106" s="177" t="s">
        <v>245</v>
      </c>
    </row>
    <row r="107">
      <c r="B107" s="174" t="s">
        <v>246</v>
      </c>
      <c r="C107" s="175">
        <f t="shared" si="30"/>
        <v>5928.05</v>
      </c>
      <c r="D107" s="176">
        <v>65.0</v>
      </c>
      <c r="E107" s="176">
        <v>80.0</v>
      </c>
      <c r="F107" s="176">
        <v>775.0</v>
      </c>
      <c r="G107" s="177">
        <v>0.0</v>
      </c>
      <c r="H107" s="176" t="s">
        <v>245</v>
      </c>
      <c r="I107" s="176">
        <v>10.0</v>
      </c>
      <c r="J107" s="176" t="s">
        <v>245</v>
      </c>
      <c r="K107" s="176" t="s">
        <v>245</v>
      </c>
      <c r="L107" s="176" t="s">
        <v>245</v>
      </c>
      <c r="M107" s="176">
        <v>300.0</v>
      </c>
      <c r="N107" s="176">
        <v>0.0</v>
      </c>
      <c r="O107" s="176">
        <v>130.0</v>
      </c>
      <c r="P107" s="176">
        <v>20.0</v>
      </c>
      <c r="Q107" s="176" t="s">
        <v>245</v>
      </c>
      <c r="R107" s="176" t="s">
        <v>245</v>
      </c>
      <c r="S107" s="176" t="s">
        <v>245</v>
      </c>
      <c r="T107" s="176" t="s">
        <v>245</v>
      </c>
      <c r="U107" s="176" t="s">
        <v>245</v>
      </c>
      <c r="V107" s="176" t="s">
        <v>245</v>
      </c>
      <c r="W107" s="176">
        <v>175.0</v>
      </c>
      <c r="X107" s="176">
        <v>54.0</v>
      </c>
      <c r="Y107" s="176">
        <v>20.0</v>
      </c>
      <c r="Z107" s="176" t="s">
        <v>245</v>
      </c>
      <c r="AA107" s="176" t="s">
        <v>245</v>
      </c>
      <c r="AB107" s="176" t="s">
        <v>245</v>
      </c>
      <c r="AC107" s="178" t="s">
        <v>245</v>
      </c>
      <c r="AD107" s="176" t="s">
        <v>245</v>
      </c>
      <c r="AE107" s="176" t="s">
        <v>245</v>
      </c>
      <c r="AF107" s="176" t="s">
        <v>245</v>
      </c>
      <c r="AG107" s="176">
        <v>420.0</v>
      </c>
      <c r="AH107" s="176" t="s">
        <v>245</v>
      </c>
      <c r="AI107" s="176" t="s">
        <v>245</v>
      </c>
      <c r="AJ107" s="176" t="s">
        <v>245</v>
      </c>
      <c r="AK107" s="176">
        <v>330.0</v>
      </c>
      <c r="AL107" s="176">
        <v>416.0</v>
      </c>
      <c r="AM107" s="176">
        <v>230.0</v>
      </c>
      <c r="AN107" s="177">
        <v>390.0</v>
      </c>
      <c r="AO107" s="176">
        <v>0.0</v>
      </c>
      <c r="AP107" s="176">
        <v>0.0</v>
      </c>
      <c r="AQ107" s="176" t="s">
        <v>245</v>
      </c>
      <c r="AR107" s="176" t="s">
        <v>245</v>
      </c>
      <c r="AS107" s="176">
        <v>33.05</v>
      </c>
      <c r="AT107" s="176">
        <v>0.0</v>
      </c>
      <c r="AU107" s="176" t="s">
        <v>245</v>
      </c>
      <c r="AV107" s="188" t="s">
        <v>245</v>
      </c>
      <c r="AW107" s="176">
        <v>2130.0</v>
      </c>
      <c r="AX107" s="177">
        <v>350.0</v>
      </c>
      <c r="AY107" s="177" t="s">
        <v>245</v>
      </c>
    </row>
    <row r="108">
      <c r="B108" s="174" t="s">
        <v>247</v>
      </c>
      <c r="C108" s="175">
        <f t="shared" si="30"/>
        <v>6689</v>
      </c>
      <c r="D108" s="176">
        <v>25.0</v>
      </c>
      <c r="E108" s="176">
        <v>480.0</v>
      </c>
      <c r="F108" s="176">
        <v>470.0</v>
      </c>
      <c r="G108" s="177">
        <v>30.0</v>
      </c>
      <c r="H108" s="176" t="s">
        <v>245</v>
      </c>
      <c r="I108" s="176">
        <v>10.0</v>
      </c>
      <c r="J108" s="176" t="s">
        <v>245</v>
      </c>
      <c r="K108" s="176" t="s">
        <v>245</v>
      </c>
      <c r="L108" s="176" t="s">
        <v>245</v>
      </c>
      <c r="M108" s="176">
        <v>300.0</v>
      </c>
      <c r="N108" s="176">
        <v>200.0</v>
      </c>
      <c r="O108" s="176">
        <v>90.0</v>
      </c>
      <c r="P108" s="176">
        <v>0.0</v>
      </c>
      <c r="Q108" s="176" t="s">
        <v>245</v>
      </c>
      <c r="R108" s="176" t="s">
        <v>245</v>
      </c>
      <c r="S108" s="176" t="s">
        <v>245</v>
      </c>
      <c r="T108" s="176" t="s">
        <v>245</v>
      </c>
      <c r="U108" s="176" t="s">
        <v>245</v>
      </c>
      <c r="V108" s="176" t="s">
        <v>245</v>
      </c>
      <c r="W108" s="176">
        <v>25.0</v>
      </c>
      <c r="X108" s="176">
        <v>144.0</v>
      </c>
      <c r="Y108" s="176">
        <v>0.0</v>
      </c>
      <c r="Z108" s="176" t="s">
        <v>245</v>
      </c>
      <c r="AA108" s="176" t="s">
        <v>245</v>
      </c>
      <c r="AB108" s="176" t="s">
        <v>245</v>
      </c>
      <c r="AC108" s="178" t="s">
        <v>245</v>
      </c>
      <c r="AD108" s="176" t="s">
        <v>245</v>
      </c>
      <c r="AE108" s="176" t="s">
        <v>245</v>
      </c>
      <c r="AF108" s="176" t="s">
        <v>245</v>
      </c>
      <c r="AG108" s="176">
        <v>430.0</v>
      </c>
      <c r="AH108" s="176" t="s">
        <v>245</v>
      </c>
      <c r="AI108" s="176" t="s">
        <v>245</v>
      </c>
      <c r="AJ108" s="176" t="s">
        <v>245</v>
      </c>
      <c r="AK108" s="176">
        <v>720.0</v>
      </c>
      <c r="AL108" s="176">
        <v>960.0</v>
      </c>
      <c r="AM108" s="176">
        <v>155.0</v>
      </c>
      <c r="AN108" s="177">
        <v>270.0</v>
      </c>
      <c r="AQ108" s="176" t="s">
        <v>245</v>
      </c>
      <c r="AR108" s="176" t="s">
        <v>245</v>
      </c>
      <c r="AU108" s="176" t="s">
        <v>245</v>
      </c>
      <c r="AV108" s="188" t="s">
        <v>245</v>
      </c>
      <c r="AW108" s="176">
        <v>2030.0</v>
      </c>
      <c r="AX108" s="177">
        <v>350.0</v>
      </c>
      <c r="AY108" s="177" t="s">
        <v>245</v>
      </c>
    </row>
    <row r="109">
      <c r="B109" s="174" t="s">
        <v>249</v>
      </c>
      <c r="C109" s="175">
        <f t="shared" si="30"/>
        <v>6183</v>
      </c>
      <c r="D109" s="176">
        <v>120.0</v>
      </c>
      <c r="E109" s="176">
        <v>0.0</v>
      </c>
      <c r="F109" s="176">
        <v>40.0</v>
      </c>
      <c r="G109" s="177">
        <v>20.0</v>
      </c>
      <c r="H109" s="176" t="s">
        <v>245</v>
      </c>
      <c r="I109" s="176">
        <v>0.0</v>
      </c>
      <c r="J109" s="176" t="s">
        <v>245</v>
      </c>
      <c r="K109" s="176" t="s">
        <v>245</v>
      </c>
      <c r="L109" s="176" t="s">
        <v>245</v>
      </c>
      <c r="M109" s="176">
        <v>100.0</v>
      </c>
      <c r="N109" s="176">
        <v>200.0</v>
      </c>
      <c r="O109" s="176">
        <v>70.0</v>
      </c>
      <c r="P109" s="176">
        <v>40.0</v>
      </c>
      <c r="Q109" s="176" t="s">
        <v>245</v>
      </c>
      <c r="R109" s="176" t="s">
        <v>245</v>
      </c>
      <c r="S109" s="176" t="s">
        <v>245</v>
      </c>
      <c r="T109" s="176" t="s">
        <v>245</v>
      </c>
      <c r="U109" s="176" t="s">
        <v>245</v>
      </c>
      <c r="V109" s="176" t="s">
        <v>245</v>
      </c>
      <c r="W109" s="176">
        <v>125.0</v>
      </c>
      <c r="X109" s="176">
        <v>54.0</v>
      </c>
      <c r="Y109" s="176">
        <v>0.0</v>
      </c>
      <c r="Z109" s="176" t="s">
        <v>245</v>
      </c>
      <c r="AA109" s="176" t="s">
        <v>245</v>
      </c>
      <c r="AB109" s="176" t="s">
        <v>245</v>
      </c>
      <c r="AC109" s="178" t="s">
        <v>245</v>
      </c>
      <c r="AD109" s="176" t="s">
        <v>245</v>
      </c>
      <c r="AE109" s="176" t="s">
        <v>245</v>
      </c>
      <c r="AF109" s="176" t="s">
        <v>245</v>
      </c>
      <c r="AG109" s="176">
        <v>0.0</v>
      </c>
      <c r="AH109" s="176" t="s">
        <v>245</v>
      </c>
      <c r="AI109" s="176" t="s">
        <v>245</v>
      </c>
      <c r="AJ109" s="176" t="s">
        <v>245</v>
      </c>
      <c r="AK109" s="176">
        <v>230.0</v>
      </c>
      <c r="AL109" s="176">
        <v>630.0</v>
      </c>
      <c r="AM109" s="176">
        <v>144.0</v>
      </c>
      <c r="AN109" s="177">
        <v>210.0</v>
      </c>
      <c r="AQ109" s="176" t="s">
        <v>245</v>
      </c>
      <c r="AR109" s="176" t="s">
        <v>245</v>
      </c>
      <c r="AU109" s="176" t="s">
        <v>245</v>
      </c>
      <c r="AV109" s="188" t="s">
        <v>245</v>
      </c>
      <c r="AW109" s="176">
        <v>2800.0</v>
      </c>
      <c r="AX109" s="177">
        <v>1400.0</v>
      </c>
      <c r="AY109" s="177" t="s">
        <v>245</v>
      </c>
    </row>
    <row r="110">
      <c r="B110" s="174" t="s">
        <v>250</v>
      </c>
      <c r="C110" s="175">
        <f t="shared" si="30"/>
        <v>6873</v>
      </c>
      <c r="D110" s="176">
        <v>60.0</v>
      </c>
      <c r="E110" s="176">
        <v>0.0</v>
      </c>
      <c r="F110" s="176">
        <v>140.0</v>
      </c>
      <c r="G110" s="177">
        <v>0.0</v>
      </c>
      <c r="H110" s="176" t="s">
        <v>245</v>
      </c>
      <c r="I110" s="176">
        <v>50.0</v>
      </c>
      <c r="J110" s="176" t="s">
        <v>245</v>
      </c>
      <c r="K110" s="176" t="s">
        <v>245</v>
      </c>
      <c r="L110" s="176" t="s">
        <v>245</v>
      </c>
      <c r="M110" s="176">
        <v>200.0</v>
      </c>
      <c r="N110" s="176">
        <v>0.0</v>
      </c>
      <c r="O110" s="176">
        <v>60.0</v>
      </c>
      <c r="P110" s="176">
        <v>40.0</v>
      </c>
      <c r="Q110" s="176" t="s">
        <v>245</v>
      </c>
      <c r="R110" s="176" t="s">
        <v>245</v>
      </c>
      <c r="S110" s="176" t="s">
        <v>245</v>
      </c>
      <c r="T110" s="176" t="s">
        <v>245</v>
      </c>
      <c r="U110" s="176" t="s">
        <v>245</v>
      </c>
      <c r="V110" s="176" t="s">
        <v>245</v>
      </c>
      <c r="W110" s="176">
        <v>400.0</v>
      </c>
      <c r="X110" s="176">
        <v>288.0</v>
      </c>
      <c r="Y110" s="176">
        <v>10.0</v>
      </c>
      <c r="Z110" s="176" t="s">
        <v>245</v>
      </c>
      <c r="AA110" s="176" t="s">
        <v>245</v>
      </c>
      <c r="AB110" s="176" t="s">
        <v>245</v>
      </c>
      <c r="AC110" s="178" t="s">
        <v>245</v>
      </c>
      <c r="AD110" s="176" t="s">
        <v>245</v>
      </c>
      <c r="AE110" s="176" t="s">
        <v>245</v>
      </c>
      <c r="AF110" s="176" t="s">
        <v>245</v>
      </c>
      <c r="AG110" s="176">
        <v>0.0</v>
      </c>
      <c r="AH110" s="176" t="s">
        <v>245</v>
      </c>
      <c r="AI110" s="176" t="s">
        <v>245</v>
      </c>
      <c r="AJ110" s="176" t="s">
        <v>245</v>
      </c>
      <c r="AK110" s="176">
        <v>210.0</v>
      </c>
      <c r="AL110" s="176">
        <v>595.0</v>
      </c>
      <c r="AM110" s="176">
        <v>540.0</v>
      </c>
      <c r="AN110" s="177">
        <v>180.0</v>
      </c>
      <c r="AQ110" s="176" t="s">
        <v>245</v>
      </c>
      <c r="AR110" s="176" t="s">
        <v>245</v>
      </c>
      <c r="AU110" s="176" t="s">
        <v>245</v>
      </c>
      <c r="AV110" s="188" t="s">
        <v>245</v>
      </c>
      <c r="AW110" s="176">
        <v>2700.0</v>
      </c>
      <c r="AX110" s="177">
        <v>1400.0</v>
      </c>
      <c r="AY110" s="177" t="s">
        <v>245</v>
      </c>
    </row>
    <row r="111">
      <c r="B111" s="174" t="s">
        <v>251</v>
      </c>
      <c r="C111" s="175">
        <f t="shared" si="30"/>
        <v>5875</v>
      </c>
      <c r="D111" s="176">
        <v>70.0</v>
      </c>
      <c r="E111" s="176">
        <v>0.0</v>
      </c>
      <c r="F111" s="176">
        <v>0.0</v>
      </c>
      <c r="G111" s="177">
        <v>0.0</v>
      </c>
      <c r="H111" s="176" t="s">
        <v>245</v>
      </c>
      <c r="I111" s="176">
        <v>0.0</v>
      </c>
      <c r="J111" s="176" t="s">
        <v>245</v>
      </c>
      <c r="K111" s="176" t="s">
        <v>245</v>
      </c>
      <c r="L111" s="176" t="s">
        <v>245</v>
      </c>
      <c r="M111" s="176">
        <v>100.0</v>
      </c>
      <c r="N111" s="176">
        <v>100.0</v>
      </c>
      <c r="O111" s="176">
        <v>130.0</v>
      </c>
      <c r="P111" s="176">
        <v>60.0</v>
      </c>
      <c r="Q111" s="176" t="s">
        <v>245</v>
      </c>
      <c r="R111" s="176" t="s">
        <v>245</v>
      </c>
      <c r="S111" s="176" t="s">
        <v>245</v>
      </c>
      <c r="T111" s="176" t="s">
        <v>245</v>
      </c>
      <c r="U111" s="176" t="s">
        <v>245</v>
      </c>
      <c r="V111" s="176" t="s">
        <v>245</v>
      </c>
      <c r="W111" s="176">
        <v>75.0</v>
      </c>
      <c r="X111" s="176">
        <v>36.0</v>
      </c>
      <c r="Y111" s="176">
        <v>0.0</v>
      </c>
      <c r="Z111" s="176" t="s">
        <v>245</v>
      </c>
      <c r="AA111" s="176" t="s">
        <v>245</v>
      </c>
      <c r="AB111" s="176" t="s">
        <v>245</v>
      </c>
      <c r="AC111" s="178" t="s">
        <v>245</v>
      </c>
      <c r="AD111" s="176" t="s">
        <v>245</v>
      </c>
      <c r="AE111" s="176" t="s">
        <v>245</v>
      </c>
      <c r="AF111" s="176" t="s">
        <v>245</v>
      </c>
      <c r="AG111" s="176">
        <v>0.0</v>
      </c>
      <c r="AH111" s="176" t="s">
        <v>245</v>
      </c>
      <c r="AI111" s="176" t="s">
        <v>245</v>
      </c>
      <c r="AJ111" s="176" t="s">
        <v>245</v>
      </c>
      <c r="AK111" s="176">
        <v>210.0</v>
      </c>
      <c r="AL111" s="176">
        <v>420.0</v>
      </c>
      <c r="AM111" s="176">
        <v>84.0</v>
      </c>
      <c r="AN111" s="177">
        <v>390.0</v>
      </c>
      <c r="AQ111" s="176" t="s">
        <v>245</v>
      </c>
      <c r="AR111" s="176" t="s">
        <v>245</v>
      </c>
      <c r="AU111" s="176" t="s">
        <v>245</v>
      </c>
      <c r="AV111" s="189" t="s">
        <v>245</v>
      </c>
      <c r="AW111" s="176">
        <v>2800.0</v>
      </c>
      <c r="AX111" s="177">
        <v>1400.0</v>
      </c>
      <c r="AY111" s="177" t="s">
        <v>245</v>
      </c>
    </row>
    <row r="112">
      <c r="A112" s="179"/>
      <c r="B112" s="180" t="s">
        <v>144</v>
      </c>
      <c r="C112" s="181">
        <f t="shared" ref="C112:AG112" si="31">SUM(C102:C111)</f>
        <v>109586.37</v>
      </c>
      <c r="D112" s="182">
        <f t="shared" si="31"/>
        <v>2526</v>
      </c>
      <c r="E112" s="182">
        <f t="shared" si="31"/>
        <v>2408</v>
      </c>
      <c r="F112" s="182">
        <f t="shared" si="31"/>
        <v>1425</v>
      </c>
      <c r="G112" s="183">
        <f t="shared" si="31"/>
        <v>1100</v>
      </c>
      <c r="H112" s="182">
        <f t="shared" si="31"/>
        <v>490</v>
      </c>
      <c r="I112" s="182">
        <f t="shared" si="31"/>
        <v>70</v>
      </c>
      <c r="J112" s="182">
        <f t="shared" si="31"/>
        <v>150</v>
      </c>
      <c r="K112" s="182">
        <f t="shared" si="31"/>
        <v>0</v>
      </c>
      <c r="L112" s="182">
        <f t="shared" si="31"/>
        <v>610</v>
      </c>
      <c r="M112" s="182">
        <f t="shared" si="31"/>
        <v>1000</v>
      </c>
      <c r="N112" s="182">
        <f t="shared" si="31"/>
        <v>500</v>
      </c>
      <c r="O112" s="182">
        <f t="shared" si="31"/>
        <v>480</v>
      </c>
      <c r="P112" s="182">
        <f t="shared" si="31"/>
        <v>160</v>
      </c>
      <c r="Q112" s="182">
        <f t="shared" si="31"/>
        <v>1127</v>
      </c>
      <c r="R112" s="182">
        <f t="shared" si="31"/>
        <v>936</v>
      </c>
      <c r="S112" s="182">
        <f t="shared" si="31"/>
        <v>24</v>
      </c>
      <c r="T112" s="182">
        <f t="shared" si="31"/>
        <v>69</v>
      </c>
      <c r="U112" s="182">
        <f t="shared" si="31"/>
        <v>0</v>
      </c>
      <c r="V112" s="182">
        <f t="shared" si="31"/>
        <v>16</v>
      </c>
      <c r="W112" s="182">
        <f t="shared" si="31"/>
        <v>800</v>
      </c>
      <c r="X112" s="182">
        <f t="shared" si="31"/>
        <v>576</v>
      </c>
      <c r="Y112" s="182">
        <f t="shared" si="31"/>
        <v>30</v>
      </c>
      <c r="Z112" s="182">
        <f t="shared" si="31"/>
        <v>140</v>
      </c>
      <c r="AA112" s="182">
        <f t="shared" si="31"/>
        <v>240</v>
      </c>
      <c r="AB112" s="182">
        <f t="shared" si="31"/>
        <v>1352</v>
      </c>
      <c r="AC112" s="183">
        <f t="shared" si="31"/>
        <v>126</v>
      </c>
      <c r="AD112" s="182">
        <f t="shared" si="31"/>
        <v>525</v>
      </c>
      <c r="AE112" s="182">
        <f t="shared" si="31"/>
        <v>938</v>
      </c>
      <c r="AF112" s="182">
        <f t="shared" si="31"/>
        <v>150</v>
      </c>
      <c r="AG112" s="182">
        <f t="shared" si="31"/>
        <v>850</v>
      </c>
      <c r="AH112" s="182">
        <v>0.0</v>
      </c>
      <c r="AI112" s="182">
        <v>0.0</v>
      </c>
      <c r="AJ112" s="182">
        <v>0.0</v>
      </c>
      <c r="AK112" s="182">
        <f t="shared" ref="AK112:AU112" si="32">SUM(AK102:AK111)</f>
        <v>1700</v>
      </c>
      <c r="AL112" s="182">
        <f t="shared" si="32"/>
        <v>3021</v>
      </c>
      <c r="AM112" s="182">
        <f t="shared" si="32"/>
        <v>1153</v>
      </c>
      <c r="AN112" s="183">
        <f t="shared" si="32"/>
        <v>1440</v>
      </c>
      <c r="AO112" s="182">
        <f t="shared" si="32"/>
        <v>8972.54</v>
      </c>
      <c r="AP112" s="182">
        <f t="shared" si="32"/>
        <v>23403.42</v>
      </c>
      <c r="AQ112" s="182">
        <f t="shared" si="32"/>
        <v>28956.18</v>
      </c>
      <c r="AR112" s="182">
        <f t="shared" si="32"/>
        <v>91.17</v>
      </c>
      <c r="AS112" s="182">
        <f t="shared" si="32"/>
        <v>586.74</v>
      </c>
      <c r="AT112" s="182">
        <f t="shared" si="32"/>
        <v>1700.04</v>
      </c>
      <c r="AU112" s="182">
        <f t="shared" si="32"/>
        <v>2384.28</v>
      </c>
      <c r="AV112" s="190"/>
      <c r="AW112" s="182">
        <f t="shared" ref="AW112:AX112" si="33">SUM(AW102:AW111)</f>
        <v>12460</v>
      </c>
      <c r="AX112" s="183">
        <f t="shared" si="33"/>
        <v>4900</v>
      </c>
      <c r="AY112" s="183">
        <v>2801.0</v>
      </c>
    </row>
    <row r="113">
      <c r="A113" s="173" t="s">
        <v>261</v>
      </c>
      <c r="B113" s="174" t="s">
        <v>164</v>
      </c>
      <c r="C113" s="175">
        <f t="shared" ref="C113:C122" si="34">SUM(D113:AY113)</f>
        <v>23596.45017</v>
      </c>
      <c r="D113" s="176">
        <v>615.0</v>
      </c>
      <c r="E113" s="176">
        <f>220+230</f>
        <v>450</v>
      </c>
      <c r="F113" s="176" t="s">
        <v>245</v>
      </c>
      <c r="G113" s="177">
        <f>280+80</f>
        <v>360</v>
      </c>
      <c r="H113" s="176">
        <v>140.0</v>
      </c>
      <c r="I113" s="176" t="s">
        <v>245</v>
      </c>
      <c r="J113" s="176">
        <v>0.0</v>
      </c>
      <c r="K113" s="176">
        <v>0.0</v>
      </c>
      <c r="L113" s="176">
        <v>160.0</v>
      </c>
      <c r="M113" s="176" t="s">
        <v>245</v>
      </c>
      <c r="N113" s="176" t="s">
        <v>245</v>
      </c>
      <c r="O113" s="176" t="s">
        <v>245</v>
      </c>
      <c r="P113" s="176" t="s">
        <v>245</v>
      </c>
      <c r="Q113" s="176">
        <v>368.0</v>
      </c>
      <c r="R113" s="176">
        <v>416.0</v>
      </c>
      <c r="S113" s="176">
        <v>12.0</v>
      </c>
      <c r="T113" s="176">
        <v>23.0</v>
      </c>
      <c r="U113" s="176">
        <v>52.0</v>
      </c>
      <c r="V113" s="176">
        <v>0.0</v>
      </c>
      <c r="W113" s="176" t="s">
        <v>245</v>
      </c>
      <c r="X113" s="176" t="s">
        <v>245</v>
      </c>
      <c r="Y113" s="176" t="s">
        <v>245</v>
      </c>
      <c r="Z113" s="176">
        <v>210.0</v>
      </c>
      <c r="AA113" s="176">
        <v>145.0</v>
      </c>
      <c r="AB113" s="176">
        <v>432.0</v>
      </c>
      <c r="AC113" s="177">
        <v>17.0</v>
      </c>
      <c r="AD113" s="176">
        <v>0.0</v>
      </c>
      <c r="AE113" s="176">
        <v>0.0</v>
      </c>
      <c r="AF113" s="176">
        <v>0.0</v>
      </c>
      <c r="AG113" s="176" t="s">
        <v>245</v>
      </c>
      <c r="AH113" s="176" t="s">
        <v>245</v>
      </c>
      <c r="AI113" s="176" t="s">
        <v>245</v>
      </c>
      <c r="AJ113" s="176" t="s">
        <v>245</v>
      </c>
      <c r="AK113" s="176" t="s">
        <v>245</v>
      </c>
      <c r="AL113" s="176" t="s">
        <v>245</v>
      </c>
      <c r="AM113" s="176" t="s">
        <v>245</v>
      </c>
      <c r="AN113" s="178" t="s">
        <v>245</v>
      </c>
      <c r="AO113" s="176">
        <v>2879.4</v>
      </c>
      <c r="AP113" s="176">
        <v>5139.67</v>
      </c>
      <c r="AQ113" s="176">
        <v>10874.380165289</v>
      </c>
      <c r="AR113" s="176">
        <v>30.0</v>
      </c>
      <c r="AS113" s="176">
        <v>350.41322314</v>
      </c>
      <c r="AT113" s="176">
        <v>517.628099174</v>
      </c>
      <c r="AU113" s="176">
        <v>404.958677686</v>
      </c>
      <c r="AV113" s="187"/>
      <c r="AW113" s="176" t="s">
        <v>245</v>
      </c>
      <c r="AX113" s="177" t="s">
        <v>245</v>
      </c>
      <c r="AY113" s="177" t="s">
        <v>245</v>
      </c>
    </row>
    <row r="114">
      <c r="B114" s="174" t="s">
        <v>155</v>
      </c>
      <c r="C114" s="175">
        <f t="shared" si="34"/>
        <v>17486.0281</v>
      </c>
      <c r="D114" s="176">
        <v>558.0</v>
      </c>
      <c r="E114" s="176">
        <f>180+200</f>
        <v>380</v>
      </c>
      <c r="F114" s="176" t="s">
        <v>245</v>
      </c>
      <c r="G114" s="177">
        <f>280+60</f>
        <v>340</v>
      </c>
      <c r="H114" s="176">
        <v>130.0</v>
      </c>
      <c r="I114" s="176" t="s">
        <v>245</v>
      </c>
      <c r="J114" s="176">
        <v>0.0</v>
      </c>
      <c r="K114" s="176">
        <v>0.0</v>
      </c>
      <c r="L114" s="176">
        <v>175.0</v>
      </c>
      <c r="M114" s="176" t="s">
        <v>245</v>
      </c>
      <c r="N114" s="176" t="s">
        <v>245</v>
      </c>
      <c r="O114" s="176" t="s">
        <v>245</v>
      </c>
      <c r="P114" s="176" t="s">
        <v>245</v>
      </c>
      <c r="Q114" s="176">
        <v>207.0</v>
      </c>
      <c r="R114" s="176">
        <v>273.0</v>
      </c>
      <c r="S114" s="176">
        <v>44.0</v>
      </c>
      <c r="T114" s="176">
        <v>0.0</v>
      </c>
      <c r="U114" s="176">
        <v>0.0</v>
      </c>
      <c r="V114" s="176">
        <v>4.0</v>
      </c>
      <c r="W114" s="176" t="s">
        <v>245</v>
      </c>
      <c r="X114" s="176" t="s">
        <v>245</v>
      </c>
      <c r="Y114" s="176" t="s">
        <v>245</v>
      </c>
      <c r="Z114" s="176">
        <v>60.0</v>
      </c>
      <c r="AA114" s="176">
        <v>85.0</v>
      </c>
      <c r="AB114" s="176">
        <v>362.25</v>
      </c>
      <c r="AC114" s="177">
        <v>30.0</v>
      </c>
      <c r="AD114" s="176">
        <v>0.0</v>
      </c>
      <c r="AE114" s="176">
        <v>0.0</v>
      </c>
      <c r="AF114" s="176">
        <v>0.0</v>
      </c>
      <c r="AG114" s="176" t="s">
        <v>245</v>
      </c>
      <c r="AH114" s="176" t="s">
        <v>245</v>
      </c>
      <c r="AI114" s="176" t="s">
        <v>245</v>
      </c>
      <c r="AJ114" s="176" t="s">
        <v>245</v>
      </c>
      <c r="AK114" s="176" t="s">
        <v>245</v>
      </c>
      <c r="AL114" s="176" t="s">
        <v>245</v>
      </c>
      <c r="AM114" s="176" t="s">
        <v>245</v>
      </c>
      <c r="AN114" s="178" t="s">
        <v>245</v>
      </c>
      <c r="AO114" s="176">
        <v>1868.1</v>
      </c>
      <c r="AP114" s="176">
        <v>5814.05</v>
      </c>
      <c r="AQ114" s="176">
        <v>5880.958677686</v>
      </c>
      <c r="AR114" s="176">
        <v>0.0</v>
      </c>
      <c r="AS114" s="176">
        <v>301.652892562</v>
      </c>
      <c r="AT114" s="176">
        <v>456.487603306</v>
      </c>
      <c r="AU114" s="176">
        <v>516.52892562</v>
      </c>
      <c r="AV114" s="187"/>
      <c r="AW114" s="176" t="s">
        <v>245</v>
      </c>
      <c r="AX114" s="177" t="s">
        <v>245</v>
      </c>
      <c r="AY114" s="177" t="s">
        <v>245</v>
      </c>
    </row>
    <row r="115">
      <c r="B115" s="174" t="s">
        <v>163</v>
      </c>
      <c r="C115" s="175">
        <f t="shared" si="34"/>
        <v>8977.318347</v>
      </c>
      <c r="D115" s="176">
        <v>555.0</v>
      </c>
      <c r="E115" s="176">
        <f>160+240</f>
        <v>400</v>
      </c>
      <c r="F115" s="176" t="s">
        <v>245</v>
      </c>
      <c r="G115" s="177">
        <f>170+80</f>
        <v>250</v>
      </c>
      <c r="H115" s="176">
        <v>60.0</v>
      </c>
      <c r="I115" s="176" t="s">
        <v>245</v>
      </c>
      <c r="J115" s="176">
        <v>0.0</v>
      </c>
      <c r="K115" s="176">
        <v>0.0</v>
      </c>
      <c r="L115" s="176">
        <v>225.0</v>
      </c>
      <c r="M115" s="176" t="s">
        <v>245</v>
      </c>
      <c r="N115" s="176" t="s">
        <v>245</v>
      </c>
      <c r="O115" s="176" t="s">
        <v>245</v>
      </c>
      <c r="P115" s="176" t="s">
        <v>245</v>
      </c>
      <c r="Q115" s="176">
        <v>161.0</v>
      </c>
      <c r="R115" s="176">
        <v>78.0</v>
      </c>
      <c r="S115" s="176">
        <v>12.0</v>
      </c>
      <c r="T115" s="176">
        <v>0.0</v>
      </c>
      <c r="U115" s="176">
        <v>0.0</v>
      </c>
      <c r="V115" s="176">
        <v>0.0</v>
      </c>
      <c r="W115" s="176" t="s">
        <v>245</v>
      </c>
      <c r="X115" s="176" t="s">
        <v>245</v>
      </c>
      <c r="Y115" s="176" t="s">
        <v>245</v>
      </c>
      <c r="Z115" s="176">
        <v>190.0</v>
      </c>
      <c r="AA115" s="176">
        <v>0.0</v>
      </c>
      <c r="AB115" s="176">
        <v>172.75</v>
      </c>
      <c r="AC115" s="177">
        <v>36.0</v>
      </c>
      <c r="AD115" s="176">
        <v>180.0</v>
      </c>
      <c r="AE115" s="176">
        <v>0.0</v>
      </c>
      <c r="AF115" s="176">
        <v>0.0</v>
      </c>
      <c r="AG115" s="176" t="s">
        <v>245</v>
      </c>
      <c r="AH115" s="176" t="s">
        <v>245</v>
      </c>
      <c r="AI115" s="176" t="s">
        <v>245</v>
      </c>
      <c r="AJ115" s="176" t="s">
        <v>245</v>
      </c>
      <c r="AK115" s="176" t="s">
        <v>245</v>
      </c>
      <c r="AL115" s="176" t="s">
        <v>245</v>
      </c>
      <c r="AM115" s="176" t="s">
        <v>245</v>
      </c>
      <c r="AN115" s="178" t="s">
        <v>245</v>
      </c>
      <c r="AO115" s="176">
        <v>1444.9</v>
      </c>
      <c r="AP115" s="176">
        <v>1653.47</v>
      </c>
      <c r="AQ115" s="176">
        <v>2897.520661157</v>
      </c>
      <c r="AR115" s="176">
        <v>0.0</v>
      </c>
      <c r="AS115" s="176">
        <v>114.049586777</v>
      </c>
      <c r="AT115" s="176">
        <v>415.396694215</v>
      </c>
      <c r="AU115" s="176">
        <v>132.231404959</v>
      </c>
      <c r="AV115" s="187"/>
      <c r="AW115" s="176" t="s">
        <v>245</v>
      </c>
      <c r="AX115" s="177" t="s">
        <v>245</v>
      </c>
      <c r="AY115" s="177" t="s">
        <v>245</v>
      </c>
    </row>
    <row r="116">
      <c r="B116" s="174" t="s">
        <v>161</v>
      </c>
      <c r="C116" s="175">
        <f t="shared" si="34"/>
        <v>9625.245868</v>
      </c>
      <c r="D116" s="176">
        <v>228.0</v>
      </c>
      <c r="E116" s="176">
        <f>40+80</f>
        <v>120</v>
      </c>
      <c r="F116" s="176" t="s">
        <v>245</v>
      </c>
      <c r="G116" s="177">
        <f>270+70</f>
        <v>340</v>
      </c>
      <c r="H116" s="176">
        <v>0.0</v>
      </c>
      <c r="I116" s="176" t="s">
        <v>245</v>
      </c>
      <c r="J116" s="176">
        <v>0.0</v>
      </c>
      <c r="K116" s="176">
        <v>0.0</v>
      </c>
      <c r="L116" s="176">
        <v>120.0</v>
      </c>
      <c r="M116" s="176" t="s">
        <v>245</v>
      </c>
      <c r="N116" s="176" t="s">
        <v>245</v>
      </c>
      <c r="O116" s="176" t="s">
        <v>245</v>
      </c>
      <c r="P116" s="176" t="s">
        <v>245</v>
      </c>
      <c r="Q116" s="176">
        <v>69.0</v>
      </c>
      <c r="R116" s="176">
        <v>169.0</v>
      </c>
      <c r="S116" s="176">
        <v>24.0</v>
      </c>
      <c r="T116" s="176">
        <v>0.0</v>
      </c>
      <c r="U116" s="176">
        <v>13.0</v>
      </c>
      <c r="V116" s="176">
        <v>4.0</v>
      </c>
      <c r="W116" s="176" t="s">
        <v>245</v>
      </c>
      <c r="X116" s="176" t="s">
        <v>245</v>
      </c>
      <c r="Y116" s="176" t="s">
        <v>245</v>
      </c>
      <c r="Z116" s="176">
        <v>180.0</v>
      </c>
      <c r="AA116" s="176">
        <v>100.0</v>
      </c>
      <c r="AB116" s="176">
        <v>200.5</v>
      </c>
      <c r="AC116" s="177">
        <v>0.0</v>
      </c>
      <c r="AD116" s="176">
        <v>0.0</v>
      </c>
      <c r="AE116" s="176">
        <v>0.0</v>
      </c>
      <c r="AF116" s="176">
        <v>0.0</v>
      </c>
      <c r="AG116" s="176" t="s">
        <v>245</v>
      </c>
      <c r="AH116" s="176" t="s">
        <v>245</v>
      </c>
      <c r="AI116" s="176" t="s">
        <v>245</v>
      </c>
      <c r="AJ116" s="176" t="s">
        <v>245</v>
      </c>
      <c r="AK116" s="176" t="s">
        <v>245</v>
      </c>
      <c r="AL116" s="176" t="s">
        <v>245</v>
      </c>
      <c r="AM116" s="176" t="s">
        <v>245</v>
      </c>
      <c r="AN116" s="178" t="s">
        <v>245</v>
      </c>
      <c r="AO116" s="176">
        <v>1332.3</v>
      </c>
      <c r="AP116" s="176">
        <v>1785.95</v>
      </c>
      <c r="AQ116" s="176">
        <v>3877.685950413</v>
      </c>
      <c r="AR116" s="176">
        <v>0.0</v>
      </c>
      <c r="AS116" s="176">
        <v>185.123966942</v>
      </c>
      <c r="AT116" s="176">
        <v>223.79338843</v>
      </c>
      <c r="AU116" s="176">
        <v>652.892561983</v>
      </c>
      <c r="AV116" s="187"/>
      <c r="AW116" s="176" t="s">
        <v>245</v>
      </c>
      <c r="AX116" s="177" t="s">
        <v>245</v>
      </c>
      <c r="AY116" s="177" t="s">
        <v>245</v>
      </c>
    </row>
    <row r="117">
      <c r="B117" s="174" t="s">
        <v>159</v>
      </c>
      <c r="C117" s="175">
        <f t="shared" si="34"/>
        <v>11926.84884</v>
      </c>
      <c r="D117" s="176">
        <v>372.0</v>
      </c>
      <c r="E117" s="176">
        <f>110+130</f>
        <v>240</v>
      </c>
      <c r="F117" s="176" t="s">
        <v>245</v>
      </c>
      <c r="G117" s="177">
        <f>220+50</f>
        <v>270</v>
      </c>
      <c r="H117" s="176">
        <v>10.0</v>
      </c>
      <c r="I117" s="176" t="s">
        <v>245</v>
      </c>
      <c r="J117" s="176">
        <v>0.0</v>
      </c>
      <c r="K117" s="176">
        <v>0.0</v>
      </c>
      <c r="L117" s="176">
        <v>215.0</v>
      </c>
      <c r="M117" s="176" t="s">
        <v>245</v>
      </c>
      <c r="N117" s="176" t="s">
        <v>245</v>
      </c>
      <c r="O117" s="176" t="s">
        <v>245</v>
      </c>
      <c r="P117" s="176" t="s">
        <v>245</v>
      </c>
      <c r="Q117" s="176">
        <v>184.0</v>
      </c>
      <c r="R117" s="176">
        <v>156.0</v>
      </c>
      <c r="S117" s="176">
        <v>12.0</v>
      </c>
      <c r="T117" s="176">
        <v>0.0</v>
      </c>
      <c r="U117" s="176">
        <v>0.0</v>
      </c>
      <c r="V117" s="176">
        <v>0.0</v>
      </c>
      <c r="W117" s="176" t="s">
        <v>245</v>
      </c>
      <c r="X117" s="176" t="s">
        <v>245</v>
      </c>
      <c r="Y117" s="176" t="s">
        <v>245</v>
      </c>
      <c r="Z117" s="176">
        <v>160.0</v>
      </c>
      <c r="AA117" s="176">
        <v>55.0</v>
      </c>
      <c r="AB117" s="176">
        <v>262.25</v>
      </c>
      <c r="AC117" s="177">
        <v>4.0</v>
      </c>
      <c r="AD117" s="176">
        <v>180.0</v>
      </c>
      <c r="AE117" s="176">
        <v>14.0</v>
      </c>
      <c r="AF117" s="176">
        <v>0.0</v>
      </c>
      <c r="AG117" s="176" t="s">
        <v>245</v>
      </c>
      <c r="AH117" s="176" t="s">
        <v>245</v>
      </c>
      <c r="AI117" s="176" t="s">
        <v>245</v>
      </c>
      <c r="AJ117" s="176" t="s">
        <v>245</v>
      </c>
      <c r="AK117" s="176" t="s">
        <v>245</v>
      </c>
      <c r="AL117" s="176" t="s">
        <v>245</v>
      </c>
      <c r="AM117" s="176" t="s">
        <v>245</v>
      </c>
      <c r="AN117" s="178" t="s">
        <v>245</v>
      </c>
      <c r="AO117" s="176">
        <v>1553.9</v>
      </c>
      <c r="AP117" s="176">
        <v>2817.36</v>
      </c>
      <c r="AQ117" s="176">
        <v>4566.115702479</v>
      </c>
      <c r="AR117" s="176">
        <v>0.0</v>
      </c>
      <c r="AS117" s="176">
        <v>72.727272727</v>
      </c>
      <c r="AT117" s="176">
        <v>195.719008264</v>
      </c>
      <c r="AU117" s="176">
        <v>586.776859504</v>
      </c>
      <c r="AV117" s="187"/>
      <c r="AW117" s="176" t="s">
        <v>245</v>
      </c>
      <c r="AX117" s="177" t="s">
        <v>245</v>
      </c>
      <c r="AY117" s="177" t="s">
        <v>245</v>
      </c>
    </row>
    <row r="118">
      <c r="B118" s="174" t="s">
        <v>246</v>
      </c>
      <c r="C118" s="175">
        <f t="shared" si="34"/>
        <v>6397.504132</v>
      </c>
      <c r="D118" s="176">
        <v>110.0</v>
      </c>
      <c r="E118" s="176">
        <f>40+200</f>
        <v>240</v>
      </c>
      <c r="F118" s="176">
        <v>545.0</v>
      </c>
      <c r="G118" s="177">
        <v>0.0</v>
      </c>
      <c r="H118" s="176" t="s">
        <v>245</v>
      </c>
      <c r="I118" s="176">
        <v>50.0</v>
      </c>
      <c r="J118" s="176" t="s">
        <v>245</v>
      </c>
      <c r="K118" s="176" t="s">
        <v>245</v>
      </c>
      <c r="L118" s="176" t="s">
        <v>245</v>
      </c>
      <c r="M118" s="176">
        <v>300.0</v>
      </c>
      <c r="N118" s="176">
        <v>200.0</v>
      </c>
      <c r="O118" s="176">
        <v>130.0</v>
      </c>
      <c r="P118" s="176">
        <v>0.0</v>
      </c>
      <c r="Q118" s="176" t="s">
        <v>245</v>
      </c>
      <c r="R118" s="176" t="s">
        <v>245</v>
      </c>
      <c r="S118" s="176" t="s">
        <v>245</v>
      </c>
      <c r="T118" s="176" t="s">
        <v>245</v>
      </c>
      <c r="U118" s="176" t="s">
        <v>245</v>
      </c>
      <c r="V118" s="176" t="s">
        <v>245</v>
      </c>
      <c r="W118" s="176">
        <v>72.0</v>
      </c>
      <c r="X118" s="176">
        <v>30.0</v>
      </c>
      <c r="Y118" s="176">
        <v>20.0</v>
      </c>
      <c r="Z118" s="176" t="s">
        <v>245</v>
      </c>
      <c r="AA118" s="176" t="s">
        <v>245</v>
      </c>
      <c r="AB118" s="176" t="s">
        <v>245</v>
      </c>
      <c r="AC118" s="178" t="s">
        <v>245</v>
      </c>
      <c r="AD118" s="176" t="s">
        <v>245</v>
      </c>
      <c r="AE118" s="176" t="s">
        <v>245</v>
      </c>
      <c r="AF118" s="176" t="s">
        <v>245</v>
      </c>
      <c r="AG118" s="176">
        <v>425.0</v>
      </c>
      <c r="AH118" s="176" t="s">
        <v>245</v>
      </c>
      <c r="AI118" s="176" t="s">
        <v>245</v>
      </c>
      <c r="AJ118" s="176" t="s">
        <v>245</v>
      </c>
      <c r="AK118" s="176">
        <v>340.0</v>
      </c>
      <c r="AL118" s="176">
        <v>1050.0</v>
      </c>
      <c r="AM118" s="176">
        <v>280.0</v>
      </c>
      <c r="AN118" s="177">
        <v>146.0</v>
      </c>
      <c r="AO118" s="176">
        <v>0.0</v>
      </c>
      <c r="AP118" s="176">
        <v>0.0</v>
      </c>
      <c r="AQ118" s="176" t="s">
        <v>245</v>
      </c>
      <c r="AR118" s="176" t="s">
        <v>245</v>
      </c>
      <c r="AS118" s="176">
        <v>59.504132231</v>
      </c>
      <c r="AT118" s="176">
        <v>0.0</v>
      </c>
      <c r="AU118" s="176" t="s">
        <v>245</v>
      </c>
      <c r="AV118" s="188" t="s">
        <v>245</v>
      </c>
      <c r="AW118" s="176">
        <v>2050.0</v>
      </c>
      <c r="AX118" s="177">
        <v>350.0</v>
      </c>
      <c r="AY118" s="177" t="s">
        <v>245</v>
      </c>
    </row>
    <row r="119">
      <c r="B119" s="174" t="s">
        <v>247</v>
      </c>
      <c r="C119" s="175">
        <f t="shared" si="34"/>
        <v>4815</v>
      </c>
      <c r="D119" s="176">
        <v>70.0</v>
      </c>
      <c r="E119" s="176">
        <f>10+30</f>
        <v>40</v>
      </c>
      <c r="F119" s="176">
        <v>440.0</v>
      </c>
      <c r="G119" s="177">
        <f>40+20</f>
        <v>60</v>
      </c>
      <c r="H119" s="176" t="s">
        <v>245</v>
      </c>
      <c r="I119" s="176">
        <v>0.0</v>
      </c>
      <c r="J119" s="176" t="s">
        <v>245</v>
      </c>
      <c r="K119" s="176" t="s">
        <v>245</v>
      </c>
      <c r="L119" s="176" t="s">
        <v>245</v>
      </c>
      <c r="M119" s="176">
        <v>100.0</v>
      </c>
      <c r="N119" s="176">
        <v>100.0</v>
      </c>
      <c r="O119" s="176">
        <v>90.0</v>
      </c>
      <c r="P119" s="176">
        <v>0.0</v>
      </c>
      <c r="Q119" s="176" t="s">
        <v>245</v>
      </c>
      <c r="R119" s="176" t="s">
        <v>245</v>
      </c>
      <c r="S119" s="176" t="s">
        <v>245</v>
      </c>
      <c r="T119" s="176" t="s">
        <v>245</v>
      </c>
      <c r="U119" s="176" t="s">
        <v>245</v>
      </c>
      <c r="V119" s="176" t="s">
        <v>245</v>
      </c>
      <c r="W119" s="176">
        <v>54.0</v>
      </c>
      <c r="X119" s="176">
        <v>0.0</v>
      </c>
      <c r="Y119" s="176">
        <v>0.0</v>
      </c>
      <c r="Z119" s="176" t="s">
        <v>245</v>
      </c>
      <c r="AA119" s="176" t="s">
        <v>245</v>
      </c>
      <c r="AB119" s="176" t="s">
        <v>245</v>
      </c>
      <c r="AC119" s="178" t="s">
        <v>245</v>
      </c>
      <c r="AD119" s="176" t="s">
        <v>245</v>
      </c>
      <c r="AE119" s="176" t="s">
        <v>245</v>
      </c>
      <c r="AF119" s="176" t="s">
        <v>245</v>
      </c>
      <c r="AG119" s="176">
        <v>425.0</v>
      </c>
      <c r="AH119" s="176" t="s">
        <v>245</v>
      </c>
      <c r="AI119" s="176" t="s">
        <v>245</v>
      </c>
      <c r="AJ119" s="176" t="s">
        <v>245</v>
      </c>
      <c r="AK119" s="176">
        <v>120.0</v>
      </c>
      <c r="AL119" s="176">
        <v>420.0</v>
      </c>
      <c r="AM119" s="176">
        <v>196.0</v>
      </c>
      <c r="AN119" s="177">
        <v>200.0</v>
      </c>
      <c r="AQ119" s="176" t="s">
        <v>245</v>
      </c>
      <c r="AR119" s="176" t="s">
        <v>245</v>
      </c>
      <c r="AU119" s="176" t="s">
        <v>245</v>
      </c>
      <c r="AV119" s="188" t="s">
        <v>245</v>
      </c>
      <c r="AW119" s="176">
        <v>2150.0</v>
      </c>
      <c r="AX119" s="177">
        <v>350.0</v>
      </c>
      <c r="AY119" s="177" t="s">
        <v>245</v>
      </c>
    </row>
    <row r="120">
      <c r="B120" s="174" t="s">
        <v>249</v>
      </c>
      <c r="C120" s="175">
        <f t="shared" si="34"/>
        <v>4703</v>
      </c>
      <c r="D120" s="176">
        <v>103.0</v>
      </c>
      <c r="E120" s="176">
        <f>0+0</f>
        <v>0</v>
      </c>
      <c r="F120" s="176">
        <f>10+10</f>
        <v>20</v>
      </c>
      <c r="G120" s="177">
        <v>10.0</v>
      </c>
      <c r="H120" s="176" t="s">
        <v>245</v>
      </c>
      <c r="I120" s="176">
        <v>10.0</v>
      </c>
      <c r="J120" s="176" t="s">
        <v>245</v>
      </c>
      <c r="K120" s="176" t="s">
        <v>245</v>
      </c>
      <c r="L120" s="176" t="s">
        <v>245</v>
      </c>
      <c r="M120" s="176">
        <v>0.0</v>
      </c>
      <c r="N120" s="176">
        <v>200.0</v>
      </c>
      <c r="O120" s="176">
        <v>70.0</v>
      </c>
      <c r="P120" s="176">
        <v>40.0</v>
      </c>
      <c r="Q120" s="176" t="s">
        <v>245</v>
      </c>
      <c r="R120" s="176" t="s">
        <v>245</v>
      </c>
      <c r="S120" s="176" t="s">
        <v>245</v>
      </c>
      <c r="T120" s="176" t="s">
        <v>245</v>
      </c>
      <c r="U120" s="176" t="s">
        <v>245</v>
      </c>
      <c r="V120" s="176" t="s">
        <v>245</v>
      </c>
      <c r="W120" s="176">
        <v>0.0</v>
      </c>
      <c r="X120" s="176">
        <v>0.0</v>
      </c>
      <c r="Y120" s="176">
        <v>0.0</v>
      </c>
      <c r="Z120" s="176" t="s">
        <v>245</v>
      </c>
      <c r="AA120" s="176" t="s">
        <v>245</v>
      </c>
      <c r="AB120" s="176" t="s">
        <v>245</v>
      </c>
      <c r="AC120" s="178" t="s">
        <v>245</v>
      </c>
      <c r="AD120" s="176" t="s">
        <v>245</v>
      </c>
      <c r="AE120" s="176" t="s">
        <v>245</v>
      </c>
      <c r="AF120" s="176" t="s">
        <v>245</v>
      </c>
      <c r="AG120" s="176">
        <v>0.0</v>
      </c>
      <c r="AH120" s="176" t="s">
        <v>245</v>
      </c>
      <c r="AI120" s="176" t="s">
        <v>245</v>
      </c>
      <c r="AJ120" s="176" t="s">
        <v>245</v>
      </c>
      <c r="AK120" s="176">
        <v>0.0</v>
      </c>
      <c r="AL120" s="176">
        <v>0.0</v>
      </c>
      <c r="AM120" s="176">
        <v>0.0</v>
      </c>
      <c r="AN120" s="177">
        <v>140.0</v>
      </c>
      <c r="AQ120" s="176" t="s">
        <v>245</v>
      </c>
      <c r="AR120" s="176" t="s">
        <v>245</v>
      </c>
      <c r="AU120" s="176" t="s">
        <v>245</v>
      </c>
      <c r="AV120" s="188" t="s">
        <v>245</v>
      </c>
      <c r="AW120" s="176">
        <v>2710.0</v>
      </c>
      <c r="AX120" s="177">
        <v>1400.0</v>
      </c>
      <c r="AY120" s="177" t="s">
        <v>245</v>
      </c>
    </row>
    <row r="121">
      <c r="B121" s="174" t="s">
        <v>250</v>
      </c>
      <c r="C121" s="175">
        <f t="shared" si="34"/>
        <v>4883</v>
      </c>
      <c r="D121" s="176">
        <v>103.0</v>
      </c>
      <c r="E121" s="176">
        <f>10+30</f>
        <v>40</v>
      </c>
      <c r="F121" s="176">
        <f>20+20</f>
        <v>40</v>
      </c>
      <c r="G121" s="177">
        <v>0.0</v>
      </c>
      <c r="H121" s="176" t="s">
        <v>245</v>
      </c>
      <c r="I121" s="176">
        <v>20.0</v>
      </c>
      <c r="J121" s="176" t="s">
        <v>245</v>
      </c>
      <c r="K121" s="176" t="s">
        <v>245</v>
      </c>
      <c r="L121" s="176" t="s">
        <v>245</v>
      </c>
      <c r="M121" s="176">
        <v>200.0</v>
      </c>
      <c r="N121" s="176">
        <v>0.0</v>
      </c>
      <c r="O121" s="176">
        <v>60.0</v>
      </c>
      <c r="P121" s="176">
        <v>0.0</v>
      </c>
      <c r="Q121" s="176" t="s">
        <v>245</v>
      </c>
      <c r="R121" s="176" t="s">
        <v>245</v>
      </c>
      <c r="S121" s="176" t="s">
        <v>245</v>
      </c>
      <c r="T121" s="176" t="s">
        <v>245</v>
      </c>
      <c r="U121" s="176" t="s">
        <v>245</v>
      </c>
      <c r="V121" s="176" t="s">
        <v>245</v>
      </c>
      <c r="W121" s="176">
        <v>90.0</v>
      </c>
      <c r="X121" s="176">
        <v>10.0</v>
      </c>
      <c r="Y121" s="176">
        <v>10.0</v>
      </c>
      <c r="Z121" s="176" t="s">
        <v>245</v>
      </c>
      <c r="AA121" s="176" t="s">
        <v>245</v>
      </c>
      <c r="AB121" s="176" t="s">
        <v>245</v>
      </c>
      <c r="AC121" s="178" t="s">
        <v>245</v>
      </c>
      <c r="AD121" s="176" t="s">
        <v>245</v>
      </c>
      <c r="AE121" s="176" t="s">
        <v>245</v>
      </c>
      <c r="AF121" s="176" t="s">
        <v>245</v>
      </c>
      <c r="AG121" s="176">
        <v>0.0</v>
      </c>
      <c r="AH121" s="176" t="s">
        <v>245</v>
      </c>
      <c r="AI121" s="176" t="s">
        <v>245</v>
      </c>
      <c r="AJ121" s="176" t="s">
        <v>245</v>
      </c>
      <c r="AK121" s="176">
        <v>0.0</v>
      </c>
      <c r="AL121" s="176">
        <v>0.0</v>
      </c>
      <c r="AM121" s="176">
        <v>0.0</v>
      </c>
      <c r="AN121" s="177">
        <v>200.0</v>
      </c>
      <c r="AQ121" s="176" t="s">
        <v>245</v>
      </c>
      <c r="AR121" s="176" t="s">
        <v>245</v>
      </c>
      <c r="AU121" s="176" t="s">
        <v>245</v>
      </c>
      <c r="AV121" s="188" t="s">
        <v>245</v>
      </c>
      <c r="AW121" s="176">
        <v>2710.0</v>
      </c>
      <c r="AX121" s="177">
        <v>1400.0</v>
      </c>
      <c r="AY121" s="177" t="s">
        <v>245</v>
      </c>
    </row>
    <row r="122">
      <c r="B122" s="174" t="s">
        <v>251</v>
      </c>
      <c r="C122" s="175">
        <f t="shared" si="34"/>
        <v>4781</v>
      </c>
      <c r="D122" s="176">
        <v>103.0</v>
      </c>
      <c r="E122" s="176">
        <f>0+0</f>
        <v>0</v>
      </c>
      <c r="F122" s="176">
        <f>0</f>
        <v>0</v>
      </c>
      <c r="G122" s="177">
        <v>10.0</v>
      </c>
      <c r="H122" s="176" t="s">
        <v>245</v>
      </c>
      <c r="I122" s="176">
        <v>0.0</v>
      </c>
      <c r="J122" s="176" t="s">
        <v>245</v>
      </c>
      <c r="K122" s="176" t="s">
        <v>245</v>
      </c>
      <c r="L122" s="176" t="s">
        <v>245</v>
      </c>
      <c r="M122" s="176">
        <v>0.0</v>
      </c>
      <c r="N122" s="176">
        <v>100.0</v>
      </c>
      <c r="O122" s="176">
        <v>130.0</v>
      </c>
      <c r="P122" s="176">
        <v>80.0</v>
      </c>
      <c r="Q122" s="176" t="s">
        <v>245</v>
      </c>
      <c r="R122" s="176" t="s">
        <v>245</v>
      </c>
      <c r="S122" s="176" t="s">
        <v>245</v>
      </c>
      <c r="T122" s="176" t="s">
        <v>245</v>
      </c>
      <c r="U122" s="176" t="s">
        <v>245</v>
      </c>
      <c r="V122" s="176" t="s">
        <v>245</v>
      </c>
      <c r="W122" s="176">
        <v>18.0</v>
      </c>
      <c r="X122" s="176">
        <v>10.0</v>
      </c>
      <c r="Y122" s="176">
        <v>0.0</v>
      </c>
      <c r="Z122" s="176" t="s">
        <v>245</v>
      </c>
      <c r="AA122" s="176" t="s">
        <v>245</v>
      </c>
      <c r="AB122" s="176" t="s">
        <v>245</v>
      </c>
      <c r="AC122" s="178" t="s">
        <v>245</v>
      </c>
      <c r="AD122" s="176" t="s">
        <v>245</v>
      </c>
      <c r="AE122" s="176" t="s">
        <v>245</v>
      </c>
      <c r="AF122" s="176" t="s">
        <v>245</v>
      </c>
      <c r="AG122" s="176">
        <v>0.0</v>
      </c>
      <c r="AH122" s="176" t="s">
        <v>245</v>
      </c>
      <c r="AI122" s="176" t="s">
        <v>245</v>
      </c>
      <c r="AJ122" s="176" t="s">
        <v>245</v>
      </c>
      <c r="AK122" s="176">
        <v>0.0</v>
      </c>
      <c r="AL122" s="176">
        <v>0.0</v>
      </c>
      <c r="AM122" s="176">
        <v>0.0</v>
      </c>
      <c r="AN122" s="177">
        <v>220.0</v>
      </c>
      <c r="AQ122" s="176" t="s">
        <v>245</v>
      </c>
      <c r="AR122" s="176" t="s">
        <v>245</v>
      </c>
      <c r="AU122" s="176" t="s">
        <v>245</v>
      </c>
      <c r="AV122" s="189" t="s">
        <v>245</v>
      </c>
      <c r="AW122" s="176">
        <v>2710.0</v>
      </c>
      <c r="AX122" s="177">
        <v>1400.0</v>
      </c>
      <c r="AY122" s="177" t="s">
        <v>245</v>
      </c>
    </row>
    <row r="123">
      <c r="A123" s="179"/>
      <c r="B123" s="180" t="s">
        <v>144</v>
      </c>
      <c r="C123" s="181">
        <f t="shared" ref="C123:AG123" si="35">SUM(C113:C122)</f>
        <v>97191.39545</v>
      </c>
      <c r="D123" s="182">
        <f t="shared" si="35"/>
        <v>2817</v>
      </c>
      <c r="E123" s="182">
        <f t="shared" si="35"/>
        <v>1910</v>
      </c>
      <c r="F123" s="182">
        <f t="shared" si="35"/>
        <v>1045</v>
      </c>
      <c r="G123" s="183">
        <f t="shared" si="35"/>
        <v>1640</v>
      </c>
      <c r="H123" s="182">
        <f t="shared" si="35"/>
        <v>340</v>
      </c>
      <c r="I123" s="182">
        <f t="shared" si="35"/>
        <v>80</v>
      </c>
      <c r="J123" s="182">
        <f t="shared" si="35"/>
        <v>0</v>
      </c>
      <c r="K123" s="182">
        <f t="shared" si="35"/>
        <v>0</v>
      </c>
      <c r="L123" s="182">
        <f t="shared" si="35"/>
        <v>895</v>
      </c>
      <c r="M123" s="182">
        <f t="shared" si="35"/>
        <v>600</v>
      </c>
      <c r="N123" s="182">
        <f t="shared" si="35"/>
        <v>600</v>
      </c>
      <c r="O123" s="182">
        <f t="shared" si="35"/>
        <v>480</v>
      </c>
      <c r="P123" s="182">
        <f t="shared" si="35"/>
        <v>120</v>
      </c>
      <c r="Q123" s="182">
        <f t="shared" si="35"/>
        <v>989</v>
      </c>
      <c r="R123" s="182">
        <f t="shared" si="35"/>
        <v>1092</v>
      </c>
      <c r="S123" s="182">
        <f t="shared" si="35"/>
        <v>104</v>
      </c>
      <c r="T123" s="182">
        <f t="shared" si="35"/>
        <v>23</v>
      </c>
      <c r="U123" s="182">
        <f t="shared" si="35"/>
        <v>65</v>
      </c>
      <c r="V123" s="182">
        <f t="shared" si="35"/>
        <v>8</v>
      </c>
      <c r="W123" s="182">
        <f t="shared" si="35"/>
        <v>234</v>
      </c>
      <c r="X123" s="182">
        <f t="shared" si="35"/>
        <v>50</v>
      </c>
      <c r="Y123" s="182">
        <f t="shared" si="35"/>
        <v>30</v>
      </c>
      <c r="Z123" s="182">
        <f t="shared" si="35"/>
        <v>800</v>
      </c>
      <c r="AA123" s="182">
        <f t="shared" si="35"/>
        <v>385</v>
      </c>
      <c r="AB123" s="182">
        <f t="shared" si="35"/>
        <v>1429.75</v>
      </c>
      <c r="AC123" s="183">
        <f t="shared" si="35"/>
        <v>87</v>
      </c>
      <c r="AD123" s="182">
        <f t="shared" si="35"/>
        <v>360</v>
      </c>
      <c r="AE123" s="182">
        <f t="shared" si="35"/>
        <v>14</v>
      </c>
      <c r="AF123" s="182">
        <f t="shared" si="35"/>
        <v>0</v>
      </c>
      <c r="AG123" s="182">
        <f t="shared" si="35"/>
        <v>850</v>
      </c>
      <c r="AH123" s="182">
        <v>0.0</v>
      </c>
      <c r="AI123" s="182">
        <v>0.0</v>
      </c>
      <c r="AJ123" s="182">
        <v>0.0</v>
      </c>
      <c r="AK123" s="182">
        <f t="shared" ref="AK123:AU123" si="36">SUM(AK113:AK122)</f>
        <v>460</v>
      </c>
      <c r="AL123" s="182">
        <f t="shared" si="36"/>
        <v>1470</v>
      </c>
      <c r="AM123" s="182">
        <f t="shared" si="36"/>
        <v>476</v>
      </c>
      <c r="AN123" s="183">
        <f t="shared" si="36"/>
        <v>906</v>
      </c>
      <c r="AO123" s="182">
        <f t="shared" si="36"/>
        <v>9078.6</v>
      </c>
      <c r="AP123" s="182">
        <f t="shared" si="36"/>
        <v>17210.5</v>
      </c>
      <c r="AQ123" s="182">
        <f t="shared" si="36"/>
        <v>28096.66116</v>
      </c>
      <c r="AR123" s="182">
        <f t="shared" si="36"/>
        <v>30</v>
      </c>
      <c r="AS123" s="182">
        <f t="shared" si="36"/>
        <v>1083.471074</v>
      </c>
      <c r="AT123" s="182">
        <f t="shared" si="36"/>
        <v>1809.024793</v>
      </c>
      <c r="AU123" s="182">
        <f t="shared" si="36"/>
        <v>2293.38843</v>
      </c>
      <c r="AV123" s="190"/>
      <c r="AW123" s="182">
        <f t="shared" ref="AW123:AX123" si="37">SUM(AW113:AW122)</f>
        <v>12330</v>
      </c>
      <c r="AX123" s="183">
        <f t="shared" si="37"/>
        <v>4900</v>
      </c>
      <c r="AY123" s="183">
        <v>2486.0</v>
      </c>
    </row>
    <row r="124">
      <c r="A124" s="173" t="s">
        <v>262</v>
      </c>
      <c r="B124" s="174" t="s">
        <v>164</v>
      </c>
      <c r="C124" s="175">
        <f t="shared" ref="C124:C133" si="38">SUM(D124:AY124)</f>
        <v>21650.49149</v>
      </c>
      <c r="D124" s="176">
        <f>230+250</f>
        <v>480</v>
      </c>
      <c r="E124" s="176">
        <f>180+234</f>
        <v>414</v>
      </c>
      <c r="F124" s="176" t="s">
        <v>245</v>
      </c>
      <c r="G124" s="177">
        <v>440.0</v>
      </c>
      <c r="H124" s="176">
        <v>80.0</v>
      </c>
      <c r="I124" s="176" t="s">
        <v>245</v>
      </c>
      <c r="J124" s="176">
        <v>0.0</v>
      </c>
      <c r="K124" s="176">
        <v>0.0</v>
      </c>
      <c r="L124" s="176">
        <f>75</f>
        <v>75</v>
      </c>
      <c r="M124" s="176" t="s">
        <v>245</v>
      </c>
      <c r="N124" s="176" t="s">
        <v>245</v>
      </c>
      <c r="O124" s="176" t="s">
        <v>245</v>
      </c>
      <c r="P124" s="176" t="s">
        <v>245</v>
      </c>
      <c r="Q124" s="176">
        <v>138.0</v>
      </c>
      <c r="R124" s="176">
        <v>481.0</v>
      </c>
      <c r="S124" s="176">
        <v>8.0</v>
      </c>
      <c r="T124" s="176">
        <v>46.0</v>
      </c>
      <c r="U124" s="176">
        <v>0.0</v>
      </c>
      <c r="V124" s="176">
        <v>0.0</v>
      </c>
      <c r="W124" s="176" t="s">
        <v>245</v>
      </c>
      <c r="X124" s="176" t="s">
        <v>245</v>
      </c>
      <c r="Y124" s="176" t="s">
        <v>245</v>
      </c>
      <c r="Z124" s="176">
        <v>170.0</v>
      </c>
      <c r="AA124" s="176">
        <v>130.0</v>
      </c>
      <c r="AB124" s="176">
        <v>378.0</v>
      </c>
      <c r="AC124" s="177">
        <v>31.0</v>
      </c>
      <c r="AD124" s="176">
        <v>345.0</v>
      </c>
      <c r="AE124" s="176">
        <v>294.0</v>
      </c>
      <c r="AF124" s="176">
        <v>300.0</v>
      </c>
      <c r="AG124" s="176" t="s">
        <v>245</v>
      </c>
      <c r="AH124" s="176" t="s">
        <v>245</v>
      </c>
      <c r="AI124" s="176" t="s">
        <v>245</v>
      </c>
      <c r="AJ124" s="176" t="s">
        <v>245</v>
      </c>
      <c r="AK124" s="176" t="s">
        <v>245</v>
      </c>
      <c r="AL124" s="176" t="s">
        <v>245</v>
      </c>
      <c r="AM124" s="176" t="s">
        <v>245</v>
      </c>
      <c r="AN124" s="178" t="s">
        <v>245</v>
      </c>
      <c r="AO124" s="176">
        <v>2273.02</v>
      </c>
      <c r="AP124" s="176">
        <v>5911.05</v>
      </c>
      <c r="AQ124" s="176">
        <v>8397.520661157</v>
      </c>
      <c r="AR124" s="176">
        <v>0.0</v>
      </c>
      <c r="AS124" s="176">
        <v>330.578512397</v>
      </c>
      <c r="AT124" s="176">
        <v>622.537190083</v>
      </c>
      <c r="AU124" s="176">
        <v>305.785123967</v>
      </c>
      <c r="AV124" s="187"/>
      <c r="AW124" s="176" t="s">
        <v>245</v>
      </c>
      <c r="AX124" s="177" t="s">
        <v>245</v>
      </c>
      <c r="AY124" s="177" t="s">
        <v>245</v>
      </c>
    </row>
    <row r="125">
      <c r="B125" s="174" t="s">
        <v>155</v>
      </c>
      <c r="C125" s="175">
        <f t="shared" si="38"/>
        <v>19524.83446</v>
      </c>
      <c r="D125" s="176">
        <f>240+292</f>
        <v>532</v>
      </c>
      <c r="E125" s="176">
        <f>140+182</f>
        <v>322</v>
      </c>
      <c r="F125" s="176" t="s">
        <v>245</v>
      </c>
      <c r="G125" s="177">
        <v>380.0</v>
      </c>
      <c r="H125" s="176">
        <v>110.0</v>
      </c>
      <c r="I125" s="176" t="s">
        <v>245</v>
      </c>
      <c r="J125" s="176">
        <v>0.0</v>
      </c>
      <c r="K125" s="176">
        <v>0.0</v>
      </c>
      <c r="L125" s="176">
        <f>96+20</f>
        <v>116</v>
      </c>
      <c r="M125" s="176" t="s">
        <v>245</v>
      </c>
      <c r="N125" s="176" t="s">
        <v>245</v>
      </c>
      <c r="O125" s="176" t="s">
        <v>245</v>
      </c>
      <c r="P125" s="176" t="s">
        <v>245</v>
      </c>
      <c r="Q125" s="176">
        <v>161.0</v>
      </c>
      <c r="R125" s="176">
        <v>364.0</v>
      </c>
      <c r="S125" s="176">
        <v>24.0</v>
      </c>
      <c r="T125" s="176">
        <v>23.0</v>
      </c>
      <c r="U125" s="176">
        <v>0.0</v>
      </c>
      <c r="V125" s="176">
        <v>4.0</v>
      </c>
      <c r="W125" s="176" t="s">
        <v>245</v>
      </c>
      <c r="X125" s="176" t="s">
        <v>245</v>
      </c>
      <c r="Y125" s="176" t="s">
        <v>245</v>
      </c>
      <c r="Z125" s="176">
        <v>10.0</v>
      </c>
      <c r="AA125" s="176">
        <v>70.0</v>
      </c>
      <c r="AB125" s="176">
        <v>278.75</v>
      </c>
      <c r="AC125" s="177">
        <v>34.0</v>
      </c>
      <c r="AD125" s="176">
        <v>345.0</v>
      </c>
      <c r="AE125" s="176">
        <v>294.0</v>
      </c>
      <c r="AF125" s="176">
        <v>135.0</v>
      </c>
      <c r="AG125" s="176" t="s">
        <v>245</v>
      </c>
      <c r="AH125" s="176" t="s">
        <v>245</v>
      </c>
      <c r="AI125" s="176" t="s">
        <v>245</v>
      </c>
      <c r="AJ125" s="176" t="s">
        <v>245</v>
      </c>
      <c r="AK125" s="176" t="s">
        <v>245</v>
      </c>
      <c r="AL125" s="176" t="s">
        <v>245</v>
      </c>
      <c r="AM125" s="176" t="s">
        <v>245</v>
      </c>
      <c r="AN125" s="178" t="s">
        <v>245</v>
      </c>
      <c r="AO125" s="176">
        <v>2704.83</v>
      </c>
      <c r="AP125" s="176">
        <v>7595.99</v>
      </c>
      <c r="AQ125" s="176">
        <v>4576.016528926</v>
      </c>
      <c r="AR125" s="176">
        <v>0.0</v>
      </c>
      <c r="AS125" s="176">
        <v>244.628099174</v>
      </c>
      <c r="AT125" s="176">
        <v>634.504132231</v>
      </c>
      <c r="AU125" s="176">
        <v>566.115702479</v>
      </c>
      <c r="AV125" s="187"/>
      <c r="AW125" s="176" t="s">
        <v>245</v>
      </c>
      <c r="AX125" s="177" t="s">
        <v>245</v>
      </c>
      <c r="AY125" s="177" t="s">
        <v>245</v>
      </c>
    </row>
    <row r="126">
      <c r="B126" s="174" t="s">
        <v>163</v>
      </c>
      <c r="C126" s="175">
        <f t="shared" si="38"/>
        <v>11443.37926</v>
      </c>
      <c r="D126" s="176">
        <f>110+94</f>
        <v>204</v>
      </c>
      <c r="E126" s="176">
        <f>90+117</f>
        <v>207</v>
      </c>
      <c r="F126" s="176" t="s">
        <v>245</v>
      </c>
      <c r="G126" s="177">
        <v>220.0</v>
      </c>
      <c r="H126" s="176">
        <v>60.0</v>
      </c>
      <c r="I126" s="176" t="s">
        <v>245</v>
      </c>
      <c r="J126" s="176">
        <v>0.0</v>
      </c>
      <c r="K126" s="176">
        <v>0.0</v>
      </c>
      <c r="L126" s="176">
        <f>85+30</f>
        <v>115</v>
      </c>
      <c r="M126" s="176" t="s">
        <v>245</v>
      </c>
      <c r="N126" s="176" t="s">
        <v>245</v>
      </c>
      <c r="O126" s="176" t="s">
        <v>245</v>
      </c>
      <c r="P126" s="176" t="s">
        <v>245</v>
      </c>
      <c r="Q126" s="176">
        <v>92.0</v>
      </c>
      <c r="R126" s="176">
        <v>156.0</v>
      </c>
      <c r="S126" s="176">
        <v>20.0</v>
      </c>
      <c r="T126" s="176">
        <v>0.0</v>
      </c>
      <c r="U126" s="176">
        <v>0.0</v>
      </c>
      <c r="V126" s="176">
        <v>0.0</v>
      </c>
      <c r="W126" s="176" t="s">
        <v>245</v>
      </c>
      <c r="X126" s="176" t="s">
        <v>245</v>
      </c>
      <c r="Y126" s="176" t="s">
        <v>245</v>
      </c>
      <c r="Z126" s="176">
        <v>220.0</v>
      </c>
      <c r="AA126" s="176">
        <v>55.0</v>
      </c>
      <c r="AB126" s="176">
        <v>187.25</v>
      </c>
      <c r="AC126" s="177">
        <v>27.0</v>
      </c>
      <c r="AD126" s="176">
        <v>180.0</v>
      </c>
      <c r="AE126" s="176">
        <v>182.0</v>
      </c>
      <c r="AF126" s="176">
        <v>150.0</v>
      </c>
      <c r="AG126" s="176" t="s">
        <v>245</v>
      </c>
      <c r="AH126" s="176" t="s">
        <v>245</v>
      </c>
      <c r="AI126" s="176" t="s">
        <v>245</v>
      </c>
      <c r="AJ126" s="176" t="s">
        <v>245</v>
      </c>
      <c r="AK126" s="176" t="s">
        <v>245</v>
      </c>
      <c r="AL126" s="176" t="s">
        <v>245</v>
      </c>
      <c r="AM126" s="176" t="s">
        <v>245</v>
      </c>
      <c r="AN126" s="178" t="s">
        <v>245</v>
      </c>
      <c r="AO126" s="176">
        <v>1173.39</v>
      </c>
      <c r="AP126" s="176">
        <v>2845.45</v>
      </c>
      <c r="AQ126" s="176">
        <v>4601.652892562</v>
      </c>
      <c r="AR126" s="176">
        <v>0.0</v>
      </c>
      <c r="AS126" s="176">
        <v>104.132231405</v>
      </c>
      <c r="AT126" s="176">
        <v>486.479338843</v>
      </c>
      <c r="AU126" s="176">
        <v>157.024793388</v>
      </c>
      <c r="AV126" s="187"/>
      <c r="AW126" s="176" t="s">
        <v>245</v>
      </c>
      <c r="AX126" s="177" t="s">
        <v>245</v>
      </c>
      <c r="AY126" s="177" t="s">
        <v>245</v>
      </c>
    </row>
    <row r="127">
      <c r="B127" s="174" t="s">
        <v>161</v>
      </c>
      <c r="C127" s="175">
        <f t="shared" si="38"/>
        <v>9937.728512</v>
      </c>
      <c r="D127" s="176">
        <f>140+144</f>
        <v>284</v>
      </c>
      <c r="E127" s="176">
        <f>40+72</f>
        <v>112</v>
      </c>
      <c r="F127" s="176" t="s">
        <v>245</v>
      </c>
      <c r="G127" s="177">
        <v>360.0</v>
      </c>
      <c r="H127" s="176">
        <v>0.0</v>
      </c>
      <c r="I127" s="176" t="s">
        <v>245</v>
      </c>
      <c r="J127" s="176">
        <v>0.0</v>
      </c>
      <c r="K127" s="176">
        <v>0.0</v>
      </c>
      <c r="L127" s="176">
        <v>70.0</v>
      </c>
      <c r="M127" s="176" t="s">
        <v>245</v>
      </c>
      <c r="N127" s="176" t="s">
        <v>245</v>
      </c>
      <c r="O127" s="176" t="s">
        <v>245</v>
      </c>
      <c r="P127" s="176" t="s">
        <v>245</v>
      </c>
      <c r="Q127" s="176">
        <v>69.0</v>
      </c>
      <c r="R127" s="176">
        <v>117.0</v>
      </c>
      <c r="S127" s="176">
        <v>32.0</v>
      </c>
      <c r="T127" s="176">
        <v>0.0</v>
      </c>
      <c r="U127" s="176">
        <v>0.0</v>
      </c>
      <c r="V127" s="176">
        <v>0.0</v>
      </c>
      <c r="W127" s="176" t="s">
        <v>245</v>
      </c>
      <c r="X127" s="176" t="s">
        <v>245</v>
      </c>
      <c r="Y127" s="176" t="s">
        <v>245</v>
      </c>
      <c r="Z127" s="176">
        <v>160.0</v>
      </c>
      <c r="AA127" s="176">
        <v>35.0</v>
      </c>
      <c r="AB127" s="176">
        <v>194.25</v>
      </c>
      <c r="AC127" s="177">
        <v>0.0</v>
      </c>
      <c r="AD127" s="176">
        <v>210.0</v>
      </c>
      <c r="AE127" s="176">
        <v>0.0</v>
      </c>
      <c r="AF127" s="176">
        <v>75.0</v>
      </c>
      <c r="AG127" s="176" t="s">
        <v>245</v>
      </c>
      <c r="AH127" s="176" t="s">
        <v>245</v>
      </c>
      <c r="AI127" s="176" t="s">
        <v>245</v>
      </c>
      <c r="AJ127" s="176" t="s">
        <v>245</v>
      </c>
      <c r="AK127" s="176" t="s">
        <v>245</v>
      </c>
      <c r="AL127" s="176" t="s">
        <v>245</v>
      </c>
      <c r="AM127" s="176" t="s">
        <v>245</v>
      </c>
      <c r="AN127" s="178" t="s">
        <v>245</v>
      </c>
      <c r="AO127" s="176">
        <v>1111.02</v>
      </c>
      <c r="AP127" s="176">
        <v>2958.38</v>
      </c>
      <c r="AQ127" s="176">
        <v>2686.776859504</v>
      </c>
      <c r="AR127" s="176">
        <v>292.5</v>
      </c>
      <c r="AS127" s="176">
        <v>191.73553719</v>
      </c>
      <c r="AT127" s="176">
        <v>301.380165289</v>
      </c>
      <c r="AU127" s="176">
        <v>677.685950413</v>
      </c>
      <c r="AV127" s="187"/>
      <c r="AW127" s="176" t="s">
        <v>245</v>
      </c>
      <c r="AX127" s="177" t="s">
        <v>245</v>
      </c>
      <c r="AY127" s="177" t="s">
        <v>245</v>
      </c>
    </row>
    <row r="128">
      <c r="B128" s="174" t="s">
        <v>159</v>
      </c>
      <c r="C128" s="175">
        <f t="shared" si="38"/>
        <v>15978.63165</v>
      </c>
      <c r="D128" s="176">
        <f>170+96</f>
        <v>266</v>
      </c>
      <c r="E128" s="176">
        <f>80+114</f>
        <v>194</v>
      </c>
      <c r="F128" s="176" t="s">
        <v>245</v>
      </c>
      <c r="G128" s="177">
        <v>350.0</v>
      </c>
      <c r="H128" s="176">
        <v>0.0</v>
      </c>
      <c r="I128" s="176" t="s">
        <v>245</v>
      </c>
      <c r="J128" s="176">
        <v>0.0</v>
      </c>
      <c r="K128" s="176">
        <v>0.0</v>
      </c>
      <c r="L128" s="176">
        <f>75+10</f>
        <v>85</v>
      </c>
      <c r="M128" s="176" t="s">
        <v>245</v>
      </c>
      <c r="N128" s="176" t="s">
        <v>245</v>
      </c>
      <c r="O128" s="176" t="s">
        <v>245</v>
      </c>
      <c r="P128" s="176" t="s">
        <v>245</v>
      </c>
      <c r="Q128" s="176">
        <v>184.0</v>
      </c>
      <c r="R128" s="176">
        <v>351.0</v>
      </c>
      <c r="S128" s="176">
        <v>0.0</v>
      </c>
      <c r="T128" s="176">
        <v>0.0</v>
      </c>
      <c r="U128" s="176">
        <v>0.0</v>
      </c>
      <c r="V128" s="176">
        <v>0.0</v>
      </c>
      <c r="W128" s="176" t="s">
        <v>245</v>
      </c>
      <c r="X128" s="176" t="s">
        <v>245</v>
      </c>
      <c r="Y128" s="176" t="s">
        <v>245</v>
      </c>
      <c r="Z128" s="176">
        <v>60.0</v>
      </c>
      <c r="AA128" s="176">
        <v>0.0</v>
      </c>
      <c r="AB128" s="176">
        <v>291.75</v>
      </c>
      <c r="AC128" s="177">
        <v>9.0</v>
      </c>
      <c r="AD128" s="176">
        <v>240.0</v>
      </c>
      <c r="AE128" s="176">
        <v>0.0</v>
      </c>
      <c r="AF128" s="176">
        <v>165.0</v>
      </c>
      <c r="AG128" s="176" t="s">
        <v>245</v>
      </c>
      <c r="AH128" s="176" t="s">
        <v>245</v>
      </c>
      <c r="AI128" s="176" t="s">
        <v>245</v>
      </c>
      <c r="AJ128" s="176" t="s">
        <v>245</v>
      </c>
      <c r="AK128" s="176" t="s">
        <v>245</v>
      </c>
      <c r="AL128" s="176" t="s">
        <v>245</v>
      </c>
      <c r="AM128" s="176" t="s">
        <v>245</v>
      </c>
      <c r="AN128" s="178" t="s">
        <v>245</v>
      </c>
      <c r="AO128" s="176">
        <v>2496.72</v>
      </c>
      <c r="AP128" s="176">
        <v>6317.36</v>
      </c>
      <c r="AQ128" s="176">
        <v>3786.363636364</v>
      </c>
      <c r="AR128" s="176">
        <v>0.0</v>
      </c>
      <c r="AS128" s="176">
        <v>99.173553719</v>
      </c>
      <c r="AT128" s="176">
        <v>335.330578512</v>
      </c>
      <c r="AU128" s="176">
        <v>747.933884298</v>
      </c>
      <c r="AV128" s="187"/>
      <c r="AW128" s="176" t="s">
        <v>245</v>
      </c>
      <c r="AX128" s="177" t="s">
        <v>245</v>
      </c>
      <c r="AY128" s="177" t="s">
        <v>245</v>
      </c>
    </row>
    <row r="129">
      <c r="B129" s="174" t="s">
        <v>246</v>
      </c>
      <c r="C129" s="175">
        <f t="shared" si="38"/>
        <v>6599.280992</v>
      </c>
      <c r="D129" s="176">
        <f t="shared" ref="D129:D130" si="39">45+50</f>
        <v>95</v>
      </c>
      <c r="E129" s="176">
        <f>20+140</f>
        <v>160</v>
      </c>
      <c r="F129" s="176">
        <f>190+20+630</f>
        <v>840</v>
      </c>
      <c r="G129" s="177">
        <v>10.0</v>
      </c>
      <c r="H129" s="176" t="s">
        <v>245</v>
      </c>
      <c r="I129" s="176">
        <v>0.0</v>
      </c>
      <c r="J129" s="176" t="s">
        <v>245</v>
      </c>
      <c r="K129" s="176" t="s">
        <v>245</v>
      </c>
      <c r="L129" s="176" t="s">
        <v>245</v>
      </c>
      <c r="M129" s="176">
        <v>100.0</v>
      </c>
      <c r="N129" s="176">
        <v>200.0</v>
      </c>
      <c r="O129" s="176">
        <v>90.0</v>
      </c>
      <c r="P129" s="176">
        <v>60.0</v>
      </c>
      <c r="Q129" s="176" t="s">
        <v>245</v>
      </c>
      <c r="R129" s="176" t="s">
        <v>245</v>
      </c>
      <c r="S129" s="176" t="s">
        <v>245</v>
      </c>
      <c r="T129" s="176" t="s">
        <v>245</v>
      </c>
      <c r="U129" s="176" t="s">
        <v>245</v>
      </c>
      <c r="V129" s="176" t="s">
        <v>245</v>
      </c>
      <c r="W129" s="176">
        <v>25.0</v>
      </c>
      <c r="X129" s="176">
        <v>18.0</v>
      </c>
      <c r="Y129" s="176">
        <v>10.0</v>
      </c>
      <c r="Z129" s="176" t="s">
        <v>245</v>
      </c>
      <c r="AA129" s="176" t="s">
        <v>245</v>
      </c>
      <c r="AB129" s="176" t="s">
        <v>245</v>
      </c>
      <c r="AC129" s="178" t="s">
        <v>245</v>
      </c>
      <c r="AD129" s="176" t="s">
        <v>245</v>
      </c>
      <c r="AE129" s="176" t="s">
        <v>245</v>
      </c>
      <c r="AF129" s="176" t="s">
        <v>245</v>
      </c>
      <c r="AG129" s="176">
        <v>1225.0</v>
      </c>
      <c r="AH129" s="176" t="s">
        <v>245</v>
      </c>
      <c r="AI129" s="176" t="s">
        <v>245</v>
      </c>
      <c r="AJ129" s="176" t="s">
        <v>245</v>
      </c>
      <c r="AK129" s="176">
        <v>340.0</v>
      </c>
      <c r="AL129" s="176">
        <v>630.0</v>
      </c>
      <c r="AM129" s="176">
        <v>0.0</v>
      </c>
      <c r="AN129" s="177">
        <v>0.0</v>
      </c>
      <c r="AO129" s="176">
        <v>0.0</v>
      </c>
      <c r="AP129" s="176">
        <v>0.0</v>
      </c>
      <c r="AQ129" s="176" t="s">
        <v>245</v>
      </c>
      <c r="AR129" s="176" t="s">
        <v>245</v>
      </c>
      <c r="AS129" s="176">
        <v>46.280991736</v>
      </c>
      <c r="AT129" s="176">
        <v>0.0</v>
      </c>
      <c r="AU129" s="176" t="s">
        <v>245</v>
      </c>
      <c r="AV129" s="188" t="s">
        <v>245</v>
      </c>
      <c r="AW129" s="176">
        <v>2400.0</v>
      </c>
      <c r="AX129" s="177">
        <v>350.0</v>
      </c>
      <c r="AY129" s="177" t="s">
        <v>245</v>
      </c>
    </row>
    <row r="130">
      <c r="B130" s="174" t="s">
        <v>247</v>
      </c>
      <c r="C130" s="175">
        <f t="shared" si="38"/>
        <v>6895</v>
      </c>
      <c r="D130" s="176">
        <f t="shared" si="39"/>
        <v>95</v>
      </c>
      <c r="E130" s="176">
        <f>70+30+420</f>
        <v>520</v>
      </c>
      <c r="F130" s="176">
        <f>150+560</f>
        <v>710</v>
      </c>
      <c r="G130" s="177">
        <v>40.0</v>
      </c>
      <c r="H130" s="176" t="s">
        <v>245</v>
      </c>
      <c r="I130" s="176">
        <v>0.0</v>
      </c>
      <c r="J130" s="176" t="s">
        <v>245</v>
      </c>
      <c r="K130" s="176" t="s">
        <v>245</v>
      </c>
      <c r="L130" s="176" t="s">
        <v>245</v>
      </c>
      <c r="M130" s="176">
        <v>100.0</v>
      </c>
      <c r="N130" s="176">
        <v>100.0</v>
      </c>
      <c r="O130" s="176">
        <v>43.0</v>
      </c>
      <c r="P130" s="176">
        <v>0.0</v>
      </c>
      <c r="Q130" s="176" t="s">
        <v>245</v>
      </c>
      <c r="R130" s="176" t="s">
        <v>245</v>
      </c>
      <c r="S130" s="176" t="s">
        <v>245</v>
      </c>
      <c r="T130" s="176" t="s">
        <v>245</v>
      </c>
      <c r="U130" s="176" t="s">
        <v>245</v>
      </c>
      <c r="V130" s="176" t="s">
        <v>245</v>
      </c>
      <c r="W130" s="176">
        <v>75.0</v>
      </c>
      <c r="X130" s="176">
        <v>72.0</v>
      </c>
      <c r="Y130" s="176">
        <v>0.0</v>
      </c>
      <c r="Z130" s="176" t="s">
        <v>245</v>
      </c>
      <c r="AA130" s="176" t="s">
        <v>245</v>
      </c>
      <c r="AB130" s="176" t="s">
        <v>245</v>
      </c>
      <c r="AC130" s="178" t="s">
        <v>245</v>
      </c>
      <c r="AD130" s="176" t="s">
        <v>245</v>
      </c>
      <c r="AE130" s="176" t="s">
        <v>245</v>
      </c>
      <c r="AF130" s="176" t="s">
        <v>245</v>
      </c>
      <c r="AG130" s="176">
        <v>1675.0</v>
      </c>
      <c r="AH130" s="176" t="s">
        <v>245</v>
      </c>
      <c r="AI130" s="176" t="s">
        <v>245</v>
      </c>
      <c r="AJ130" s="176" t="s">
        <v>245</v>
      </c>
      <c r="AK130" s="176">
        <v>120.0</v>
      </c>
      <c r="AL130" s="176">
        <v>595.0</v>
      </c>
      <c r="AM130" s="176">
        <v>0.0</v>
      </c>
      <c r="AN130" s="177">
        <v>0.0</v>
      </c>
      <c r="AQ130" s="176" t="s">
        <v>245</v>
      </c>
      <c r="AR130" s="176" t="s">
        <v>245</v>
      </c>
      <c r="AU130" s="176" t="s">
        <v>245</v>
      </c>
      <c r="AV130" s="188" t="s">
        <v>245</v>
      </c>
      <c r="AW130" s="176">
        <v>2400.0</v>
      </c>
      <c r="AX130" s="177">
        <v>350.0</v>
      </c>
      <c r="AY130" s="177" t="s">
        <v>245</v>
      </c>
    </row>
    <row r="131">
      <c r="B131" s="174" t="s">
        <v>249</v>
      </c>
      <c r="C131" s="175">
        <f t="shared" si="38"/>
        <v>5493</v>
      </c>
      <c r="D131" s="176">
        <v>10.0</v>
      </c>
      <c r="E131" s="176">
        <v>0.0</v>
      </c>
      <c r="F131" s="176">
        <v>0.0</v>
      </c>
      <c r="G131" s="177">
        <v>0.0</v>
      </c>
      <c r="H131" s="176" t="s">
        <v>245</v>
      </c>
      <c r="I131" s="176">
        <v>10.0</v>
      </c>
      <c r="J131" s="176" t="s">
        <v>245</v>
      </c>
      <c r="K131" s="176" t="s">
        <v>245</v>
      </c>
      <c r="L131" s="176" t="s">
        <v>245</v>
      </c>
      <c r="M131" s="176">
        <v>100.0</v>
      </c>
      <c r="N131" s="176">
        <v>200.0</v>
      </c>
      <c r="O131" s="176">
        <v>70.0</v>
      </c>
      <c r="P131" s="176">
        <v>20.0</v>
      </c>
      <c r="Q131" s="176" t="s">
        <v>245</v>
      </c>
      <c r="R131" s="176" t="s">
        <v>245</v>
      </c>
      <c r="S131" s="176" t="s">
        <v>245</v>
      </c>
      <c r="T131" s="176" t="s">
        <v>245</v>
      </c>
      <c r="U131" s="176" t="s">
        <v>245</v>
      </c>
      <c r="V131" s="176" t="s">
        <v>245</v>
      </c>
      <c r="W131" s="176">
        <v>175.0</v>
      </c>
      <c r="X131" s="176">
        <v>18.0</v>
      </c>
      <c r="Y131" s="176">
        <v>10.0</v>
      </c>
      <c r="Z131" s="176" t="s">
        <v>245</v>
      </c>
      <c r="AA131" s="176" t="s">
        <v>245</v>
      </c>
      <c r="AB131" s="176" t="s">
        <v>245</v>
      </c>
      <c r="AC131" s="178" t="s">
        <v>245</v>
      </c>
      <c r="AD131" s="176" t="s">
        <v>245</v>
      </c>
      <c r="AE131" s="176" t="s">
        <v>245</v>
      </c>
      <c r="AF131" s="176" t="s">
        <v>245</v>
      </c>
      <c r="AG131" s="176">
        <v>0.0</v>
      </c>
      <c r="AH131" s="176" t="s">
        <v>245</v>
      </c>
      <c r="AI131" s="176" t="s">
        <v>245</v>
      </c>
      <c r="AJ131" s="176" t="s">
        <v>245</v>
      </c>
      <c r="AK131" s="176">
        <v>0.0</v>
      </c>
      <c r="AL131" s="176">
        <v>630.0</v>
      </c>
      <c r="AM131" s="176">
        <v>0.0</v>
      </c>
      <c r="AN131" s="177">
        <v>50.0</v>
      </c>
      <c r="AQ131" s="176" t="s">
        <v>245</v>
      </c>
      <c r="AR131" s="176" t="s">
        <v>245</v>
      </c>
      <c r="AU131" s="176" t="s">
        <v>245</v>
      </c>
      <c r="AV131" s="188" t="s">
        <v>245</v>
      </c>
      <c r="AW131" s="176">
        <v>2800.0</v>
      </c>
      <c r="AX131" s="177">
        <v>1400.0</v>
      </c>
      <c r="AY131" s="177" t="s">
        <v>245</v>
      </c>
    </row>
    <row r="132">
      <c r="B132" s="174" t="s">
        <v>250</v>
      </c>
      <c r="C132" s="175">
        <f t="shared" si="38"/>
        <v>6183</v>
      </c>
      <c r="D132" s="176">
        <f>10+10</f>
        <v>20</v>
      </c>
      <c r="E132" s="176">
        <v>0.0</v>
      </c>
      <c r="F132" s="176">
        <v>0.0</v>
      </c>
      <c r="G132" s="177">
        <v>0.0</v>
      </c>
      <c r="H132" s="176" t="s">
        <v>245</v>
      </c>
      <c r="I132" s="176">
        <v>0.0</v>
      </c>
      <c r="J132" s="176" t="s">
        <v>245</v>
      </c>
      <c r="K132" s="176" t="s">
        <v>245</v>
      </c>
      <c r="L132" s="176" t="s">
        <v>245</v>
      </c>
      <c r="M132" s="176">
        <v>400.0</v>
      </c>
      <c r="N132" s="176">
        <v>100.0</v>
      </c>
      <c r="O132" s="176">
        <v>80.0</v>
      </c>
      <c r="P132" s="176">
        <v>0.0</v>
      </c>
      <c r="Q132" s="176" t="s">
        <v>245</v>
      </c>
      <c r="R132" s="176" t="s">
        <v>245</v>
      </c>
      <c r="S132" s="176" t="s">
        <v>245</v>
      </c>
      <c r="T132" s="176" t="s">
        <v>245</v>
      </c>
      <c r="U132" s="176" t="s">
        <v>245</v>
      </c>
      <c r="V132" s="176" t="s">
        <v>245</v>
      </c>
      <c r="W132" s="176">
        <v>100.0</v>
      </c>
      <c r="X132" s="176">
        <v>18.0</v>
      </c>
      <c r="Y132" s="176">
        <v>0.0</v>
      </c>
      <c r="Z132" s="176" t="s">
        <v>245</v>
      </c>
      <c r="AA132" s="176" t="s">
        <v>245</v>
      </c>
      <c r="AB132" s="176" t="s">
        <v>245</v>
      </c>
      <c r="AC132" s="178" t="s">
        <v>245</v>
      </c>
      <c r="AD132" s="176" t="s">
        <v>245</v>
      </c>
      <c r="AE132" s="176" t="s">
        <v>245</v>
      </c>
      <c r="AF132" s="176" t="s">
        <v>245</v>
      </c>
      <c r="AG132" s="176">
        <v>0.0</v>
      </c>
      <c r="AH132" s="176" t="s">
        <v>245</v>
      </c>
      <c r="AI132" s="176" t="s">
        <v>245</v>
      </c>
      <c r="AJ132" s="176" t="s">
        <v>245</v>
      </c>
      <c r="AK132" s="176">
        <v>0.0</v>
      </c>
      <c r="AL132" s="176">
        <v>1225.0</v>
      </c>
      <c r="AM132" s="176">
        <v>0.0</v>
      </c>
      <c r="AN132" s="177">
        <v>40.0</v>
      </c>
      <c r="AQ132" s="176" t="s">
        <v>245</v>
      </c>
      <c r="AR132" s="176" t="s">
        <v>245</v>
      </c>
      <c r="AU132" s="176" t="s">
        <v>245</v>
      </c>
      <c r="AV132" s="188" t="s">
        <v>245</v>
      </c>
      <c r="AW132" s="176">
        <v>2800.0</v>
      </c>
      <c r="AX132" s="177">
        <v>1400.0</v>
      </c>
      <c r="AY132" s="177" t="s">
        <v>245</v>
      </c>
    </row>
    <row r="133">
      <c r="B133" s="174" t="s">
        <v>251</v>
      </c>
      <c r="C133" s="175">
        <f t="shared" si="38"/>
        <v>4892</v>
      </c>
      <c r="D133" s="176">
        <f>0+40</f>
        <v>40</v>
      </c>
      <c r="E133" s="176">
        <v>0.0</v>
      </c>
      <c r="F133" s="176">
        <v>0.0</v>
      </c>
      <c r="G133" s="177">
        <v>0.0</v>
      </c>
      <c r="H133" s="176" t="s">
        <v>245</v>
      </c>
      <c r="I133" s="176">
        <v>0.0</v>
      </c>
      <c r="J133" s="176" t="s">
        <v>245</v>
      </c>
      <c r="K133" s="176" t="s">
        <v>245</v>
      </c>
      <c r="L133" s="176" t="s">
        <v>245</v>
      </c>
      <c r="M133" s="176">
        <v>0.0</v>
      </c>
      <c r="N133" s="176">
        <v>100.0</v>
      </c>
      <c r="O133" s="176">
        <v>140.0</v>
      </c>
      <c r="P133" s="176">
        <v>0.0</v>
      </c>
      <c r="Q133" s="176" t="s">
        <v>245</v>
      </c>
      <c r="R133" s="176" t="s">
        <v>245</v>
      </c>
      <c r="S133" s="176" t="s">
        <v>245</v>
      </c>
      <c r="T133" s="176" t="s">
        <v>245</v>
      </c>
      <c r="U133" s="176" t="s">
        <v>245</v>
      </c>
      <c r="V133" s="176" t="s">
        <v>245</v>
      </c>
      <c r="W133" s="176">
        <v>50.0</v>
      </c>
      <c r="X133" s="176">
        <v>72.0</v>
      </c>
      <c r="Y133" s="176">
        <v>0.0</v>
      </c>
      <c r="Z133" s="176" t="s">
        <v>245</v>
      </c>
      <c r="AA133" s="176" t="s">
        <v>245</v>
      </c>
      <c r="AB133" s="176" t="s">
        <v>245</v>
      </c>
      <c r="AC133" s="178" t="s">
        <v>245</v>
      </c>
      <c r="AD133" s="176" t="s">
        <v>245</v>
      </c>
      <c r="AE133" s="176" t="s">
        <v>245</v>
      </c>
      <c r="AF133" s="176" t="s">
        <v>245</v>
      </c>
      <c r="AG133" s="176">
        <v>0.0</v>
      </c>
      <c r="AH133" s="176" t="s">
        <v>245</v>
      </c>
      <c r="AI133" s="176" t="s">
        <v>245</v>
      </c>
      <c r="AJ133" s="176" t="s">
        <v>245</v>
      </c>
      <c r="AK133" s="176">
        <v>0.0</v>
      </c>
      <c r="AL133" s="176">
        <v>210.0</v>
      </c>
      <c r="AM133" s="176">
        <v>0.0</v>
      </c>
      <c r="AN133" s="177">
        <v>80.0</v>
      </c>
      <c r="AQ133" s="176" t="s">
        <v>245</v>
      </c>
      <c r="AR133" s="176" t="s">
        <v>245</v>
      </c>
      <c r="AU133" s="176" t="s">
        <v>245</v>
      </c>
      <c r="AV133" s="189" t="s">
        <v>245</v>
      </c>
      <c r="AW133" s="176">
        <v>2800.0</v>
      </c>
      <c r="AX133" s="177">
        <v>1400.0</v>
      </c>
      <c r="AY133" s="177" t="s">
        <v>245</v>
      </c>
    </row>
    <row r="134">
      <c r="A134" s="179"/>
      <c r="B134" s="180" t="s">
        <v>144</v>
      </c>
      <c r="C134" s="181">
        <f t="shared" ref="C134:AG134" si="40">SUM(C124:C133)</f>
        <v>108597.3464</v>
      </c>
      <c r="D134" s="182">
        <f t="shared" si="40"/>
        <v>2026</v>
      </c>
      <c r="E134" s="182">
        <f t="shared" si="40"/>
        <v>1929</v>
      </c>
      <c r="F134" s="182">
        <f t="shared" si="40"/>
        <v>1550</v>
      </c>
      <c r="G134" s="183">
        <f t="shared" si="40"/>
        <v>1800</v>
      </c>
      <c r="H134" s="182">
        <f t="shared" si="40"/>
        <v>250</v>
      </c>
      <c r="I134" s="182">
        <f t="shared" si="40"/>
        <v>10</v>
      </c>
      <c r="J134" s="182">
        <f t="shared" si="40"/>
        <v>0</v>
      </c>
      <c r="K134" s="182">
        <f t="shared" si="40"/>
        <v>0</v>
      </c>
      <c r="L134" s="182">
        <f t="shared" si="40"/>
        <v>461</v>
      </c>
      <c r="M134" s="182">
        <f t="shared" si="40"/>
        <v>700</v>
      </c>
      <c r="N134" s="182">
        <f t="shared" si="40"/>
        <v>700</v>
      </c>
      <c r="O134" s="182">
        <f t="shared" si="40"/>
        <v>423</v>
      </c>
      <c r="P134" s="182">
        <f t="shared" si="40"/>
        <v>80</v>
      </c>
      <c r="Q134" s="182">
        <f t="shared" si="40"/>
        <v>644</v>
      </c>
      <c r="R134" s="182">
        <f t="shared" si="40"/>
        <v>1469</v>
      </c>
      <c r="S134" s="182">
        <f t="shared" si="40"/>
        <v>84</v>
      </c>
      <c r="T134" s="182">
        <f t="shared" si="40"/>
        <v>69</v>
      </c>
      <c r="U134" s="182">
        <f t="shared" si="40"/>
        <v>0</v>
      </c>
      <c r="V134" s="182">
        <f t="shared" si="40"/>
        <v>4</v>
      </c>
      <c r="W134" s="182">
        <f t="shared" si="40"/>
        <v>425</v>
      </c>
      <c r="X134" s="182">
        <f t="shared" si="40"/>
        <v>198</v>
      </c>
      <c r="Y134" s="182">
        <f t="shared" si="40"/>
        <v>20</v>
      </c>
      <c r="Z134" s="182">
        <f t="shared" si="40"/>
        <v>620</v>
      </c>
      <c r="AA134" s="182">
        <f t="shared" si="40"/>
        <v>290</v>
      </c>
      <c r="AB134" s="182">
        <f t="shared" si="40"/>
        <v>1330</v>
      </c>
      <c r="AC134" s="183">
        <f t="shared" si="40"/>
        <v>101</v>
      </c>
      <c r="AD134" s="182">
        <f t="shared" si="40"/>
        <v>1320</v>
      </c>
      <c r="AE134" s="182">
        <f t="shared" si="40"/>
        <v>770</v>
      </c>
      <c r="AF134" s="182">
        <f t="shared" si="40"/>
        <v>825</v>
      </c>
      <c r="AG134" s="182">
        <f t="shared" si="40"/>
        <v>2900</v>
      </c>
      <c r="AH134" s="182">
        <v>0.0</v>
      </c>
      <c r="AI134" s="182">
        <v>0.0</v>
      </c>
      <c r="AJ134" s="182">
        <v>0.0</v>
      </c>
      <c r="AK134" s="182">
        <f t="shared" ref="AK134:AU134" si="41">SUM(AK124:AK133)</f>
        <v>460</v>
      </c>
      <c r="AL134" s="182">
        <f t="shared" si="41"/>
        <v>3290</v>
      </c>
      <c r="AM134" s="182">
        <f t="shared" si="41"/>
        <v>0</v>
      </c>
      <c r="AN134" s="183">
        <f t="shared" si="41"/>
        <v>170</v>
      </c>
      <c r="AO134" s="182">
        <f t="shared" si="41"/>
        <v>9758.98</v>
      </c>
      <c r="AP134" s="182">
        <f t="shared" si="41"/>
        <v>25628.23</v>
      </c>
      <c r="AQ134" s="182">
        <f t="shared" si="41"/>
        <v>24048.33058</v>
      </c>
      <c r="AR134" s="182">
        <f t="shared" si="41"/>
        <v>292.5</v>
      </c>
      <c r="AS134" s="182">
        <f t="shared" si="41"/>
        <v>1016.528926</v>
      </c>
      <c r="AT134" s="182">
        <f t="shared" si="41"/>
        <v>2380.231405</v>
      </c>
      <c r="AU134" s="182">
        <f t="shared" si="41"/>
        <v>2454.545455</v>
      </c>
      <c r="AV134" s="190"/>
      <c r="AW134" s="182">
        <f t="shared" ref="AW134:AX134" si="42">SUM(AW124:AW133)</f>
        <v>13200</v>
      </c>
      <c r="AX134" s="183">
        <f t="shared" si="42"/>
        <v>4900</v>
      </c>
      <c r="AY134" s="183">
        <v>3945.0</v>
      </c>
    </row>
    <row r="135">
      <c r="A135" s="173">
        <v>2016.0</v>
      </c>
      <c r="B135" s="191" t="s">
        <v>263</v>
      </c>
      <c r="C135" s="192">
        <f t="shared" ref="C135:AY135" si="43">C13+C24+C35+C46+C57+C68+C79+C90+C101+C112+C123+C134</f>
        <v>1390643.662</v>
      </c>
      <c r="D135" s="193">
        <f t="shared" si="43"/>
        <v>34465</v>
      </c>
      <c r="E135" s="193">
        <f t="shared" si="43"/>
        <v>29669</v>
      </c>
      <c r="F135" s="193">
        <f t="shared" si="43"/>
        <v>11915</v>
      </c>
      <c r="G135" s="193">
        <f t="shared" si="43"/>
        <v>18850</v>
      </c>
      <c r="H135" s="194">
        <f t="shared" si="43"/>
        <v>4182</v>
      </c>
      <c r="I135" s="194">
        <f t="shared" si="43"/>
        <v>1020</v>
      </c>
      <c r="J135" s="194">
        <f t="shared" si="43"/>
        <v>2383</v>
      </c>
      <c r="K135" s="194">
        <f t="shared" si="43"/>
        <v>3786</v>
      </c>
      <c r="L135" s="194">
        <f t="shared" si="43"/>
        <v>12670</v>
      </c>
      <c r="M135" s="194">
        <f t="shared" si="43"/>
        <v>5595</v>
      </c>
      <c r="N135" s="194">
        <f t="shared" si="43"/>
        <v>6110</v>
      </c>
      <c r="O135" s="194">
        <f t="shared" si="43"/>
        <v>4048</v>
      </c>
      <c r="P135" s="194">
        <f t="shared" si="43"/>
        <v>2685</v>
      </c>
      <c r="Q135" s="194">
        <f t="shared" si="43"/>
        <v>12127</v>
      </c>
      <c r="R135" s="194">
        <f t="shared" si="43"/>
        <v>17455</v>
      </c>
      <c r="S135" s="194">
        <f t="shared" si="43"/>
        <v>657</v>
      </c>
      <c r="T135" s="194">
        <f t="shared" si="43"/>
        <v>978</v>
      </c>
      <c r="U135" s="194">
        <f t="shared" si="43"/>
        <v>1278</v>
      </c>
      <c r="V135" s="194">
        <f t="shared" si="43"/>
        <v>401</v>
      </c>
      <c r="W135" s="194">
        <f t="shared" si="43"/>
        <v>5734</v>
      </c>
      <c r="X135" s="194">
        <f t="shared" si="43"/>
        <v>2666</v>
      </c>
      <c r="Y135" s="194">
        <f t="shared" si="43"/>
        <v>280</v>
      </c>
      <c r="Z135" s="194">
        <f t="shared" si="43"/>
        <v>3562</v>
      </c>
      <c r="AA135" s="194">
        <f t="shared" si="43"/>
        <v>5938</v>
      </c>
      <c r="AB135" s="194">
        <f t="shared" si="43"/>
        <v>21806.75</v>
      </c>
      <c r="AC135" s="194">
        <f t="shared" si="43"/>
        <v>1445</v>
      </c>
      <c r="AD135" s="195">
        <f t="shared" si="43"/>
        <v>10230</v>
      </c>
      <c r="AE135" s="195">
        <f t="shared" si="43"/>
        <v>7224</v>
      </c>
      <c r="AF135" s="195">
        <f t="shared" si="43"/>
        <v>9585</v>
      </c>
      <c r="AG135" s="195">
        <f t="shared" si="43"/>
        <v>23302.5</v>
      </c>
      <c r="AH135" s="195">
        <f t="shared" si="43"/>
        <v>1460</v>
      </c>
      <c r="AI135" s="195">
        <f t="shared" si="43"/>
        <v>496.5</v>
      </c>
      <c r="AJ135" s="195">
        <f t="shared" si="43"/>
        <v>220</v>
      </c>
      <c r="AK135" s="195">
        <f t="shared" si="43"/>
        <v>20150</v>
      </c>
      <c r="AL135" s="195">
        <f t="shared" si="43"/>
        <v>22347</v>
      </c>
      <c r="AM135" s="195">
        <f t="shared" si="43"/>
        <v>4536</v>
      </c>
      <c r="AN135" s="195">
        <f t="shared" si="43"/>
        <v>8515</v>
      </c>
      <c r="AO135" s="196">
        <f t="shared" si="43"/>
        <v>129556.47</v>
      </c>
      <c r="AP135" s="196">
        <f t="shared" si="43"/>
        <v>252126.36</v>
      </c>
      <c r="AQ135" s="196">
        <f t="shared" si="43"/>
        <v>275590.2017</v>
      </c>
      <c r="AR135" s="196">
        <f t="shared" si="43"/>
        <v>6412.42</v>
      </c>
      <c r="AS135" s="196">
        <f t="shared" si="43"/>
        <v>9156.01</v>
      </c>
      <c r="AT135" s="196">
        <f t="shared" si="43"/>
        <v>26025.3362</v>
      </c>
      <c r="AU135" s="196">
        <f t="shared" si="43"/>
        <v>35710.49388</v>
      </c>
      <c r="AV135" s="196">
        <f t="shared" si="43"/>
        <v>123089.3</v>
      </c>
      <c r="AW135" s="196">
        <f t="shared" si="43"/>
        <v>152365.32</v>
      </c>
      <c r="AX135" s="196">
        <f t="shared" si="43"/>
        <v>57750</v>
      </c>
      <c r="AY135" s="197">
        <f t="shared" si="43"/>
        <v>37601.7</v>
      </c>
    </row>
  </sheetData>
  <mergeCells count="66">
    <mergeCell ref="AS8:AS12"/>
    <mergeCell ref="AT8:AT12"/>
    <mergeCell ref="AS30:AS34"/>
    <mergeCell ref="AT30:AT34"/>
    <mergeCell ref="AS41:AS45"/>
    <mergeCell ref="AT41:AT45"/>
    <mergeCell ref="AT52:AT56"/>
    <mergeCell ref="AS52:AS56"/>
    <mergeCell ref="AS63:AS67"/>
    <mergeCell ref="AT63:AT67"/>
    <mergeCell ref="AS74:AS78"/>
    <mergeCell ref="AT74:AT78"/>
    <mergeCell ref="AS85:AS89"/>
    <mergeCell ref="AT85:AT89"/>
    <mergeCell ref="AO8:AO12"/>
    <mergeCell ref="AP8:AP12"/>
    <mergeCell ref="AO41:AO45"/>
    <mergeCell ref="AP41:AP45"/>
    <mergeCell ref="AO52:AO56"/>
    <mergeCell ref="AP52:AP56"/>
    <mergeCell ref="AP63:AP67"/>
    <mergeCell ref="AO63:AO67"/>
    <mergeCell ref="AO74:AO78"/>
    <mergeCell ref="AP74:AP78"/>
    <mergeCell ref="AO85:AO89"/>
    <mergeCell ref="AP85:AP89"/>
    <mergeCell ref="AO96:AO100"/>
    <mergeCell ref="AP96:AP100"/>
    <mergeCell ref="AO1:AX1"/>
    <mergeCell ref="AO19:AO23"/>
    <mergeCell ref="AP19:AP23"/>
    <mergeCell ref="AS19:AS23"/>
    <mergeCell ref="AT19:AT23"/>
    <mergeCell ref="AD1:AN1"/>
    <mergeCell ref="AO30:AO34"/>
    <mergeCell ref="AP30:AP34"/>
    <mergeCell ref="A1:B2"/>
    <mergeCell ref="C1:C2"/>
    <mergeCell ref="D1:G1"/>
    <mergeCell ref="H1:AC1"/>
    <mergeCell ref="A3:A13"/>
    <mergeCell ref="A14:A24"/>
    <mergeCell ref="A25:A35"/>
    <mergeCell ref="AS96:AS100"/>
    <mergeCell ref="AT96:AT100"/>
    <mergeCell ref="AO107:AO111"/>
    <mergeCell ref="AP107:AP111"/>
    <mergeCell ref="AS107:AS111"/>
    <mergeCell ref="AT107:AT111"/>
    <mergeCell ref="AO118:AO122"/>
    <mergeCell ref="AP118:AP122"/>
    <mergeCell ref="AS118:AS122"/>
    <mergeCell ref="AT118:AT122"/>
    <mergeCell ref="AO129:AO133"/>
    <mergeCell ref="AP129:AP133"/>
    <mergeCell ref="AS129:AS133"/>
    <mergeCell ref="AT129:AT133"/>
    <mergeCell ref="A113:A123"/>
    <mergeCell ref="A124:A134"/>
    <mergeCell ref="A36:A46"/>
    <mergeCell ref="A47:A57"/>
    <mergeCell ref="A58:A68"/>
    <mergeCell ref="A69:A79"/>
    <mergeCell ref="A80:A90"/>
    <mergeCell ref="A91:A101"/>
    <mergeCell ref="A102:A112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5.13" defaultRowHeight="15.0"/>
  <cols>
    <col customWidth="1" min="1" max="1" width="2.5"/>
    <col customWidth="1" min="2" max="3" width="10.38"/>
    <col customWidth="1" min="4" max="4" width="9.5"/>
    <col customWidth="1" min="5" max="55" width="10.13"/>
  </cols>
  <sheetData>
    <row r="1">
      <c r="A1" s="198" t="s">
        <v>264</v>
      </c>
      <c r="C1" s="199"/>
      <c r="D1" s="200" t="s">
        <v>265</v>
      </c>
      <c r="E1" s="201"/>
      <c r="F1" s="201"/>
      <c r="G1" s="201"/>
      <c r="H1" s="201"/>
      <c r="I1" s="201"/>
      <c r="J1" s="202"/>
      <c r="K1" s="200" t="s">
        <v>195</v>
      </c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2"/>
      <c r="AM1" s="200" t="s">
        <v>196</v>
      </c>
      <c r="AN1" s="201"/>
      <c r="AO1" s="201"/>
      <c r="AP1" s="201"/>
      <c r="AQ1" s="201"/>
      <c r="AR1" s="201"/>
      <c r="AS1" s="201"/>
      <c r="AT1" s="201"/>
      <c r="AU1" s="201"/>
      <c r="AV1" s="202"/>
      <c r="AW1" s="200" t="s">
        <v>266</v>
      </c>
      <c r="AX1" s="201"/>
      <c r="AY1" s="201"/>
      <c r="AZ1" s="201"/>
      <c r="BA1" s="200" t="s">
        <v>267</v>
      </c>
      <c r="BB1" s="201"/>
      <c r="BC1" s="202"/>
    </row>
    <row r="2">
      <c r="C2" s="199"/>
      <c r="D2" s="203" t="s">
        <v>268</v>
      </c>
      <c r="E2" s="204" t="s">
        <v>268</v>
      </c>
      <c r="F2" s="204" t="s">
        <v>268</v>
      </c>
      <c r="G2" s="204" t="s">
        <v>269</v>
      </c>
      <c r="H2" s="204" t="s">
        <v>269</v>
      </c>
      <c r="I2" s="204" t="s">
        <v>268</v>
      </c>
      <c r="J2" s="205" t="s">
        <v>269</v>
      </c>
      <c r="K2" s="203" t="s">
        <v>268</v>
      </c>
      <c r="L2" s="204" t="s">
        <v>268</v>
      </c>
      <c r="M2" s="204" t="s">
        <v>269</v>
      </c>
      <c r="N2" s="204" t="s">
        <v>268</v>
      </c>
      <c r="O2" s="204" t="s">
        <v>269</v>
      </c>
      <c r="P2" s="204" t="s">
        <v>269</v>
      </c>
      <c r="Q2" s="204" t="s">
        <v>269</v>
      </c>
      <c r="R2" s="204" t="s">
        <v>269</v>
      </c>
      <c r="S2" s="204" t="s">
        <v>269</v>
      </c>
      <c r="T2" s="204" t="s">
        <v>269</v>
      </c>
      <c r="U2" s="204" t="s">
        <v>269</v>
      </c>
      <c r="V2" s="204" t="s">
        <v>269</v>
      </c>
      <c r="W2" s="204" t="s">
        <v>269</v>
      </c>
      <c r="X2" s="204" t="s">
        <v>269</v>
      </c>
      <c r="Y2" s="204" t="s">
        <v>269</v>
      </c>
      <c r="Z2" s="204" t="s">
        <v>268</v>
      </c>
      <c r="AA2" s="204" t="s">
        <v>269</v>
      </c>
      <c r="AB2" s="204" t="s">
        <v>269</v>
      </c>
      <c r="AC2" s="204" t="s">
        <v>269</v>
      </c>
      <c r="AD2" s="204" t="s">
        <v>269</v>
      </c>
      <c r="AE2" s="204" t="s">
        <v>268</v>
      </c>
      <c r="AF2" s="204" t="s">
        <v>268</v>
      </c>
      <c r="AG2" s="204" t="s">
        <v>268</v>
      </c>
      <c r="AH2" s="204" t="s">
        <v>268</v>
      </c>
      <c r="AI2" s="204" t="s">
        <v>268</v>
      </c>
      <c r="AJ2" s="204" t="s">
        <v>268</v>
      </c>
      <c r="AK2" s="204" t="s">
        <v>268</v>
      </c>
      <c r="AL2" s="205" t="s">
        <v>268</v>
      </c>
      <c r="AM2" s="203" t="s">
        <v>269</v>
      </c>
      <c r="AN2" s="204" t="s">
        <v>269</v>
      </c>
      <c r="AO2" s="204" t="s">
        <v>268</v>
      </c>
      <c r="AP2" s="204" t="s">
        <v>268</v>
      </c>
      <c r="AQ2" s="204" t="s">
        <v>268</v>
      </c>
      <c r="AR2" s="204" t="s">
        <v>268</v>
      </c>
      <c r="AS2" s="204" t="s">
        <v>268</v>
      </c>
      <c r="AT2" s="204" t="s">
        <v>269</v>
      </c>
      <c r="AU2" s="204" t="s">
        <v>268</v>
      </c>
      <c r="AV2" s="205" t="s">
        <v>268</v>
      </c>
      <c r="AW2" s="203" t="s">
        <v>269</v>
      </c>
      <c r="AX2" s="204" t="s">
        <v>268</v>
      </c>
      <c r="AY2" s="204" t="s">
        <v>268</v>
      </c>
      <c r="AZ2" s="205" t="s">
        <v>268</v>
      </c>
      <c r="BA2" s="203" t="s">
        <v>269</v>
      </c>
      <c r="BB2" s="204" t="s">
        <v>269</v>
      </c>
      <c r="BC2" s="205" t="s">
        <v>270</v>
      </c>
    </row>
    <row r="3">
      <c r="A3" s="206"/>
      <c r="B3" s="206"/>
      <c r="C3" s="207"/>
      <c r="D3" s="208" t="s">
        <v>271</v>
      </c>
      <c r="E3" s="209" t="s">
        <v>272</v>
      </c>
      <c r="F3" s="209" t="s">
        <v>273</v>
      </c>
      <c r="G3" s="209" t="s">
        <v>274</v>
      </c>
      <c r="H3" s="209" t="s">
        <v>275</v>
      </c>
      <c r="I3" s="209" t="s">
        <v>276</v>
      </c>
      <c r="J3" s="210" t="s">
        <v>276</v>
      </c>
      <c r="K3" s="208" t="s">
        <v>272</v>
      </c>
      <c r="L3" s="209" t="s">
        <v>273</v>
      </c>
      <c r="M3" s="209" t="s">
        <v>275</v>
      </c>
      <c r="N3" s="209" t="s">
        <v>277</v>
      </c>
      <c r="O3" s="209" t="s">
        <v>278</v>
      </c>
      <c r="P3" s="209" t="s">
        <v>279</v>
      </c>
      <c r="Q3" s="209" t="s">
        <v>280</v>
      </c>
      <c r="R3" s="209" t="s">
        <v>281</v>
      </c>
      <c r="S3" s="209" t="s">
        <v>282</v>
      </c>
      <c r="T3" s="209" t="s">
        <v>283</v>
      </c>
      <c r="U3" s="209" t="s">
        <v>284</v>
      </c>
      <c r="V3" s="209" t="s">
        <v>285</v>
      </c>
      <c r="W3" s="209" t="s">
        <v>286</v>
      </c>
      <c r="X3" s="209" t="s">
        <v>287</v>
      </c>
      <c r="Y3" s="209" t="s">
        <v>276</v>
      </c>
      <c r="Z3" s="209" t="s">
        <v>276</v>
      </c>
      <c r="AA3" s="209" t="s">
        <v>288</v>
      </c>
      <c r="AB3" s="209" t="s">
        <v>289</v>
      </c>
      <c r="AC3" s="209" t="s">
        <v>290</v>
      </c>
      <c r="AD3" s="209" t="s">
        <v>291</v>
      </c>
      <c r="AE3" s="209" t="s">
        <v>292</v>
      </c>
      <c r="AF3" s="209" t="s">
        <v>293</v>
      </c>
      <c r="AG3" s="209" t="s">
        <v>294</v>
      </c>
      <c r="AH3" s="209" t="s">
        <v>295</v>
      </c>
      <c r="AI3" s="209" t="s">
        <v>296</v>
      </c>
      <c r="AJ3" s="209" t="s">
        <v>297</v>
      </c>
      <c r="AK3" s="209" t="s">
        <v>298</v>
      </c>
      <c r="AL3" s="210" t="s">
        <v>299</v>
      </c>
      <c r="AM3" s="208" t="s">
        <v>276</v>
      </c>
      <c r="AN3" s="209" t="s">
        <v>289</v>
      </c>
      <c r="AO3" s="209" t="s">
        <v>276</v>
      </c>
      <c r="AP3" s="209" t="s">
        <v>300</v>
      </c>
      <c r="AQ3" s="209" t="s">
        <v>296</v>
      </c>
      <c r="AR3" s="209" t="s">
        <v>301</v>
      </c>
      <c r="AS3" s="209" t="s">
        <v>302</v>
      </c>
      <c r="AT3" s="209" t="s">
        <v>275</v>
      </c>
      <c r="AU3" s="209" t="s">
        <v>303</v>
      </c>
      <c r="AV3" s="210" t="s">
        <v>277</v>
      </c>
      <c r="AW3" s="208" t="s">
        <v>304</v>
      </c>
      <c r="AX3" s="209" t="s">
        <v>305</v>
      </c>
      <c r="AY3" s="209" t="s">
        <v>306</v>
      </c>
      <c r="AZ3" s="210" t="s">
        <v>307</v>
      </c>
      <c r="BA3" s="208" t="s">
        <v>308</v>
      </c>
      <c r="BB3" s="209" t="s">
        <v>309</v>
      </c>
      <c r="BC3" s="210" t="s">
        <v>310</v>
      </c>
    </row>
    <row r="4">
      <c r="A4" s="211" t="s">
        <v>311</v>
      </c>
      <c r="B4" s="212" t="s">
        <v>312</v>
      </c>
      <c r="C4" s="213">
        <f t="shared" ref="C4:C15" si="1">SUM(D4:BC4)</f>
        <v>0</v>
      </c>
      <c r="D4" s="214"/>
      <c r="E4" s="214"/>
      <c r="F4" s="214"/>
      <c r="G4" s="214"/>
      <c r="H4" s="214"/>
      <c r="I4" s="214"/>
      <c r="J4" s="215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5"/>
      <c r="AM4" s="214"/>
      <c r="AN4" s="214"/>
      <c r="AO4" s="214"/>
      <c r="AP4" s="214"/>
      <c r="AQ4" s="214"/>
      <c r="AR4" s="214"/>
      <c r="AS4" s="214"/>
      <c r="AT4" s="214"/>
      <c r="AU4" s="214"/>
      <c r="AV4" s="215"/>
      <c r="AW4" s="214"/>
      <c r="AX4" s="214"/>
      <c r="AY4" s="214"/>
      <c r="AZ4" s="215"/>
      <c r="BA4" s="214"/>
      <c r="BB4" s="214"/>
      <c r="BC4" s="216"/>
    </row>
    <row r="5">
      <c r="B5" s="212" t="s">
        <v>164</v>
      </c>
      <c r="C5" s="213">
        <f t="shared" si="1"/>
        <v>0</v>
      </c>
      <c r="D5" s="214"/>
      <c r="E5" s="214"/>
      <c r="F5" s="214"/>
      <c r="G5" s="217"/>
      <c r="H5" s="217"/>
      <c r="I5" s="214"/>
      <c r="J5" s="216"/>
      <c r="K5" s="214"/>
      <c r="L5" s="214"/>
      <c r="M5" s="217"/>
      <c r="N5" s="214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4"/>
      <c r="AA5" s="217"/>
      <c r="AB5" s="217"/>
      <c r="AC5" s="217"/>
      <c r="AD5" s="217"/>
      <c r="AE5" s="214"/>
      <c r="AF5" s="214"/>
      <c r="AG5" s="214"/>
      <c r="AH5" s="214"/>
      <c r="AI5" s="214"/>
      <c r="AJ5" s="214"/>
      <c r="AK5" s="214"/>
      <c r="AL5" s="215"/>
      <c r="AM5" s="217"/>
      <c r="AN5" s="217"/>
      <c r="AO5" s="214"/>
      <c r="AP5" s="214"/>
      <c r="AQ5" s="214"/>
      <c r="AR5" s="214"/>
      <c r="AS5" s="214"/>
      <c r="AT5" s="217"/>
      <c r="AU5" s="214"/>
      <c r="AV5" s="215"/>
      <c r="AW5" s="217"/>
      <c r="AX5" s="214"/>
      <c r="AY5" s="214"/>
      <c r="AZ5" s="215"/>
      <c r="BA5" s="217"/>
      <c r="BB5" s="217"/>
      <c r="BC5" s="216"/>
    </row>
    <row r="6">
      <c r="B6" s="212" t="s">
        <v>155</v>
      </c>
      <c r="C6" s="213">
        <f t="shared" si="1"/>
        <v>0</v>
      </c>
      <c r="D6" s="214"/>
      <c r="E6" s="214"/>
      <c r="F6" s="214"/>
      <c r="G6" s="217"/>
      <c r="H6" s="217"/>
      <c r="I6" s="214"/>
      <c r="J6" s="216"/>
      <c r="K6" s="214"/>
      <c r="L6" s="214"/>
      <c r="M6" s="217"/>
      <c r="N6" s="214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4"/>
      <c r="AA6" s="217"/>
      <c r="AB6" s="217"/>
      <c r="AC6" s="217"/>
      <c r="AD6" s="217"/>
      <c r="AE6" s="214"/>
      <c r="AF6" s="214"/>
      <c r="AG6" s="214"/>
      <c r="AH6" s="214"/>
      <c r="AI6" s="214"/>
      <c r="AJ6" s="214"/>
      <c r="AK6" s="214"/>
      <c r="AL6" s="215"/>
      <c r="AM6" s="217"/>
      <c r="AN6" s="217"/>
      <c r="AO6" s="214"/>
      <c r="AP6" s="214"/>
      <c r="AQ6" s="214"/>
      <c r="AR6" s="214"/>
      <c r="AS6" s="214"/>
      <c r="AT6" s="217"/>
      <c r="AU6" s="214"/>
      <c r="AV6" s="215"/>
      <c r="AW6" s="217"/>
      <c r="AX6" s="214"/>
      <c r="AY6" s="214"/>
      <c r="AZ6" s="215"/>
      <c r="BA6" s="217"/>
      <c r="BB6" s="217"/>
      <c r="BC6" s="216"/>
    </row>
    <row r="7">
      <c r="B7" s="212" t="s">
        <v>163</v>
      </c>
      <c r="C7" s="213">
        <f t="shared" si="1"/>
        <v>0</v>
      </c>
      <c r="D7" s="214"/>
      <c r="E7" s="214"/>
      <c r="F7" s="214"/>
      <c r="G7" s="217"/>
      <c r="H7" s="217"/>
      <c r="I7" s="214"/>
      <c r="J7" s="216"/>
      <c r="K7" s="214"/>
      <c r="L7" s="214"/>
      <c r="M7" s="217"/>
      <c r="N7" s="214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4"/>
      <c r="AA7" s="217"/>
      <c r="AB7" s="217"/>
      <c r="AC7" s="217"/>
      <c r="AD7" s="217"/>
      <c r="AE7" s="214"/>
      <c r="AF7" s="214"/>
      <c r="AG7" s="214"/>
      <c r="AH7" s="214"/>
      <c r="AI7" s="214"/>
      <c r="AJ7" s="214"/>
      <c r="AK7" s="214"/>
      <c r="AL7" s="215"/>
      <c r="AM7" s="217"/>
      <c r="AN7" s="217"/>
      <c r="AO7" s="214"/>
      <c r="AP7" s="214"/>
      <c r="AQ7" s="214"/>
      <c r="AR7" s="214"/>
      <c r="AS7" s="214"/>
      <c r="AT7" s="217"/>
      <c r="AU7" s="214"/>
      <c r="AV7" s="215"/>
      <c r="AW7" s="217"/>
      <c r="AX7" s="214"/>
      <c r="AY7" s="214"/>
      <c r="AZ7" s="215"/>
      <c r="BA7" s="217"/>
      <c r="BB7" s="217"/>
      <c r="BC7" s="216"/>
    </row>
    <row r="8">
      <c r="B8" s="212" t="s">
        <v>161</v>
      </c>
      <c r="C8" s="213">
        <f t="shared" si="1"/>
        <v>0</v>
      </c>
      <c r="D8" s="214"/>
      <c r="E8" s="214"/>
      <c r="F8" s="214"/>
      <c r="G8" s="217"/>
      <c r="H8" s="217"/>
      <c r="I8" s="214"/>
      <c r="J8" s="216"/>
      <c r="K8" s="214"/>
      <c r="L8" s="214"/>
      <c r="M8" s="217"/>
      <c r="N8" s="214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4"/>
      <c r="AA8" s="217"/>
      <c r="AB8" s="217"/>
      <c r="AC8" s="217"/>
      <c r="AD8" s="217"/>
      <c r="AE8" s="214"/>
      <c r="AF8" s="214"/>
      <c r="AG8" s="214"/>
      <c r="AH8" s="214"/>
      <c r="AI8" s="214"/>
      <c r="AJ8" s="214"/>
      <c r="AK8" s="214"/>
      <c r="AL8" s="215"/>
      <c r="AM8" s="217"/>
      <c r="AN8" s="217"/>
      <c r="AO8" s="214"/>
      <c r="AP8" s="214"/>
      <c r="AQ8" s="214"/>
      <c r="AR8" s="214"/>
      <c r="AS8" s="214"/>
      <c r="AT8" s="217"/>
      <c r="AU8" s="214"/>
      <c r="AV8" s="215"/>
      <c r="AW8" s="217"/>
      <c r="AX8" s="214"/>
      <c r="AY8" s="214"/>
      <c r="AZ8" s="215"/>
      <c r="BA8" s="217"/>
      <c r="BB8" s="217"/>
      <c r="BC8" s="216"/>
    </row>
    <row r="9">
      <c r="B9" s="212" t="s">
        <v>159</v>
      </c>
      <c r="C9" s="213">
        <f t="shared" si="1"/>
        <v>0</v>
      </c>
      <c r="D9" s="214"/>
      <c r="E9" s="214"/>
      <c r="F9" s="214"/>
      <c r="G9" s="217"/>
      <c r="H9" s="217"/>
      <c r="I9" s="214"/>
      <c r="J9" s="216"/>
      <c r="K9" s="214"/>
      <c r="L9" s="214"/>
      <c r="M9" s="217"/>
      <c r="N9" s="214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4"/>
      <c r="AA9" s="217"/>
      <c r="AB9" s="217"/>
      <c r="AC9" s="217"/>
      <c r="AD9" s="217"/>
      <c r="AE9" s="214"/>
      <c r="AF9" s="214"/>
      <c r="AG9" s="214"/>
      <c r="AH9" s="214"/>
      <c r="AI9" s="214"/>
      <c r="AJ9" s="214"/>
      <c r="AK9" s="214"/>
      <c r="AL9" s="215"/>
      <c r="AM9" s="217"/>
      <c r="AN9" s="217"/>
      <c r="AO9" s="214"/>
      <c r="AP9" s="214"/>
      <c r="AQ9" s="214"/>
      <c r="AR9" s="214"/>
      <c r="AS9" s="214"/>
      <c r="AT9" s="217"/>
      <c r="AU9" s="214"/>
      <c r="AV9" s="215"/>
      <c r="AW9" s="217"/>
      <c r="AX9" s="214"/>
      <c r="AY9" s="214"/>
      <c r="AZ9" s="215"/>
      <c r="BA9" s="217"/>
      <c r="BB9" s="217"/>
      <c r="BC9" s="216"/>
    </row>
    <row r="10">
      <c r="B10" s="212" t="s">
        <v>158</v>
      </c>
      <c r="C10" s="213">
        <f t="shared" si="1"/>
        <v>0</v>
      </c>
      <c r="D10" s="214"/>
      <c r="E10" s="214"/>
      <c r="F10" s="214"/>
      <c r="G10" s="214"/>
      <c r="H10" s="214"/>
      <c r="I10" s="214"/>
      <c r="J10" s="215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5"/>
      <c r="AM10" s="214"/>
      <c r="AN10" s="214"/>
      <c r="AO10" s="214"/>
      <c r="AP10" s="214"/>
      <c r="AQ10" s="214"/>
      <c r="AR10" s="214"/>
      <c r="AS10" s="214"/>
      <c r="AT10" s="214"/>
      <c r="AU10" s="214"/>
      <c r="AV10" s="215"/>
      <c r="AW10" s="214"/>
      <c r="AX10" s="214"/>
      <c r="AY10" s="214"/>
      <c r="AZ10" s="215"/>
      <c r="BA10" s="214"/>
      <c r="BB10" s="214"/>
      <c r="BC10" s="216"/>
    </row>
    <row r="11">
      <c r="B11" s="212" t="s">
        <v>246</v>
      </c>
      <c r="C11" s="213">
        <f t="shared" si="1"/>
        <v>0</v>
      </c>
      <c r="D11" s="217"/>
      <c r="E11" s="217"/>
      <c r="F11" s="217"/>
      <c r="G11" s="214"/>
      <c r="H11" s="214"/>
      <c r="I11" s="217"/>
      <c r="J11" s="215"/>
      <c r="K11" s="217"/>
      <c r="L11" s="217"/>
      <c r="M11" s="214"/>
      <c r="N11" s="217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7"/>
      <c r="AA11" s="214"/>
      <c r="AB11" s="214"/>
      <c r="AC11" s="214"/>
      <c r="AD11" s="214"/>
      <c r="AE11" s="217"/>
      <c r="AF11" s="217"/>
      <c r="AG11" s="217"/>
      <c r="AH11" s="217"/>
      <c r="AI11" s="217"/>
      <c r="AJ11" s="217"/>
      <c r="AK11" s="217"/>
      <c r="AL11" s="216"/>
      <c r="AM11" s="214"/>
      <c r="AN11" s="214"/>
      <c r="AO11" s="217"/>
      <c r="AP11" s="217"/>
      <c r="AQ11" s="217"/>
      <c r="AR11" s="217"/>
      <c r="AS11" s="217"/>
      <c r="AT11" s="214"/>
      <c r="AU11" s="217"/>
      <c r="AV11" s="216"/>
      <c r="AW11" s="214"/>
      <c r="AX11" s="217"/>
      <c r="AY11" s="217"/>
      <c r="AZ11" s="216"/>
      <c r="BA11" s="214"/>
      <c r="BB11" s="214"/>
      <c r="BC11" s="216"/>
    </row>
    <row r="12">
      <c r="B12" s="212" t="s">
        <v>247</v>
      </c>
      <c r="C12" s="213">
        <f t="shared" si="1"/>
        <v>0</v>
      </c>
      <c r="D12" s="217"/>
      <c r="E12" s="217"/>
      <c r="F12" s="217"/>
      <c r="G12" s="214"/>
      <c r="H12" s="214"/>
      <c r="I12" s="217"/>
      <c r="J12" s="215"/>
      <c r="K12" s="217"/>
      <c r="L12" s="217"/>
      <c r="M12" s="214"/>
      <c r="N12" s="217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7"/>
      <c r="AA12" s="214"/>
      <c r="AB12" s="214"/>
      <c r="AC12" s="214"/>
      <c r="AD12" s="214"/>
      <c r="AE12" s="217"/>
      <c r="AF12" s="217"/>
      <c r="AG12" s="217"/>
      <c r="AH12" s="217"/>
      <c r="AI12" s="217"/>
      <c r="AJ12" s="217"/>
      <c r="AK12" s="217"/>
      <c r="AL12" s="216"/>
      <c r="AM12" s="214"/>
      <c r="AN12" s="214"/>
      <c r="AO12" s="217"/>
      <c r="AP12" s="217"/>
      <c r="AQ12" s="217"/>
      <c r="AR12" s="217"/>
      <c r="AS12" s="217"/>
      <c r="AT12" s="214"/>
      <c r="AU12" s="217"/>
      <c r="AV12" s="216"/>
      <c r="AW12" s="214"/>
      <c r="AX12" s="217"/>
      <c r="AY12" s="217"/>
      <c r="AZ12" s="216"/>
      <c r="BA12" s="214"/>
      <c r="BB12" s="214"/>
      <c r="BC12" s="216"/>
    </row>
    <row r="13">
      <c r="B13" s="212" t="s">
        <v>249</v>
      </c>
      <c r="C13" s="213">
        <f t="shared" si="1"/>
        <v>0</v>
      </c>
      <c r="D13" s="217"/>
      <c r="E13" s="217"/>
      <c r="F13" s="217"/>
      <c r="G13" s="214"/>
      <c r="H13" s="214"/>
      <c r="I13" s="217"/>
      <c r="J13" s="215"/>
      <c r="K13" s="217"/>
      <c r="L13" s="217"/>
      <c r="M13" s="214"/>
      <c r="N13" s="217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7"/>
      <c r="AA13" s="214"/>
      <c r="AB13" s="214"/>
      <c r="AC13" s="214"/>
      <c r="AD13" s="214"/>
      <c r="AE13" s="217"/>
      <c r="AF13" s="217"/>
      <c r="AG13" s="217"/>
      <c r="AH13" s="217"/>
      <c r="AI13" s="217"/>
      <c r="AJ13" s="217"/>
      <c r="AK13" s="217"/>
      <c r="AL13" s="216"/>
      <c r="AM13" s="214"/>
      <c r="AN13" s="214"/>
      <c r="AO13" s="217"/>
      <c r="AP13" s="217"/>
      <c r="AQ13" s="217"/>
      <c r="AR13" s="217"/>
      <c r="AS13" s="217"/>
      <c r="AT13" s="214"/>
      <c r="AU13" s="217"/>
      <c r="AV13" s="216"/>
      <c r="AW13" s="214"/>
      <c r="AX13" s="217"/>
      <c r="AY13" s="217"/>
      <c r="AZ13" s="216"/>
      <c r="BA13" s="214"/>
      <c r="BB13" s="214"/>
      <c r="BC13" s="216"/>
    </row>
    <row r="14">
      <c r="B14" s="212" t="s">
        <v>250</v>
      </c>
      <c r="C14" s="213">
        <f t="shared" si="1"/>
        <v>0</v>
      </c>
      <c r="D14" s="217"/>
      <c r="E14" s="217"/>
      <c r="F14" s="217"/>
      <c r="G14" s="214"/>
      <c r="H14" s="214"/>
      <c r="I14" s="217"/>
      <c r="J14" s="215"/>
      <c r="K14" s="217"/>
      <c r="L14" s="217"/>
      <c r="M14" s="214"/>
      <c r="N14" s="217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7"/>
      <c r="AA14" s="214"/>
      <c r="AB14" s="214"/>
      <c r="AC14" s="214"/>
      <c r="AD14" s="214"/>
      <c r="AE14" s="217"/>
      <c r="AF14" s="217"/>
      <c r="AG14" s="217"/>
      <c r="AH14" s="217"/>
      <c r="AI14" s="217"/>
      <c r="AJ14" s="217"/>
      <c r="AK14" s="217"/>
      <c r="AL14" s="216"/>
      <c r="AM14" s="214"/>
      <c r="AN14" s="214"/>
      <c r="AO14" s="217"/>
      <c r="AP14" s="217"/>
      <c r="AQ14" s="217"/>
      <c r="AR14" s="217"/>
      <c r="AS14" s="217"/>
      <c r="AT14" s="214"/>
      <c r="AU14" s="217"/>
      <c r="AV14" s="216"/>
      <c r="AW14" s="214"/>
      <c r="AX14" s="217"/>
      <c r="AY14" s="217"/>
      <c r="AZ14" s="216"/>
      <c r="BA14" s="214"/>
      <c r="BB14" s="214"/>
      <c r="BC14" s="216"/>
    </row>
    <row r="15">
      <c r="B15" s="212" t="s">
        <v>251</v>
      </c>
      <c r="C15" s="213">
        <f t="shared" si="1"/>
        <v>0</v>
      </c>
      <c r="D15" s="217"/>
      <c r="E15" s="217"/>
      <c r="F15" s="217"/>
      <c r="G15" s="214"/>
      <c r="H15" s="214"/>
      <c r="I15" s="217"/>
      <c r="J15" s="215"/>
      <c r="K15" s="217"/>
      <c r="L15" s="217"/>
      <c r="M15" s="214"/>
      <c r="N15" s="217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7"/>
      <c r="AA15" s="214"/>
      <c r="AB15" s="214"/>
      <c r="AC15" s="214"/>
      <c r="AD15" s="214"/>
      <c r="AE15" s="217"/>
      <c r="AF15" s="217"/>
      <c r="AG15" s="217"/>
      <c r="AH15" s="217"/>
      <c r="AI15" s="217"/>
      <c r="AJ15" s="217"/>
      <c r="AK15" s="217"/>
      <c r="AL15" s="216"/>
      <c r="AM15" s="214"/>
      <c r="AN15" s="214"/>
      <c r="AO15" s="217"/>
      <c r="AP15" s="217"/>
      <c r="AQ15" s="217"/>
      <c r="AR15" s="217"/>
      <c r="AS15" s="217"/>
      <c r="AT15" s="214"/>
      <c r="AU15" s="217"/>
      <c r="AV15" s="216"/>
      <c r="AW15" s="214"/>
      <c r="AX15" s="217"/>
      <c r="AY15" s="217"/>
      <c r="AZ15" s="216"/>
      <c r="BA15" s="214"/>
      <c r="BB15" s="214"/>
      <c r="BC15" s="216"/>
    </row>
    <row r="16">
      <c r="A16" s="206"/>
      <c r="B16" s="218" t="s">
        <v>263</v>
      </c>
      <c r="C16" s="219">
        <f t="shared" ref="C16:BC16" si="2">SUM(C4:C15)</f>
        <v>0</v>
      </c>
      <c r="D16" s="220">
        <f t="shared" si="2"/>
        <v>0</v>
      </c>
      <c r="E16" s="220">
        <f t="shared" si="2"/>
        <v>0</v>
      </c>
      <c r="F16" s="220">
        <f t="shared" si="2"/>
        <v>0</v>
      </c>
      <c r="G16" s="220">
        <f t="shared" si="2"/>
        <v>0</v>
      </c>
      <c r="H16" s="220">
        <f t="shared" si="2"/>
        <v>0</v>
      </c>
      <c r="I16" s="220">
        <f t="shared" si="2"/>
        <v>0</v>
      </c>
      <c r="J16" s="221">
        <f t="shared" si="2"/>
        <v>0</v>
      </c>
      <c r="K16" s="220">
        <f t="shared" si="2"/>
        <v>0</v>
      </c>
      <c r="L16" s="220">
        <f t="shared" si="2"/>
        <v>0</v>
      </c>
      <c r="M16" s="220">
        <f t="shared" si="2"/>
        <v>0</v>
      </c>
      <c r="N16" s="220">
        <f t="shared" si="2"/>
        <v>0</v>
      </c>
      <c r="O16" s="220">
        <f t="shared" si="2"/>
        <v>0</v>
      </c>
      <c r="P16" s="220">
        <f t="shared" si="2"/>
        <v>0</v>
      </c>
      <c r="Q16" s="220">
        <f t="shared" si="2"/>
        <v>0</v>
      </c>
      <c r="R16" s="220">
        <f t="shared" si="2"/>
        <v>0</v>
      </c>
      <c r="S16" s="220">
        <f t="shared" si="2"/>
        <v>0</v>
      </c>
      <c r="T16" s="220">
        <f t="shared" si="2"/>
        <v>0</v>
      </c>
      <c r="U16" s="220">
        <f t="shared" si="2"/>
        <v>0</v>
      </c>
      <c r="V16" s="220">
        <f t="shared" si="2"/>
        <v>0</v>
      </c>
      <c r="W16" s="220">
        <f t="shared" si="2"/>
        <v>0</v>
      </c>
      <c r="X16" s="220">
        <f t="shared" si="2"/>
        <v>0</v>
      </c>
      <c r="Y16" s="220">
        <f t="shared" si="2"/>
        <v>0</v>
      </c>
      <c r="Z16" s="220">
        <f t="shared" si="2"/>
        <v>0</v>
      </c>
      <c r="AA16" s="220">
        <f t="shared" si="2"/>
        <v>0</v>
      </c>
      <c r="AB16" s="220">
        <f t="shared" si="2"/>
        <v>0</v>
      </c>
      <c r="AC16" s="220">
        <f t="shared" si="2"/>
        <v>0</v>
      </c>
      <c r="AD16" s="220">
        <f t="shared" si="2"/>
        <v>0</v>
      </c>
      <c r="AE16" s="220">
        <f t="shared" si="2"/>
        <v>0</v>
      </c>
      <c r="AF16" s="220">
        <f t="shared" si="2"/>
        <v>0</v>
      </c>
      <c r="AG16" s="220">
        <f t="shared" si="2"/>
        <v>0</v>
      </c>
      <c r="AH16" s="220">
        <f t="shared" si="2"/>
        <v>0</v>
      </c>
      <c r="AI16" s="220">
        <f t="shared" si="2"/>
        <v>0</v>
      </c>
      <c r="AJ16" s="220">
        <f t="shared" si="2"/>
        <v>0</v>
      </c>
      <c r="AK16" s="220">
        <f t="shared" si="2"/>
        <v>0</v>
      </c>
      <c r="AL16" s="221">
        <f t="shared" si="2"/>
        <v>0</v>
      </c>
      <c r="AM16" s="220">
        <f t="shared" si="2"/>
        <v>0</v>
      </c>
      <c r="AN16" s="220">
        <f t="shared" si="2"/>
        <v>0</v>
      </c>
      <c r="AO16" s="220">
        <f t="shared" si="2"/>
        <v>0</v>
      </c>
      <c r="AP16" s="220">
        <f t="shared" si="2"/>
        <v>0</v>
      </c>
      <c r="AQ16" s="220">
        <f t="shared" si="2"/>
        <v>0</v>
      </c>
      <c r="AR16" s="220">
        <f t="shared" si="2"/>
        <v>0</v>
      </c>
      <c r="AS16" s="220">
        <f t="shared" si="2"/>
        <v>0</v>
      </c>
      <c r="AT16" s="220">
        <f t="shared" si="2"/>
        <v>0</v>
      </c>
      <c r="AU16" s="220">
        <f t="shared" si="2"/>
        <v>0</v>
      </c>
      <c r="AV16" s="221">
        <f t="shared" si="2"/>
        <v>0</v>
      </c>
      <c r="AW16" s="220">
        <f t="shared" si="2"/>
        <v>0</v>
      </c>
      <c r="AX16" s="220">
        <f t="shared" si="2"/>
        <v>0</v>
      </c>
      <c r="AY16" s="220">
        <f t="shared" si="2"/>
        <v>0</v>
      </c>
      <c r="AZ16" s="221">
        <f t="shared" si="2"/>
        <v>0</v>
      </c>
      <c r="BA16" s="220">
        <f t="shared" si="2"/>
        <v>0</v>
      </c>
      <c r="BB16" s="220">
        <f t="shared" si="2"/>
        <v>0</v>
      </c>
      <c r="BC16" s="221">
        <f t="shared" si="2"/>
        <v>0</v>
      </c>
    </row>
    <row r="17">
      <c r="A17" s="222" t="s">
        <v>313</v>
      </c>
      <c r="B17" s="212" t="s">
        <v>312</v>
      </c>
      <c r="C17" s="213">
        <f t="shared" ref="C17:C28" si="3">SUM(D17:BC17)</f>
        <v>0</v>
      </c>
      <c r="D17" s="214"/>
      <c r="E17" s="214"/>
      <c r="F17" s="214"/>
      <c r="G17" s="214"/>
      <c r="H17" s="214"/>
      <c r="I17" s="214"/>
      <c r="J17" s="215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5"/>
      <c r="AM17" s="214"/>
      <c r="AN17" s="214"/>
      <c r="AO17" s="214"/>
      <c r="AP17" s="214"/>
      <c r="AQ17" s="214"/>
      <c r="AR17" s="214"/>
      <c r="AS17" s="214"/>
      <c r="AT17" s="214"/>
      <c r="AU17" s="214"/>
      <c r="AV17" s="215"/>
      <c r="AW17" s="214"/>
      <c r="AX17" s="214"/>
      <c r="AY17" s="214"/>
      <c r="AZ17" s="215"/>
      <c r="BA17" s="214"/>
      <c r="BB17" s="214"/>
      <c r="BC17" s="216"/>
    </row>
    <row r="18">
      <c r="B18" s="212" t="s">
        <v>164</v>
      </c>
      <c r="C18" s="213">
        <f t="shared" si="3"/>
        <v>0</v>
      </c>
      <c r="D18" s="214"/>
      <c r="E18" s="214"/>
      <c r="F18" s="214"/>
      <c r="G18" s="217"/>
      <c r="H18" s="217"/>
      <c r="I18" s="214"/>
      <c r="J18" s="216"/>
      <c r="K18" s="214"/>
      <c r="L18" s="214"/>
      <c r="M18" s="217"/>
      <c r="N18" s="214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4"/>
      <c r="AA18" s="217"/>
      <c r="AB18" s="217"/>
      <c r="AC18" s="217"/>
      <c r="AD18" s="217"/>
      <c r="AE18" s="214"/>
      <c r="AF18" s="214"/>
      <c r="AG18" s="214"/>
      <c r="AH18" s="214"/>
      <c r="AI18" s="214"/>
      <c r="AJ18" s="214"/>
      <c r="AK18" s="214"/>
      <c r="AL18" s="215"/>
      <c r="AM18" s="217"/>
      <c r="AN18" s="217"/>
      <c r="AO18" s="214"/>
      <c r="AP18" s="214"/>
      <c r="AQ18" s="214"/>
      <c r="AR18" s="214"/>
      <c r="AS18" s="214"/>
      <c r="AT18" s="217"/>
      <c r="AU18" s="214"/>
      <c r="AV18" s="215"/>
      <c r="AW18" s="217"/>
      <c r="AX18" s="214"/>
      <c r="AY18" s="214"/>
      <c r="AZ18" s="215"/>
      <c r="BA18" s="217"/>
      <c r="BB18" s="217"/>
      <c r="BC18" s="216"/>
    </row>
    <row r="19">
      <c r="B19" s="212" t="s">
        <v>155</v>
      </c>
      <c r="C19" s="213">
        <f t="shared" si="3"/>
        <v>0</v>
      </c>
      <c r="D19" s="214"/>
      <c r="E19" s="214"/>
      <c r="F19" s="214"/>
      <c r="G19" s="217"/>
      <c r="H19" s="217"/>
      <c r="I19" s="214"/>
      <c r="J19" s="216"/>
      <c r="K19" s="214"/>
      <c r="L19" s="214"/>
      <c r="M19" s="217"/>
      <c r="N19" s="214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4"/>
      <c r="AA19" s="217"/>
      <c r="AB19" s="217"/>
      <c r="AC19" s="217"/>
      <c r="AD19" s="217"/>
      <c r="AE19" s="214"/>
      <c r="AF19" s="214"/>
      <c r="AG19" s="214"/>
      <c r="AH19" s="214"/>
      <c r="AI19" s="214"/>
      <c r="AJ19" s="214"/>
      <c r="AK19" s="214"/>
      <c r="AL19" s="215"/>
      <c r="AM19" s="217"/>
      <c r="AN19" s="217"/>
      <c r="AO19" s="214"/>
      <c r="AP19" s="214"/>
      <c r="AQ19" s="214"/>
      <c r="AR19" s="214"/>
      <c r="AS19" s="214"/>
      <c r="AT19" s="217"/>
      <c r="AU19" s="214"/>
      <c r="AV19" s="215"/>
      <c r="AW19" s="217"/>
      <c r="AX19" s="214"/>
      <c r="AY19" s="214"/>
      <c r="AZ19" s="215"/>
      <c r="BA19" s="217"/>
      <c r="BB19" s="217"/>
      <c r="BC19" s="216"/>
    </row>
    <row r="20">
      <c r="B20" s="212" t="s">
        <v>163</v>
      </c>
      <c r="C20" s="213">
        <f t="shared" si="3"/>
        <v>0</v>
      </c>
      <c r="D20" s="214"/>
      <c r="E20" s="214"/>
      <c r="F20" s="214"/>
      <c r="G20" s="217"/>
      <c r="H20" s="217"/>
      <c r="I20" s="214"/>
      <c r="J20" s="216"/>
      <c r="K20" s="214"/>
      <c r="L20" s="214"/>
      <c r="M20" s="217"/>
      <c r="N20" s="214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4"/>
      <c r="AA20" s="217"/>
      <c r="AB20" s="217"/>
      <c r="AC20" s="217"/>
      <c r="AD20" s="217"/>
      <c r="AE20" s="214"/>
      <c r="AF20" s="214"/>
      <c r="AG20" s="214"/>
      <c r="AH20" s="214"/>
      <c r="AI20" s="214"/>
      <c r="AJ20" s="214"/>
      <c r="AK20" s="214"/>
      <c r="AL20" s="215"/>
      <c r="AM20" s="217"/>
      <c r="AN20" s="217"/>
      <c r="AO20" s="214"/>
      <c r="AP20" s="214"/>
      <c r="AQ20" s="214"/>
      <c r="AR20" s="214"/>
      <c r="AS20" s="214"/>
      <c r="AT20" s="217"/>
      <c r="AU20" s="214"/>
      <c r="AV20" s="215"/>
      <c r="AW20" s="217"/>
      <c r="AX20" s="214"/>
      <c r="AY20" s="214"/>
      <c r="AZ20" s="215"/>
      <c r="BA20" s="217"/>
      <c r="BB20" s="217"/>
      <c r="BC20" s="216"/>
    </row>
    <row r="21">
      <c r="B21" s="212" t="s">
        <v>161</v>
      </c>
      <c r="C21" s="213">
        <f t="shared" si="3"/>
        <v>0</v>
      </c>
      <c r="D21" s="214"/>
      <c r="E21" s="214"/>
      <c r="F21" s="214"/>
      <c r="G21" s="217"/>
      <c r="H21" s="217"/>
      <c r="I21" s="214"/>
      <c r="J21" s="216"/>
      <c r="K21" s="214"/>
      <c r="L21" s="214"/>
      <c r="M21" s="217"/>
      <c r="N21" s="214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4"/>
      <c r="AA21" s="217"/>
      <c r="AB21" s="217"/>
      <c r="AC21" s="217"/>
      <c r="AD21" s="217"/>
      <c r="AE21" s="214"/>
      <c r="AF21" s="214"/>
      <c r="AG21" s="214"/>
      <c r="AH21" s="214"/>
      <c r="AI21" s="214"/>
      <c r="AJ21" s="214"/>
      <c r="AK21" s="214"/>
      <c r="AL21" s="215"/>
      <c r="AM21" s="217"/>
      <c r="AN21" s="217"/>
      <c r="AO21" s="214"/>
      <c r="AP21" s="214"/>
      <c r="AQ21" s="214"/>
      <c r="AR21" s="214"/>
      <c r="AS21" s="214"/>
      <c r="AT21" s="217"/>
      <c r="AU21" s="214"/>
      <c r="AV21" s="215"/>
      <c r="AW21" s="217"/>
      <c r="AX21" s="214"/>
      <c r="AY21" s="214"/>
      <c r="AZ21" s="215"/>
      <c r="BA21" s="217"/>
      <c r="BB21" s="217"/>
      <c r="BC21" s="216"/>
    </row>
    <row r="22">
      <c r="B22" s="212" t="s">
        <v>159</v>
      </c>
      <c r="C22" s="213">
        <f t="shared" si="3"/>
        <v>0</v>
      </c>
      <c r="D22" s="214"/>
      <c r="E22" s="214"/>
      <c r="F22" s="214"/>
      <c r="G22" s="217"/>
      <c r="H22" s="217"/>
      <c r="I22" s="214"/>
      <c r="J22" s="216"/>
      <c r="K22" s="214"/>
      <c r="L22" s="214"/>
      <c r="M22" s="217"/>
      <c r="N22" s="214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4"/>
      <c r="AA22" s="217"/>
      <c r="AB22" s="217"/>
      <c r="AC22" s="217"/>
      <c r="AD22" s="217"/>
      <c r="AE22" s="214"/>
      <c r="AF22" s="214"/>
      <c r="AG22" s="214"/>
      <c r="AH22" s="214"/>
      <c r="AI22" s="214"/>
      <c r="AJ22" s="214"/>
      <c r="AK22" s="214"/>
      <c r="AL22" s="215"/>
      <c r="AM22" s="217"/>
      <c r="AN22" s="217"/>
      <c r="AO22" s="214"/>
      <c r="AP22" s="214"/>
      <c r="AQ22" s="214"/>
      <c r="AR22" s="214"/>
      <c r="AS22" s="214"/>
      <c r="AT22" s="217"/>
      <c r="AU22" s="214"/>
      <c r="AV22" s="215"/>
      <c r="AW22" s="217"/>
      <c r="AX22" s="214"/>
      <c r="AY22" s="214"/>
      <c r="AZ22" s="215"/>
      <c r="BA22" s="217"/>
      <c r="BB22" s="217"/>
      <c r="BC22" s="216"/>
    </row>
    <row r="23">
      <c r="B23" s="212" t="s">
        <v>158</v>
      </c>
      <c r="C23" s="213">
        <f t="shared" si="3"/>
        <v>0</v>
      </c>
      <c r="D23" s="214"/>
      <c r="E23" s="214"/>
      <c r="F23" s="214"/>
      <c r="G23" s="214"/>
      <c r="H23" s="214"/>
      <c r="I23" s="214"/>
      <c r="J23" s="215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5"/>
      <c r="AM23" s="214"/>
      <c r="AN23" s="214"/>
      <c r="AO23" s="214"/>
      <c r="AP23" s="214"/>
      <c r="AQ23" s="214"/>
      <c r="AR23" s="214"/>
      <c r="AS23" s="214"/>
      <c r="AT23" s="214"/>
      <c r="AU23" s="214"/>
      <c r="AV23" s="215"/>
      <c r="AW23" s="214"/>
      <c r="AX23" s="214"/>
      <c r="AY23" s="214"/>
      <c r="AZ23" s="215"/>
      <c r="BA23" s="214"/>
      <c r="BB23" s="214"/>
      <c r="BC23" s="216"/>
    </row>
    <row r="24">
      <c r="B24" s="212" t="s">
        <v>246</v>
      </c>
      <c r="C24" s="213">
        <f t="shared" si="3"/>
        <v>0</v>
      </c>
      <c r="D24" s="217"/>
      <c r="E24" s="217"/>
      <c r="F24" s="217"/>
      <c r="G24" s="214"/>
      <c r="H24" s="214"/>
      <c r="I24" s="217"/>
      <c r="J24" s="215"/>
      <c r="K24" s="217"/>
      <c r="L24" s="217"/>
      <c r="M24" s="214"/>
      <c r="N24" s="217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7"/>
      <c r="AA24" s="214"/>
      <c r="AB24" s="214"/>
      <c r="AC24" s="214"/>
      <c r="AD24" s="214"/>
      <c r="AE24" s="217"/>
      <c r="AF24" s="217"/>
      <c r="AG24" s="217"/>
      <c r="AH24" s="217"/>
      <c r="AI24" s="217"/>
      <c r="AJ24" s="217"/>
      <c r="AK24" s="217"/>
      <c r="AL24" s="216"/>
      <c r="AM24" s="214"/>
      <c r="AN24" s="214"/>
      <c r="AO24" s="217"/>
      <c r="AP24" s="217"/>
      <c r="AQ24" s="217"/>
      <c r="AR24" s="217"/>
      <c r="AS24" s="217"/>
      <c r="AT24" s="214"/>
      <c r="AU24" s="217"/>
      <c r="AV24" s="216"/>
      <c r="AW24" s="214"/>
      <c r="AX24" s="217"/>
      <c r="AY24" s="217"/>
      <c r="AZ24" s="216"/>
      <c r="BA24" s="214"/>
      <c r="BB24" s="214"/>
      <c r="BC24" s="216"/>
    </row>
    <row r="25">
      <c r="B25" s="212" t="s">
        <v>247</v>
      </c>
      <c r="C25" s="213">
        <f t="shared" si="3"/>
        <v>0</v>
      </c>
      <c r="D25" s="217"/>
      <c r="E25" s="217"/>
      <c r="F25" s="217"/>
      <c r="G25" s="214"/>
      <c r="H25" s="214"/>
      <c r="I25" s="217"/>
      <c r="J25" s="215"/>
      <c r="K25" s="217"/>
      <c r="L25" s="217"/>
      <c r="M25" s="214"/>
      <c r="N25" s="217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7"/>
      <c r="AA25" s="214"/>
      <c r="AB25" s="214"/>
      <c r="AC25" s="214"/>
      <c r="AD25" s="214"/>
      <c r="AE25" s="217"/>
      <c r="AF25" s="217"/>
      <c r="AG25" s="217"/>
      <c r="AH25" s="217"/>
      <c r="AI25" s="217"/>
      <c r="AJ25" s="217"/>
      <c r="AK25" s="217"/>
      <c r="AL25" s="216"/>
      <c r="AM25" s="214"/>
      <c r="AN25" s="214"/>
      <c r="AO25" s="217"/>
      <c r="AP25" s="217"/>
      <c r="AQ25" s="217"/>
      <c r="AR25" s="217"/>
      <c r="AS25" s="217"/>
      <c r="AT25" s="214"/>
      <c r="AU25" s="217"/>
      <c r="AV25" s="216"/>
      <c r="AW25" s="214"/>
      <c r="AX25" s="217"/>
      <c r="AY25" s="217"/>
      <c r="AZ25" s="216"/>
      <c r="BA25" s="214"/>
      <c r="BB25" s="214"/>
      <c r="BC25" s="216"/>
    </row>
    <row r="26">
      <c r="B26" s="212" t="s">
        <v>249</v>
      </c>
      <c r="C26" s="213">
        <f t="shared" si="3"/>
        <v>0</v>
      </c>
      <c r="D26" s="217"/>
      <c r="E26" s="217"/>
      <c r="F26" s="217"/>
      <c r="G26" s="214"/>
      <c r="H26" s="214"/>
      <c r="I26" s="217"/>
      <c r="J26" s="215"/>
      <c r="K26" s="217"/>
      <c r="L26" s="217"/>
      <c r="M26" s="214"/>
      <c r="N26" s="217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7"/>
      <c r="AA26" s="214"/>
      <c r="AB26" s="214"/>
      <c r="AC26" s="214"/>
      <c r="AD26" s="214"/>
      <c r="AE26" s="217"/>
      <c r="AF26" s="217"/>
      <c r="AG26" s="217"/>
      <c r="AH26" s="217"/>
      <c r="AI26" s="217"/>
      <c r="AJ26" s="217"/>
      <c r="AK26" s="217"/>
      <c r="AL26" s="216"/>
      <c r="AM26" s="214"/>
      <c r="AN26" s="214"/>
      <c r="AO26" s="217"/>
      <c r="AP26" s="217"/>
      <c r="AQ26" s="217"/>
      <c r="AR26" s="217"/>
      <c r="AS26" s="217"/>
      <c r="AT26" s="214"/>
      <c r="AU26" s="217"/>
      <c r="AV26" s="216"/>
      <c r="AW26" s="214"/>
      <c r="AX26" s="217"/>
      <c r="AY26" s="217"/>
      <c r="AZ26" s="216"/>
      <c r="BA26" s="214"/>
      <c r="BB26" s="214"/>
      <c r="BC26" s="216"/>
    </row>
    <row r="27">
      <c r="B27" s="212" t="s">
        <v>250</v>
      </c>
      <c r="C27" s="213">
        <f t="shared" si="3"/>
        <v>0</v>
      </c>
      <c r="D27" s="217"/>
      <c r="E27" s="217"/>
      <c r="F27" s="217"/>
      <c r="G27" s="214"/>
      <c r="H27" s="214"/>
      <c r="I27" s="217"/>
      <c r="J27" s="215"/>
      <c r="K27" s="217"/>
      <c r="L27" s="217"/>
      <c r="M27" s="214"/>
      <c r="N27" s="217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7"/>
      <c r="AA27" s="214"/>
      <c r="AB27" s="214"/>
      <c r="AC27" s="214"/>
      <c r="AD27" s="214"/>
      <c r="AE27" s="217"/>
      <c r="AF27" s="217"/>
      <c r="AG27" s="217"/>
      <c r="AH27" s="217"/>
      <c r="AI27" s="217"/>
      <c r="AJ27" s="217"/>
      <c r="AK27" s="217"/>
      <c r="AL27" s="216"/>
      <c r="AM27" s="214"/>
      <c r="AN27" s="214"/>
      <c r="AO27" s="217"/>
      <c r="AP27" s="217"/>
      <c r="AQ27" s="217"/>
      <c r="AR27" s="217"/>
      <c r="AS27" s="217"/>
      <c r="AT27" s="214"/>
      <c r="AU27" s="217"/>
      <c r="AV27" s="216"/>
      <c r="AW27" s="214"/>
      <c r="AX27" s="217"/>
      <c r="AY27" s="217"/>
      <c r="AZ27" s="216"/>
      <c r="BA27" s="214"/>
      <c r="BB27" s="214"/>
      <c r="BC27" s="216"/>
    </row>
    <row r="28">
      <c r="B28" s="212" t="s">
        <v>251</v>
      </c>
      <c r="C28" s="213">
        <f t="shared" si="3"/>
        <v>0</v>
      </c>
      <c r="D28" s="217"/>
      <c r="E28" s="217"/>
      <c r="F28" s="217"/>
      <c r="G28" s="214"/>
      <c r="H28" s="214"/>
      <c r="I28" s="217"/>
      <c r="J28" s="215"/>
      <c r="K28" s="217"/>
      <c r="L28" s="217"/>
      <c r="M28" s="214"/>
      <c r="N28" s="217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7"/>
      <c r="AA28" s="214"/>
      <c r="AB28" s="214"/>
      <c r="AC28" s="214"/>
      <c r="AD28" s="214"/>
      <c r="AE28" s="217"/>
      <c r="AF28" s="217"/>
      <c r="AG28" s="217"/>
      <c r="AH28" s="217"/>
      <c r="AI28" s="217"/>
      <c r="AJ28" s="217"/>
      <c r="AK28" s="217"/>
      <c r="AL28" s="216"/>
      <c r="AM28" s="214"/>
      <c r="AN28" s="214"/>
      <c r="AO28" s="217"/>
      <c r="AP28" s="217"/>
      <c r="AQ28" s="217"/>
      <c r="AR28" s="217"/>
      <c r="AS28" s="217"/>
      <c r="AT28" s="214"/>
      <c r="AU28" s="217"/>
      <c r="AV28" s="216"/>
      <c r="AW28" s="214"/>
      <c r="AX28" s="217"/>
      <c r="AY28" s="217"/>
      <c r="AZ28" s="216"/>
      <c r="BA28" s="214"/>
      <c r="BB28" s="214"/>
      <c r="BC28" s="216"/>
    </row>
    <row r="29">
      <c r="A29" s="206"/>
      <c r="B29" s="218" t="s">
        <v>263</v>
      </c>
      <c r="C29" s="219">
        <f t="shared" ref="C29:BC29" si="4">SUM(C17:C28)</f>
        <v>0</v>
      </c>
      <c r="D29" s="220">
        <f t="shared" si="4"/>
        <v>0</v>
      </c>
      <c r="E29" s="220">
        <f t="shared" si="4"/>
        <v>0</v>
      </c>
      <c r="F29" s="220">
        <f t="shared" si="4"/>
        <v>0</v>
      </c>
      <c r="G29" s="220">
        <f t="shared" si="4"/>
        <v>0</v>
      </c>
      <c r="H29" s="220">
        <f t="shared" si="4"/>
        <v>0</v>
      </c>
      <c r="I29" s="220">
        <f t="shared" si="4"/>
        <v>0</v>
      </c>
      <c r="J29" s="221">
        <f t="shared" si="4"/>
        <v>0</v>
      </c>
      <c r="K29" s="220">
        <f t="shared" si="4"/>
        <v>0</v>
      </c>
      <c r="L29" s="220">
        <f t="shared" si="4"/>
        <v>0</v>
      </c>
      <c r="M29" s="220">
        <f t="shared" si="4"/>
        <v>0</v>
      </c>
      <c r="N29" s="220">
        <f t="shared" si="4"/>
        <v>0</v>
      </c>
      <c r="O29" s="220">
        <f t="shared" si="4"/>
        <v>0</v>
      </c>
      <c r="P29" s="220">
        <f t="shared" si="4"/>
        <v>0</v>
      </c>
      <c r="Q29" s="220">
        <f t="shared" si="4"/>
        <v>0</v>
      </c>
      <c r="R29" s="220">
        <f t="shared" si="4"/>
        <v>0</v>
      </c>
      <c r="S29" s="220">
        <f t="shared" si="4"/>
        <v>0</v>
      </c>
      <c r="T29" s="220">
        <f t="shared" si="4"/>
        <v>0</v>
      </c>
      <c r="U29" s="220">
        <f t="shared" si="4"/>
        <v>0</v>
      </c>
      <c r="V29" s="220">
        <f t="shared" si="4"/>
        <v>0</v>
      </c>
      <c r="W29" s="220">
        <f t="shared" si="4"/>
        <v>0</v>
      </c>
      <c r="X29" s="220">
        <f t="shared" si="4"/>
        <v>0</v>
      </c>
      <c r="Y29" s="220">
        <f t="shared" si="4"/>
        <v>0</v>
      </c>
      <c r="Z29" s="220">
        <f t="shared" si="4"/>
        <v>0</v>
      </c>
      <c r="AA29" s="220">
        <f t="shared" si="4"/>
        <v>0</v>
      </c>
      <c r="AB29" s="220">
        <f t="shared" si="4"/>
        <v>0</v>
      </c>
      <c r="AC29" s="220">
        <f t="shared" si="4"/>
        <v>0</v>
      </c>
      <c r="AD29" s="220">
        <f t="shared" si="4"/>
        <v>0</v>
      </c>
      <c r="AE29" s="220">
        <f t="shared" si="4"/>
        <v>0</v>
      </c>
      <c r="AF29" s="220">
        <f t="shared" si="4"/>
        <v>0</v>
      </c>
      <c r="AG29" s="220">
        <f t="shared" si="4"/>
        <v>0</v>
      </c>
      <c r="AH29" s="220">
        <f t="shared" si="4"/>
        <v>0</v>
      </c>
      <c r="AI29" s="220">
        <f t="shared" si="4"/>
        <v>0</v>
      </c>
      <c r="AJ29" s="220">
        <f t="shared" si="4"/>
        <v>0</v>
      </c>
      <c r="AK29" s="220">
        <f t="shared" si="4"/>
        <v>0</v>
      </c>
      <c r="AL29" s="221">
        <f t="shared" si="4"/>
        <v>0</v>
      </c>
      <c r="AM29" s="220">
        <f t="shared" si="4"/>
        <v>0</v>
      </c>
      <c r="AN29" s="220">
        <f t="shared" si="4"/>
        <v>0</v>
      </c>
      <c r="AO29" s="220">
        <f t="shared" si="4"/>
        <v>0</v>
      </c>
      <c r="AP29" s="220">
        <f t="shared" si="4"/>
        <v>0</v>
      </c>
      <c r="AQ29" s="220">
        <f t="shared" si="4"/>
        <v>0</v>
      </c>
      <c r="AR29" s="220">
        <f t="shared" si="4"/>
        <v>0</v>
      </c>
      <c r="AS29" s="220">
        <f t="shared" si="4"/>
        <v>0</v>
      </c>
      <c r="AT29" s="220">
        <f t="shared" si="4"/>
        <v>0</v>
      </c>
      <c r="AU29" s="220">
        <f t="shared" si="4"/>
        <v>0</v>
      </c>
      <c r="AV29" s="221">
        <f t="shared" si="4"/>
        <v>0</v>
      </c>
      <c r="AW29" s="220">
        <f t="shared" si="4"/>
        <v>0</v>
      </c>
      <c r="AX29" s="220">
        <f t="shared" si="4"/>
        <v>0</v>
      </c>
      <c r="AY29" s="220">
        <f t="shared" si="4"/>
        <v>0</v>
      </c>
      <c r="AZ29" s="221">
        <f t="shared" si="4"/>
        <v>0</v>
      </c>
      <c r="BA29" s="220">
        <f t="shared" si="4"/>
        <v>0</v>
      </c>
      <c r="BB29" s="220">
        <f t="shared" si="4"/>
        <v>0</v>
      </c>
      <c r="BC29" s="221">
        <f t="shared" si="4"/>
        <v>0</v>
      </c>
    </row>
    <row r="30">
      <c r="A30" s="223" t="s">
        <v>314</v>
      </c>
      <c r="B30" s="224" t="s">
        <v>312</v>
      </c>
      <c r="C30" s="225">
        <f t="shared" ref="C30:C41" si="5">SUM(D30:BC30)</f>
        <v>0</v>
      </c>
      <c r="D30" s="226"/>
      <c r="E30" s="226"/>
      <c r="F30" s="226"/>
      <c r="G30" s="226"/>
      <c r="H30" s="226"/>
      <c r="I30" s="226"/>
      <c r="J30" s="227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7"/>
      <c r="AM30" s="226"/>
      <c r="AN30" s="226"/>
      <c r="AO30" s="226"/>
      <c r="AP30" s="226"/>
      <c r="AQ30" s="226"/>
      <c r="AR30" s="226"/>
      <c r="AS30" s="226"/>
      <c r="AT30" s="226"/>
      <c r="AU30" s="226"/>
      <c r="AV30" s="227"/>
      <c r="AW30" s="226"/>
      <c r="AX30" s="226"/>
      <c r="AY30" s="226"/>
      <c r="AZ30" s="227"/>
      <c r="BA30" s="226"/>
      <c r="BB30" s="226"/>
      <c r="BC30" s="228"/>
    </row>
    <row r="31">
      <c r="B31" s="224" t="s">
        <v>164</v>
      </c>
      <c r="C31" s="225">
        <f t="shared" si="5"/>
        <v>0</v>
      </c>
      <c r="D31" s="226"/>
      <c r="E31" s="226"/>
      <c r="F31" s="226"/>
      <c r="G31" s="229"/>
      <c r="H31" s="229"/>
      <c r="I31" s="226"/>
      <c r="J31" s="228"/>
      <c r="K31" s="226"/>
      <c r="L31" s="226"/>
      <c r="M31" s="229"/>
      <c r="N31" s="226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6"/>
      <c r="AA31" s="229"/>
      <c r="AB31" s="229"/>
      <c r="AC31" s="229"/>
      <c r="AD31" s="229"/>
      <c r="AE31" s="226"/>
      <c r="AF31" s="226"/>
      <c r="AG31" s="226"/>
      <c r="AH31" s="226"/>
      <c r="AI31" s="226"/>
      <c r="AJ31" s="226"/>
      <c r="AK31" s="226"/>
      <c r="AL31" s="227"/>
      <c r="AM31" s="229"/>
      <c r="AN31" s="229"/>
      <c r="AO31" s="226"/>
      <c r="AP31" s="226"/>
      <c r="AQ31" s="226"/>
      <c r="AR31" s="226"/>
      <c r="AS31" s="226"/>
      <c r="AT31" s="229"/>
      <c r="AU31" s="226"/>
      <c r="AV31" s="227"/>
      <c r="AW31" s="229"/>
      <c r="AX31" s="226"/>
      <c r="AY31" s="226"/>
      <c r="AZ31" s="227"/>
      <c r="BA31" s="229"/>
      <c r="BB31" s="229"/>
      <c r="BC31" s="228"/>
    </row>
    <row r="32">
      <c r="B32" s="224" t="s">
        <v>155</v>
      </c>
      <c r="C32" s="225">
        <f t="shared" si="5"/>
        <v>0</v>
      </c>
      <c r="D32" s="226"/>
      <c r="E32" s="226"/>
      <c r="F32" s="226"/>
      <c r="G32" s="229"/>
      <c r="H32" s="229"/>
      <c r="I32" s="226"/>
      <c r="J32" s="228"/>
      <c r="K32" s="226"/>
      <c r="L32" s="226"/>
      <c r="M32" s="229"/>
      <c r="N32" s="226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6"/>
      <c r="AA32" s="229"/>
      <c r="AB32" s="229"/>
      <c r="AC32" s="229"/>
      <c r="AD32" s="229"/>
      <c r="AE32" s="226"/>
      <c r="AF32" s="226"/>
      <c r="AG32" s="226"/>
      <c r="AH32" s="226"/>
      <c r="AI32" s="226"/>
      <c r="AJ32" s="226"/>
      <c r="AK32" s="226"/>
      <c r="AL32" s="227"/>
      <c r="AM32" s="229"/>
      <c r="AN32" s="229"/>
      <c r="AO32" s="226"/>
      <c r="AP32" s="226"/>
      <c r="AQ32" s="226"/>
      <c r="AR32" s="226"/>
      <c r="AS32" s="226"/>
      <c r="AT32" s="229"/>
      <c r="AU32" s="226"/>
      <c r="AV32" s="227"/>
      <c r="AW32" s="229"/>
      <c r="AX32" s="226"/>
      <c r="AY32" s="226"/>
      <c r="AZ32" s="227"/>
      <c r="BA32" s="229"/>
      <c r="BB32" s="229"/>
      <c r="BC32" s="228"/>
    </row>
    <row r="33">
      <c r="B33" s="224" t="s">
        <v>163</v>
      </c>
      <c r="C33" s="225">
        <f t="shared" si="5"/>
        <v>0</v>
      </c>
      <c r="D33" s="226"/>
      <c r="E33" s="226"/>
      <c r="F33" s="226"/>
      <c r="G33" s="229"/>
      <c r="H33" s="229"/>
      <c r="I33" s="226"/>
      <c r="J33" s="228"/>
      <c r="K33" s="226"/>
      <c r="L33" s="226"/>
      <c r="M33" s="229"/>
      <c r="N33" s="226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6"/>
      <c r="AA33" s="229"/>
      <c r="AB33" s="229"/>
      <c r="AC33" s="229"/>
      <c r="AD33" s="229"/>
      <c r="AE33" s="226"/>
      <c r="AF33" s="226"/>
      <c r="AG33" s="226"/>
      <c r="AH33" s="226"/>
      <c r="AI33" s="226"/>
      <c r="AJ33" s="226"/>
      <c r="AK33" s="226"/>
      <c r="AL33" s="227"/>
      <c r="AM33" s="229"/>
      <c r="AN33" s="229"/>
      <c r="AO33" s="226"/>
      <c r="AP33" s="226"/>
      <c r="AQ33" s="226"/>
      <c r="AR33" s="226"/>
      <c r="AS33" s="226"/>
      <c r="AT33" s="229"/>
      <c r="AU33" s="226"/>
      <c r="AV33" s="227"/>
      <c r="AW33" s="229"/>
      <c r="AX33" s="226"/>
      <c r="AY33" s="226"/>
      <c r="AZ33" s="227"/>
      <c r="BA33" s="229"/>
      <c r="BB33" s="229"/>
      <c r="BC33" s="228"/>
    </row>
    <row r="34">
      <c r="B34" s="224" t="s">
        <v>161</v>
      </c>
      <c r="C34" s="225">
        <f t="shared" si="5"/>
        <v>0</v>
      </c>
      <c r="D34" s="226"/>
      <c r="E34" s="226"/>
      <c r="F34" s="226"/>
      <c r="G34" s="229"/>
      <c r="H34" s="229"/>
      <c r="I34" s="226"/>
      <c r="J34" s="228"/>
      <c r="K34" s="226"/>
      <c r="L34" s="226"/>
      <c r="M34" s="229"/>
      <c r="N34" s="226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6"/>
      <c r="AA34" s="229"/>
      <c r="AB34" s="229"/>
      <c r="AC34" s="229"/>
      <c r="AD34" s="229"/>
      <c r="AE34" s="226"/>
      <c r="AF34" s="226"/>
      <c r="AG34" s="226"/>
      <c r="AH34" s="226"/>
      <c r="AI34" s="226"/>
      <c r="AJ34" s="226"/>
      <c r="AK34" s="226"/>
      <c r="AL34" s="227"/>
      <c r="AM34" s="229"/>
      <c r="AN34" s="229"/>
      <c r="AO34" s="226"/>
      <c r="AP34" s="226"/>
      <c r="AQ34" s="226"/>
      <c r="AR34" s="226"/>
      <c r="AS34" s="226"/>
      <c r="AT34" s="229"/>
      <c r="AU34" s="226"/>
      <c r="AV34" s="227"/>
      <c r="AW34" s="229"/>
      <c r="AX34" s="226"/>
      <c r="AY34" s="226"/>
      <c r="AZ34" s="227"/>
      <c r="BA34" s="229"/>
      <c r="BB34" s="229"/>
      <c r="BC34" s="228"/>
    </row>
    <row r="35">
      <c r="B35" s="224" t="s">
        <v>159</v>
      </c>
      <c r="C35" s="225">
        <f t="shared" si="5"/>
        <v>0</v>
      </c>
      <c r="D35" s="226"/>
      <c r="E35" s="226"/>
      <c r="F35" s="226"/>
      <c r="G35" s="229"/>
      <c r="H35" s="229"/>
      <c r="I35" s="226"/>
      <c r="J35" s="228"/>
      <c r="K35" s="226"/>
      <c r="L35" s="226"/>
      <c r="M35" s="229"/>
      <c r="N35" s="226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6"/>
      <c r="AA35" s="229"/>
      <c r="AB35" s="229"/>
      <c r="AC35" s="229"/>
      <c r="AD35" s="229"/>
      <c r="AE35" s="226"/>
      <c r="AF35" s="226"/>
      <c r="AG35" s="226"/>
      <c r="AH35" s="226"/>
      <c r="AI35" s="226"/>
      <c r="AJ35" s="226"/>
      <c r="AK35" s="226"/>
      <c r="AL35" s="227"/>
      <c r="AM35" s="229"/>
      <c r="AN35" s="229"/>
      <c r="AO35" s="226"/>
      <c r="AP35" s="226"/>
      <c r="AQ35" s="226"/>
      <c r="AR35" s="226"/>
      <c r="AS35" s="226"/>
      <c r="AT35" s="229"/>
      <c r="AU35" s="226"/>
      <c r="AV35" s="227"/>
      <c r="AW35" s="229"/>
      <c r="AX35" s="226"/>
      <c r="AY35" s="226"/>
      <c r="AZ35" s="227"/>
      <c r="BA35" s="229"/>
      <c r="BB35" s="229"/>
      <c r="BC35" s="228"/>
    </row>
    <row r="36">
      <c r="B36" s="224" t="s">
        <v>158</v>
      </c>
      <c r="C36" s="225">
        <f t="shared" si="5"/>
        <v>0</v>
      </c>
      <c r="D36" s="226"/>
      <c r="E36" s="226"/>
      <c r="F36" s="226"/>
      <c r="G36" s="226"/>
      <c r="H36" s="226"/>
      <c r="I36" s="226"/>
      <c r="J36" s="227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7"/>
      <c r="AM36" s="226"/>
      <c r="AN36" s="226"/>
      <c r="AO36" s="226"/>
      <c r="AP36" s="226"/>
      <c r="AQ36" s="226"/>
      <c r="AR36" s="226"/>
      <c r="AS36" s="226"/>
      <c r="AT36" s="226"/>
      <c r="AU36" s="226"/>
      <c r="AV36" s="227"/>
      <c r="AW36" s="226"/>
      <c r="AX36" s="226"/>
      <c r="AY36" s="226"/>
      <c r="AZ36" s="227"/>
      <c r="BA36" s="226"/>
      <c r="BB36" s="226"/>
      <c r="BC36" s="228"/>
    </row>
    <row r="37">
      <c r="B37" s="224" t="s">
        <v>246</v>
      </c>
      <c r="C37" s="225">
        <f t="shared" si="5"/>
        <v>0</v>
      </c>
      <c r="D37" s="229"/>
      <c r="E37" s="229"/>
      <c r="F37" s="229"/>
      <c r="G37" s="226"/>
      <c r="H37" s="226"/>
      <c r="I37" s="229"/>
      <c r="J37" s="227"/>
      <c r="K37" s="229"/>
      <c r="L37" s="229"/>
      <c r="M37" s="226"/>
      <c r="N37" s="229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9"/>
      <c r="AA37" s="226"/>
      <c r="AB37" s="226"/>
      <c r="AC37" s="226"/>
      <c r="AD37" s="226"/>
      <c r="AE37" s="229"/>
      <c r="AF37" s="229"/>
      <c r="AG37" s="229"/>
      <c r="AH37" s="229"/>
      <c r="AI37" s="229"/>
      <c r="AJ37" s="229"/>
      <c r="AK37" s="229"/>
      <c r="AL37" s="228"/>
      <c r="AM37" s="226"/>
      <c r="AN37" s="226"/>
      <c r="AO37" s="229"/>
      <c r="AP37" s="229"/>
      <c r="AQ37" s="229"/>
      <c r="AR37" s="229"/>
      <c r="AS37" s="229"/>
      <c r="AT37" s="226"/>
      <c r="AU37" s="229"/>
      <c r="AV37" s="228"/>
      <c r="AW37" s="226"/>
      <c r="AX37" s="229"/>
      <c r="AY37" s="229"/>
      <c r="AZ37" s="228"/>
      <c r="BA37" s="226"/>
      <c r="BB37" s="226"/>
      <c r="BC37" s="228"/>
    </row>
    <row r="38">
      <c r="B38" s="224" t="s">
        <v>247</v>
      </c>
      <c r="C38" s="225">
        <f t="shared" si="5"/>
        <v>0</v>
      </c>
      <c r="D38" s="229"/>
      <c r="E38" s="229"/>
      <c r="F38" s="229"/>
      <c r="G38" s="226"/>
      <c r="H38" s="226"/>
      <c r="I38" s="229"/>
      <c r="J38" s="227"/>
      <c r="K38" s="229"/>
      <c r="L38" s="229"/>
      <c r="M38" s="226"/>
      <c r="N38" s="229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9"/>
      <c r="AA38" s="226"/>
      <c r="AB38" s="226"/>
      <c r="AC38" s="226"/>
      <c r="AD38" s="226"/>
      <c r="AE38" s="229"/>
      <c r="AF38" s="229"/>
      <c r="AG38" s="229"/>
      <c r="AH38" s="229"/>
      <c r="AI38" s="229"/>
      <c r="AJ38" s="229"/>
      <c r="AK38" s="229"/>
      <c r="AL38" s="228"/>
      <c r="AM38" s="226"/>
      <c r="AN38" s="226"/>
      <c r="AO38" s="229"/>
      <c r="AP38" s="229"/>
      <c r="AQ38" s="229"/>
      <c r="AR38" s="229"/>
      <c r="AS38" s="229"/>
      <c r="AT38" s="226"/>
      <c r="AU38" s="229"/>
      <c r="AV38" s="228"/>
      <c r="AW38" s="226"/>
      <c r="AX38" s="229"/>
      <c r="AY38" s="229"/>
      <c r="AZ38" s="228"/>
      <c r="BA38" s="226"/>
      <c r="BB38" s="226"/>
      <c r="BC38" s="228"/>
    </row>
    <row r="39">
      <c r="B39" s="224" t="s">
        <v>249</v>
      </c>
      <c r="C39" s="225">
        <f t="shared" si="5"/>
        <v>0</v>
      </c>
      <c r="D39" s="229"/>
      <c r="E39" s="229"/>
      <c r="F39" s="229"/>
      <c r="G39" s="226"/>
      <c r="H39" s="226"/>
      <c r="I39" s="229"/>
      <c r="J39" s="227"/>
      <c r="K39" s="229"/>
      <c r="L39" s="229"/>
      <c r="M39" s="226"/>
      <c r="N39" s="229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9"/>
      <c r="AA39" s="226"/>
      <c r="AB39" s="226"/>
      <c r="AC39" s="226"/>
      <c r="AD39" s="226"/>
      <c r="AE39" s="229"/>
      <c r="AF39" s="229"/>
      <c r="AG39" s="229"/>
      <c r="AH39" s="229"/>
      <c r="AI39" s="229"/>
      <c r="AJ39" s="229"/>
      <c r="AK39" s="229"/>
      <c r="AL39" s="228"/>
      <c r="AM39" s="226"/>
      <c r="AN39" s="226"/>
      <c r="AO39" s="229"/>
      <c r="AP39" s="229"/>
      <c r="AQ39" s="229"/>
      <c r="AR39" s="229"/>
      <c r="AS39" s="229"/>
      <c r="AT39" s="226"/>
      <c r="AU39" s="229"/>
      <c r="AV39" s="228"/>
      <c r="AW39" s="226"/>
      <c r="AX39" s="229"/>
      <c r="AY39" s="229"/>
      <c r="AZ39" s="228"/>
      <c r="BA39" s="226"/>
      <c r="BB39" s="226"/>
      <c r="BC39" s="228"/>
    </row>
    <row r="40">
      <c r="B40" s="224" t="s">
        <v>250</v>
      </c>
      <c r="C40" s="225">
        <f t="shared" si="5"/>
        <v>0</v>
      </c>
      <c r="D40" s="229"/>
      <c r="E40" s="229"/>
      <c r="F40" s="229"/>
      <c r="G40" s="226"/>
      <c r="H40" s="226"/>
      <c r="I40" s="229"/>
      <c r="J40" s="227"/>
      <c r="K40" s="229"/>
      <c r="L40" s="229"/>
      <c r="M40" s="226"/>
      <c r="N40" s="229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9"/>
      <c r="AA40" s="226"/>
      <c r="AB40" s="226"/>
      <c r="AC40" s="226"/>
      <c r="AD40" s="226"/>
      <c r="AE40" s="229"/>
      <c r="AF40" s="229"/>
      <c r="AG40" s="229"/>
      <c r="AH40" s="229"/>
      <c r="AI40" s="229"/>
      <c r="AJ40" s="229"/>
      <c r="AK40" s="229"/>
      <c r="AL40" s="228"/>
      <c r="AM40" s="226"/>
      <c r="AN40" s="226"/>
      <c r="AO40" s="229"/>
      <c r="AP40" s="229"/>
      <c r="AQ40" s="229"/>
      <c r="AR40" s="229"/>
      <c r="AS40" s="229"/>
      <c r="AT40" s="226"/>
      <c r="AU40" s="229"/>
      <c r="AV40" s="228"/>
      <c r="AW40" s="226"/>
      <c r="AX40" s="229"/>
      <c r="AY40" s="229"/>
      <c r="AZ40" s="228"/>
      <c r="BA40" s="226"/>
      <c r="BB40" s="226"/>
      <c r="BC40" s="228"/>
    </row>
    <row r="41">
      <c r="B41" s="230" t="s">
        <v>251</v>
      </c>
      <c r="C41" s="231">
        <f t="shared" si="5"/>
        <v>0</v>
      </c>
      <c r="D41" s="232"/>
      <c r="E41" s="232"/>
      <c r="F41" s="232"/>
      <c r="G41" s="233"/>
      <c r="H41" s="233"/>
      <c r="I41" s="232"/>
      <c r="J41" s="234"/>
      <c r="K41" s="232"/>
      <c r="L41" s="232"/>
      <c r="M41" s="233"/>
      <c r="N41" s="232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2"/>
      <c r="AA41" s="233"/>
      <c r="AB41" s="233"/>
      <c r="AC41" s="233"/>
      <c r="AD41" s="233"/>
      <c r="AE41" s="232"/>
      <c r="AF41" s="232"/>
      <c r="AG41" s="232"/>
      <c r="AH41" s="232"/>
      <c r="AI41" s="232"/>
      <c r="AJ41" s="232"/>
      <c r="AK41" s="232"/>
      <c r="AL41" s="235"/>
      <c r="AM41" s="233"/>
      <c r="AN41" s="233"/>
      <c r="AO41" s="232"/>
      <c r="AP41" s="232"/>
      <c r="AQ41" s="232"/>
      <c r="AR41" s="232"/>
      <c r="AS41" s="232"/>
      <c r="AT41" s="233"/>
      <c r="AU41" s="232"/>
      <c r="AV41" s="235"/>
      <c r="AW41" s="233"/>
      <c r="AX41" s="232"/>
      <c r="AY41" s="232"/>
      <c r="AZ41" s="235"/>
      <c r="BA41" s="233"/>
      <c r="BB41" s="233"/>
      <c r="BC41" s="235"/>
    </row>
    <row r="42">
      <c r="A42" s="206"/>
      <c r="B42" s="236" t="s">
        <v>263</v>
      </c>
      <c r="C42" s="237">
        <f t="shared" ref="C42:BC42" si="6">SUM(C30:C41)</f>
        <v>0</v>
      </c>
      <c r="D42" s="238">
        <f t="shared" si="6"/>
        <v>0</v>
      </c>
      <c r="E42" s="238">
        <f t="shared" si="6"/>
        <v>0</v>
      </c>
      <c r="F42" s="238">
        <f t="shared" si="6"/>
        <v>0</v>
      </c>
      <c r="G42" s="238">
        <f t="shared" si="6"/>
        <v>0</v>
      </c>
      <c r="H42" s="238">
        <f t="shared" si="6"/>
        <v>0</v>
      </c>
      <c r="I42" s="238">
        <f t="shared" si="6"/>
        <v>0</v>
      </c>
      <c r="J42" s="239">
        <f t="shared" si="6"/>
        <v>0</v>
      </c>
      <c r="K42" s="238">
        <f t="shared" si="6"/>
        <v>0</v>
      </c>
      <c r="L42" s="238">
        <f t="shared" si="6"/>
        <v>0</v>
      </c>
      <c r="M42" s="238">
        <f t="shared" si="6"/>
        <v>0</v>
      </c>
      <c r="N42" s="238">
        <f t="shared" si="6"/>
        <v>0</v>
      </c>
      <c r="O42" s="238">
        <f t="shared" si="6"/>
        <v>0</v>
      </c>
      <c r="P42" s="238">
        <f t="shared" si="6"/>
        <v>0</v>
      </c>
      <c r="Q42" s="238">
        <f t="shared" si="6"/>
        <v>0</v>
      </c>
      <c r="R42" s="238">
        <f t="shared" si="6"/>
        <v>0</v>
      </c>
      <c r="S42" s="238">
        <f t="shared" si="6"/>
        <v>0</v>
      </c>
      <c r="T42" s="238">
        <f t="shared" si="6"/>
        <v>0</v>
      </c>
      <c r="U42" s="238">
        <f t="shared" si="6"/>
        <v>0</v>
      </c>
      <c r="V42" s="238">
        <f t="shared" si="6"/>
        <v>0</v>
      </c>
      <c r="W42" s="238">
        <f t="shared" si="6"/>
        <v>0</v>
      </c>
      <c r="X42" s="238">
        <f t="shared" si="6"/>
        <v>0</v>
      </c>
      <c r="Y42" s="238">
        <f t="shared" si="6"/>
        <v>0</v>
      </c>
      <c r="Z42" s="238">
        <f t="shared" si="6"/>
        <v>0</v>
      </c>
      <c r="AA42" s="238">
        <f t="shared" si="6"/>
        <v>0</v>
      </c>
      <c r="AB42" s="238">
        <f t="shared" si="6"/>
        <v>0</v>
      </c>
      <c r="AC42" s="238">
        <f t="shared" si="6"/>
        <v>0</v>
      </c>
      <c r="AD42" s="238">
        <f t="shared" si="6"/>
        <v>0</v>
      </c>
      <c r="AE42" s="238">
        <f t="shared" si="6"/>
        <v>0</v>
      </c>
      <c r="AF42" s="238">
        <f t="shared" si="6"/>
        <v>0</v>
      </c>
      <c r="AG42" s="238">
        <f t="shared" si="6"/>
        <v>0</v>
      </c>
      <c r="AH42" s="238">
        <f t="shared" si="6"/>
        <v>0</v>
      </c>
      <c r="AI42" s="238">
        <f t="shared" si="6"/>
        <v>0</v>
      </c>
      <c r="AJ42" s="238">
        <f t="shared" si="6"/>
        <v>0</v>
      </c>
      <c r="AK42" s="238">
        <f t="shared" si="6"/>
        <v>0</v>
      </c>
      <c r="AL42" s="239">
        <f t="shared" si="6"/>
        <v>0</v>
      </c>
      <c r="AM42" s="238">
        <f t="shared" si="6"/>
        <v>0</v>
      </c>
      <c r="AN42" s="238">
        <f t="shared" si="6"/>
        <v>0</v>
      </c>
      <c r="AO42" s="238">
        <f t="shared" si="6"/>
        <v>0</v>
      </c>
      <c r="AP42" s="238">
        <f t="shared" si="6"/>
        <v>0</v>
      </c>
      <c r="AQ42" s="238">
        <f t="shared" si="6"/>
        <v>0</v>
      </c>
      <c r="AR42" s="238">
        <f t="shared" si="6"/>
        <v>0</v>
      </c>
      <c r="AS42" s="238">
        <f t="shared" si="6"/>
        <v>0</v>
      </c>
      <c r="AT42" s="238">
        <f t="shared" si="6"/>
        <v>0</v>
      </c>
      <c r="AU42" s="238">
        <f t="shared" si="6"/>
        <v>0</v>
      </c>
      <c r="AV42" s="239">
        <f t="shared" si="6"/>
        <v>0</v>
      </c>
      <c r="AW42" s="238">
        <f t="shared" si="6"/>
        <v>0</v>
      </c>
      <c r="AX42" s="238">
        <f t="shared" si="6"/>
        <v>0</v>
      </c>
      <c r="AY42" s="238">
        <f t="shared" si="6"/>
        <v>0</v>
      </c>
      <c r="AZ42" s="239">
        <f t="shared" si="6"/>
        <v>0</v>
      </c>
      <c r="BA42" s="238">
        <f t="shared" si="6"/>
        <v>0</v>
      </c>
      <c r="BB42" s="238">
        <f t="shared" si="6"/>
        <v>0</v>
      </c>
      <c r="BC42" s="239">
        <f t="shared" si="6"/>
        <v>0</v>
      </c>
    </row>
    <row r="43">
      <c r="A43" s="240" t="s">
        <v>315</v>
      </c>
      <c r="B43" s="224" t="s">
        <v>312</v>
      </c>
      <c r="C43" s="225">
        <f t="shared" ref="C43:C54" si="7">SUM(D43:BC43)</f>
        <v>0</v>
      </c>
      <c r="D43" s="226"/>
      <c r="E43" s="226"/>
      <c r="F43" s="226"/>
      <c r="G43" s="226"/>
      <c r="H43" s="226"/>
      <c r="I43" s="226"/>
      <c r="J43" s="227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7"/>
      <c r="AM43" s="226"/>
      <c r="AN43" s="226"/>
      <c r="AO43" s="226"/>
      <c r="AP43" s="226"/>
      <c r="AQ43" s="226"/>
      <c r="AR43" s="226"/>
      <c r="AS43" s="226"/>
      <c r="AT43" s="226"/>
      <c r="AU43" s="226"/>
      <c r="AV43" s="227"/>
      <c r="AW43" s="226"/>
      <c r="AX43" s="226"/>
      <c r="AY43" s="226"/>
      <c r="AZ43" s="227"/>
      <c r="BA43" s="226"/>
      <c r="BB43" s="226"/>
      <c r="BC43" s="228"/>
    </row>
    <row r="44">
      <c r="B44" s="224" t="s">
        <v>164</v>
      </c>
      <c r="C44" s="225">
        <f t="shared" si="7"/>
        <v>0</v>
      </c>
      <c r="D44" s="226"/>
      <c r="E44" s="226"/>
      <c r="F44" s="226"/>
      <c r="G44" s="229"/>
      <c r="H44" s="229"/>
      <c r="I44" s="226"/>
      <c r="J44" s="228"/>
      <c r="K44" s="226"/>
      <c r="L44" s="226"/>
      <c r="M44" s="229"/>
      <c r="N44" s="226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6"/>
      <c r="AA44" s="229"/>
      <c r="AB44" s="229"/>
      <c r="AC44" s="229"/>
      <c r="AD44" s="229"/>
      <c r="AE44" s="226"/>
      <c r="AF44" s="226"/>
      <c r="AG44" s="226"/>
      <c r="AH44" s="226"/>
      <c r="AI44" s="226"/>
      <c r="AJ44" s="226"/>
      <c r="AK44" s="226"/>
      <c r="AL44" s="227"/>
      <c r="AM44" s="229"/>
      <c r="AN44" s="229"/>
      <c r="AO44" s="226"/>
      <c r="AP44" s="226"/>
      <c r="AQ44" s="226"/>
      <c r="AR44" s="226"/>
      <c r="AS44" s="226"/>
      <c r="AT44" s="229"/>
      <c r="AU44" s="226"/>
      <c r="AV44" s="227"/>
      <c r="AW44" s="229"/>
      <c r="AX44" s="226"/>
      <c r="AY44" s="226"/>
      <c r="AZ44" s="227"/>
      <c r="BA44" s="229"/>
      <c r="BB44" s="229"/>
      <c r="BC44" s="228"/>
    </row>
    <row r="45">
      <c r="B45" s="224" t="s">
        <v>155</v>
      </c>
      <c r="C45" s="225">
        <f t="shared" si="7"/>
        <v>0</v>
      </c>
      <c r="D45" s="226"/>
      <c r="E45" s="226"/>
      <c r="F45" s="226"/>
      <c r="G45" s="229"/>
      <c r="H45" s="229"/>
      <c r="I45" s="226"/>
      <c r="J45" s="228"/>
      <c r="K45" s="226"/>
      <c r="L45" s="226"/>
      <c r="M45" s="229"/>
      <c r="N45" s="226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6"/>
      <c r="AA45" s="229"/>
      <c r="AB45" s="229"/>
      <c r="AC45" s="229"/>
      <c r="AD45" s="229"/>
      <c r="AE45" s="226"/>
      <c r="AF45" s="226"/>
      <c r="AG45" s="226"/>
      <c r="AH45" s="226"/>
      <c r="AI45" s="226"/>
      <c r="AJ45" s="226"/>
      <c r="AK45" s="226"/>
      <c r="AL45" s="227"/>
      <c r="AM45" s="229"/>
      <c r="AN45" s="229"/>
      <c r="AO45" s="226"/>
      <c r="AP45" s="226"/>
      <c r="AQ45" s="226"/>
      <c r="AR45" s="226"/>
      <c r="AS45" s="226"/>
      <c r="AT45" s="229"/>
      <c r="AU45" s="226"/>
      <c r="AV45" s="227"/>
      <c r="AW45" s="229"/>
      <c r="AX45" s="226"/>
      <c r="AY45" s="226"/>
      <c r="AZ45" s="227"/>
      <c r="BA45" s="229"/>
      <c r="BB45" s="229"/>
      <c r="BC45" s="228"/>
    </row>
    <row r="46">
      <c r="B46" s="224" t="s">
        <v>163</v>
      </c>
      <c r="C46" s="225">
        <f t="shared" si="7"/>
        <v>0</v>
      </c>
      <c r="D46" s="226"/>
      <c r="E46" s="226"/>
      <c r="F46" s="226"/>
      <c r="G46" s="229"/>
      <c r="H46" s="229"/>
      <c r="I46" s="226"/>
      <c r="J46" s="228"/>
      <c r="K46" s="226"/>
      <c r="L46" s="226"/>
      <c r="M46" s="229"/>
      <c r="N46" s="226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6"/>
      <c r="AA46" s="229"/>
      <c r="AB46" s="229"/>
      <c r="AC46" s="229"/>
      <c r="AD46" s="229"/>
      <c r="AE46" s="226"/>
      <c r="AF46" s="226"/>
      <c r="AG46" s="226"/>
      <c r="AH46" s="226"/>
      <c r="AI46" s="226"/>
      <c r="AJ46" s="226"/>
      <c r="AK46" s="226"/>
      <c r="AL46" s="227"/>
      <c r="AM46" s="229"/>
      <c r="AN46" s="229"/>
      <c r="AO46" s="226"/>
      <c r="AP46" s="226"/>
      <c r="AQ46" s="226"/>
      <c r="AR46" s="226"/>
      <c r="AS46" s="226"/>
      <c r="AT46" s="229"/>
      <c r="AU46" s="226"/>
      <c r="AV46" s="227"/>
      <c r="AW46" s="229"/>
      <c r="AX46" s="226"/>
      <c r="AY46" s="226"/>
      <c r="AZ46" s="227"/>
      <c r="BA46" s="229"/>
      <c r="BB46" s="229"/>
      <c r="BC46" s="228"/>
    </row>
    <row r="47">
      <c r="B47" s="224" t="s">
        <v>161</v>
      </c>
      <c r="C47" s="225">
        <f t="shared" si="7"/>
        <v>0</v>
      </c>
      <c r="D47" s="226"/>
      <c r="E47" s="226"/>
      <c r="F47" s="226"/>
      <c r="G47" s="229"/>
      <c r="H47" s="229"/>
      <c r="I47" s="226"/>
      <c r="J47" s="228"/>
      <c r="K47" s="226"/>
      <c r="L47" s="226"/>
      <c r="M47" s="229"/>
      <c r="N47" s="226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6"/>
      <c r="AA47" s="229"/>
      <c r="AB47" s="229"/>
      <c r="AC47" s="229"/>
      <c r="AD47" s="229"/>
      <c r="AE47" s="226"/>
      <c r="AF47" s="226"/>
      <c r="AG47" s="226"/>
      <c r="AH47" s="226"/>
      <c r="AI47" s="226"/>
      <c r="AJ47" s="226"/>
      <c r="AK47" s="226"/>
      <c r="AL47" s="227"/>
      <c r="AM47" s="229"/>
      <c r="AN47" s="229"/>
      <c r="AO47" s="226"/>
      <c r="AP47" s="226"/>
      <c r="AQ47" s="226"/>
      <c r="AR47" s="226"/>
      <c r="AS47" s="226"/>
      <c r="AT47" s="229"/>
      <c r="AU47" s="226"/>
      <c r="AV47" s="227"/>
      <c r="AW47" s="229"/>
      <c r="AX47" s="226"/>
      <c r="AY47" s="226"/>
      <c r="AZ47" s="227"/>
      <c r="BA47" s="229"/>
      <c r="BB47" s="229"/>
      <c r="BC47" s="228"/>
    </row>
    <row r="48">
      <c r="B48" s="224" t="s">
        <v>159</v>
      </c>
      <c r="C48" s="225">
        <f t="shared" si="7"/>
        <v>0</v>
      </c>
      <c r="D48" s="226"/>
      <c r="E48" s="226"/>
      <c r="F48" s="226"/>
      <c r="G48" s="229"/>
      <c r="H48" s="229"/>
      <c r="I48" s="226"/>
      <c r="J48" s="228"/>
      <c r="K48" s="226"/>
      <c r="L48" s="226"/>
      <c r="M48" s="229"/>
      <c r="N48" s="226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6"/>
      <c r="AA48" s="229"/>
      <c r="AB48" s="229"/>
      <c r="AC48" s="229"/>
      <c r="AD48" s="229"/>
      <c r="AE48" s="226"/>
      <c r="AF48" s="226"/>
      <c r="AG48" s="226"/>
      <c r="AH48" s="226"/>
      <c r="AI48" s="226"/>
      <c r="AJ48" s="226"/>
      <c r="AK48" s="226"/>
      <c r="AL48" s="227"/>
      <c r="AM48" s="229"/>
      <c r="AN48" s="229"/>
      <c r="AO48" s="226"/>
      <c r="AP48" s="226"/>
      <c r="AQ48" s="226"/>
      <c r="AR48" s="226"/>
      <c r="AS48" s="226"/>
      <c r="AT48" s="229"/>
      <c r="AU48" s="226"/>
      <c r="AV48" s="227"/>
      <c r="AW48" s="229"/>
      <c r="AX48" s="226"/>
      <c r="AY48" s="226"/>
      <c r="AZ48" s="227"/>
      <c r="BA48" s="229"/>
      <c r="BB48" s="229"/>
      <c r="BC48" s="228"/>
    </row>
    <row r="49">
      <c r="B49" s="224" t="s">
        <v>158</v>
      </c>
      <c r="C49" s="225">
        <f t="shared" si="7"/>
        <v>0</v>
      </c>
      <c r="D49" s="226"/>
      <c r="E49" s="226"/>
      <c r="F49" s="226"/>
      <c r="G49" s="226"/>
      <c r="H49" s="226"/>
      <c r="I49" s="226"/>
      <c r="J49" s="227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7"/>
      <c r="AM49" s="226"/>
      <c r="AN49" s="226"/>
      <c r="AO49" s="226"/>
      <c r="AP49" s="226"/>
      <c r="AQ49" s="226"/>
      <c r="AR49" s="226"/>
      <c r="AS49" s="226"/>
      <c r="AT49" s="226"/>
      <c r="AU49" s="226"/>
      <c r="AV49" s="227"/>
      <c r="AW49" s="226"/>
      <c r="AX49" s="226"/>
      <c r="AY49" s="226"/>
      <c r="AZ49" s="227"/>
      <c r="BA49" s="226"/>
      <c r="BB49" s="226"/>
      <c r="BC49" s="228"/>
    </row>
    <row r="50">
      <c r="B50" s="224" t="s">
        <v>246</v>
      </c>
      <c r="C50" s="225">
        <f t="shared" si="7"/>
        <v>0</v>
      </c>
      <c r="D50" s="229"/>
      <c r="E50" s="229"/>
      <c r="F50" s="229"/>
      <c r="G50" s="226"/>
      <c r="H50" s="226"/>
      <c r="I50" s="229"/>
      <c r="J50" s="227"/>
      <c r="K50" s="229"/>
      <c r="L50" s="229"/>
      <c r="M50" s="226"/>
      <c r="N50" s="229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9"/>
      <c r="AA50" s="226"/>
      <c r="AB50" s="226"/>
      <c r="AC50" s="226"/>
      <c r="AD50" s="226"/>
      <c r="AE50" s="229"/>
      <c r="AF50" s="229"/>
      <c r="AG50" s="229"/>
      <c r="AH50" s="229"/>
      <c r="AI50" s="229"/>
      <c r="AJ50" s="229"/>
      <c r="AK50" s="229"/>
      <c r="AL50" s="228"/>
      <c r="AM50" s="226"/>
      <c r="AN50" s="226"/>
      <c r="AO50" s="229"/>
      <c r="AP50" s="229"/>
      <c r="AQ50" s="229"/>
      <c r="AR50" s="229"/>
      <c r="AS50" s="229"/>
      <c r="AT50" s="226"/>
      <c r="AU50" s="229"/>
      <c r="AV50" s="228"/>
      <c r="AW50" s="226"/>
      <c r="AX50" s="229"/>
      <c r="AY50" s="229"/>
      <c r="AZ50" s="228"/>
      <c r="BA50" s="226"/>
      <c r="BB50" s="226"/>
      <c r="BC50" s="228"/>
    </row>
    <row r="51">
      <c r="B51" s="224" t="s">
        <v>247</v>
      </c>
      <c r="C51" s="225">
        <f t="shared" si="7"/>
        <v>0</v>
      </c>
      <c r="D51" s="229"/>
      <c r="E51" s="229"/>
      <c r="F51" s="229"/>
      <c r="G51" s="226"/>
      <c r="H51" s="226"/>
      <c r="I51" s="229"/>
      <c r="J51" s="227"/>
      <c r="K51" s="229"/>
      <c r="L51" s="229"/>
      <c r="M51" s="226"/>
      <c r="N51" s="229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9"/>
      <c r="AA51" s="226"/>
      <c r="AB51" s="226"/>
      <c r="AC51" s="226"/>
      <c r="AD51" s="226"/>
      <c r="AE51" s="229"/>
      <c r="AF51" s="229"/>
      <c r="AG51" s="229"/>
      <c r="AH51" s="229"/>
      <c r="AI51" s="229"/>
      <c r="AJ51" s="229"/>
      <c r="AK51" s="229"/>
      <c r="AL51" s="228"/>
      <c r="AM51" s="226"/>
      <c r="AN51" s="226"/>
      <c r="AO51" s="229"/>
      <c r="AP51" s="229"/>
      <c r="AQ51" s="229"/>
      <c r="AR51" s="229"/>
      <c r="AS51" s="229"/>
      <c r="AT51" s="226"/>
      <c r="AU51" s="229"/>
      <c r="AV51" s="228"/>
      <c r="AW51" s="226"/>
      <c r="AX51" s="229"/>
      <c r="AY51" s="229"/>
      <c r="AZ51" s="228"/>
      <c r="BA51" s="226"/>
      <c r="BB51" s="226"/>
      <c r="BC51" s="228"/>
    </row>
    <row r="52">
      <c r="B52" s="224" t="s">
        <v>249</v>
      </c>
      <c r="C52" s="225">
        <f t="shared" si="7"/>
        <v>0</v>
      </c>
      <c r="D52" s="229"/>
      <c r="E52" s="229"/>
      <c r="F52" s="229"/>
      <c r="G52" s="226"/>
      <c r="H52" s="226"/>
      <c r="I52" s="229"/>
      <c r="J52" s="227"/>
      <c r="K52" s="229"/>
      <c r="L52" s="229"/>
      <c r="M52" s="226"/>
      <c r="N52" s="229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  <c r="Z52" s="229"/>
      <c r="AA52" s="226"/>
      <c r="AB52" s="226"/>
      <c r="AC52" s="226"/>
      <c r="AD52" s="226"/>
      <c r="AE52" s="229"/>
      <c r="AF52" s="229"/>
      <c r="AG52" s="229"/>
      <c r="AH52" s="229"/>
      <c r="AI52" s="229"/>
      <c r="AJ52" s="229"/>
      <c r="AK52" s="229"/>
      <c r="AL52" s="228"/>
      <c r="AM52" s="226"/>
      <c r="AN52" s="226"/>
      <c r="AO52" s="229"/>
      <c r="AP52" s="229"/>
      <c r="AQ52" s="229"/>
      <c r="AR52" s="229"/>
      <c r="AS52" s="229"/>
      <c r="AT52" s="226"/>
      <c r="AU52" s="229"/>
      <c r="AV52" s="228"/>
      <c r="AW52" s="226"/>
      <c r="AX52" s="229"/>
      <c r="AY52" s="229"/>
      <c r="AZ52" s="228"/>
      <c r="BA52" s="226"/>
      <c r="BB52" s="226"/>
      <c r="BC52" s="228"/>
    </row>
    <row r="53">
      <c r="B53" s="224" t="s">
        <v>250</v>
      </c>
      <c r="C53" s="225">
        <f t="shared" si="7"/>
        <v>0</v>
      </c>
      <c r="D53" s="229"/>
      <c r="E53" s="229"/>
      <c r="F53" s="229"/>
      <c r="G53" s="226"/>
      <c r="H53" s="226"/>
      <c r="I53" s="229"/>
      <c r="J53" s="227"/>
      <c r="K53" s="229"/>
      <c r="L53" s="229"/>
      <c r="M53" s="226"/>
      <c r="N53" s="229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  <c r="Z53" s="229"/>
      <c r="AA53" s="226"/>
      <c r="AB53" s="226"/>
      <c r="AC53" s="226"/>
      <c r="AD53" s="226"/>
      <c r="AE53" s="229"/>
      <c r="AF53" s="229"/>
      <c r="AG53" s="229"/>
      <c r="AH53" s="229"/>
      <c r="AI53" s="229"/>
      <c r="AJ53" s="229"/>
      <c r="AK53" s="229"/>
      <c r="AL53" s="228"/>
      <c r="AM53" s="226"/>
      <c r="AN53" s="226"/>
      <c r="AO53" s="229"/>
      <c r="AP53" s="229"/>
      <c r="AQ53" s="229"/>
      <c r="AR53" s="229"/>
      <c r="AS53" s="229"/>
      <c r="AT53" s="226"/>
      <c r="AU53" s="229"/>
      <c r="AV53" s="228"/>
      <c r="AW53" s="226"/>
      <c r="AX53" s="229"/>
      <c r="AY53" s="229"/>
      <c r="AZ53" s="228"/>
      <c r="BA53" s="226"/>
      <c r="BB53" s="226"/>
      <c r="BC53" s="228"/>
    </row>
    <row r="54">
      <c r="B54" s="230" t="s">
        <v>251</v>
      </c>
      <c r="C54" s="231">
        <f t="shared" si="7"/>
        <v>0</v>
      </c>
      <c r="D54" s="232"/>
      <c r="E54" s="232"/>
      <c r="F54" s="232"/>
      <c r="G54" s="233"/>
      <c r="H54" s="233"/>
      <c r="I54" s="232"/>
      <c r="J54" s="234"/>
      <c r="K54" s="232"/>
      <c r="L54" s="232"/>
      <c r="M54" s="233"/>
      <c r="N54" s="232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2"/>
      <c r="AA54" s="233"/>
      <c r="AB54" s="233"/>
      <c r="AC54" s="233"/>
      <c r="AD54" s="233"/>
      <c r="AE54" s="232"/>
      <c r="AF54" s="232"/>
      <c r="AG54" s="232"/>
      <c r="AH54" s="232"/>
      <c r="AI54" s="232"/>
      <c r="AJ54" s="232"/>
      <c r="AK54" s="232"/>
      <c r="AL54" s="235"/>
      <c r="AM54" s="233"/>
      <c r="AN54" s="233"/>
      <c r="AO54" s="232"/>
      <c r="AP54" s="232"/>
      <c r="AQ54" s="232"/>
      <c r="AR54" s="232"/>
      <c r="AS54" s="232"/>
      <c r="AT54" s="233"/>
      <c r="AU54" s="232"/>
      <c r="AV54" s="235"/>
      <c r="AW54" s="233"/>
      <c r="AX54" s="232"/>
      <c r="AY54" s="232"/>
      <c r="AZ54" s="235"/>
      <c r="BA54" s="233"/>
      <c r="BB54" s="233"/>
      <c r="BC54" s="235"/>
    </row>
    <row r="55">
      <c r="A55" s="206"/>
      <c r="B55" s="236" t="s">
        <v>263</v>
      </c>
      <c r="C55" s="237">
        <f t="shared" ref="C55:BC55" si="8">SUM(C43:C54)</f>
        <v>0</v>
      </c>
      <c r="D55" s="238">
        <f t="shared" si="8"/>
        <v>0</v>
      </c>
      <c r="E55" s="238">
        <f t="shared" si="8"/>
        <v>0</v>
      </c>
      <c r="F55" s="238">
        <f t="shared" si="8"/>
        <v>0</v>
      </c>
      <c r="G55" s="238">
        <f t="shared" si="8"/>
        <v>0</v>
      </c>
      <c r="H55" s="238">
        <f t="shared" si="8"/>
        <v>0</v>
      </c>
      <c r="I55" s="238">
        <f t="shared" si="8"/>
        <v>0</v>
      </c>
      <c r="J55" s="239">
        <f t="shared" si="8"/>
        <v>0</v>
      </c>
      <c r="K55" s="238">
        <f t="shared" si="8"/>
        <v>0</v>
      </c>
      <c r="L55" s="238">
        <f t="shared" si="8"/>
        <v>0</v>
      </c>
      <c r="M55" s="238">
        <f t="shared" si="8"/>
        <v>0</v>
      </c>
      <c r="N55" s="238">
        <f t="shared" si="8"/>
        <v>0</v>
      </c>
      <c r="O55" s="238">
        <f t="shared" si="8"/>
        <v>0</v>
      </c>
      <c r="P55" s="238">
        <f t="shared" si="8"/>
        <v>0</v>
      </c>
      <c r="Q55" s="238">
        <f t="shared" si="8"/>
        <v>0</v>
      </c>
      <c r="R55" s="238">
        <f t="shared" si="8"/>
        <v>0</v>
      </c>
      <c r="S55" s="238">
        <f t="shared" si="8"/>
        <v>0</v>
      </c>
      <c r="T55" s="238">
        <f t="shared" si="8"/>
        <v>0</v>
      </c>
      <c r="U55" s="238">
        <f t="shared" si="8"/>
        <v>0</v>
      </c>
      <c r="V55" s="238">
        <f t="shared" si="8"/>
        <v>0</v>
      </c>
      <c r="W55" s="238">
        <f t="shared" si="8"/>
        <v>0</v>
      </c>
      <c r="X55" s="238">
        <f t="shared" si="8"/>
        <v>0</v>
      </c>
      <c r="Y55" s="238">
        <f t="shared" si="8"/>
        <v>0</v>
      </c>
      <c r="Z55" s="238">
        <f t="shared" si="8"/>
        <v>0</v>
      </c>
      <c r="AA55" s="238">
        <f t="shared" si="8"/>
        <v>0</v>
      </c>
      <c r="AB55" s="238">
        <f t="shared" si="8"/>
        <v>0</v>
      </c>
      <c r="AC55" s="238">
        <f t="shared" si="8"/>
        <v>0</v>
      </c>
      <c r="AD55" s="238">
        <f t="shared" si="8"/>
        <v>0</v>
      </c>
      <c r="AE55" s="238">
        <f t="shared" si="8"/>
        <v>0</v>
      </c>
      <c r="AF55" s="238">
        <f t="shared" si="8"/>
        <v>0</v>
      </c>
      <c r="AG55" s="238">
        <f t="shared" si="8"/>
        <v>0</v>
      </c>
      <c r="AH55" s="238">
        <f t="shared" si="8"/>
        <v>0</v>
      </c>
      <c r="AI55" s="238">
        <f t="shared" si="8"/>
        <v>0</v>
      </c>
      <c r="AJ55" s="238">
        <f t="shared" si="8"/>
        <v>0</v>
      </c>
      <c r="AK55" s="238">
        <f t="shared" si="8"/>
        <v>0</v>
      </c>
      <c r="AL55" s="239">
        <f t="shared" si="8"/>
        <v>0</v>
      </c>
      <c r="AM55" s="238">
        <f t="shared" si="8"/>
        <v>0</v>
      </c>
      <c r="AN55" s="238">
        <f t="shared" si="8"/>
        <v>0</v>
      </c>
      <c r="AO55" s="238">
        <f t="shared" si="8"/>
        <v>0</v>
      </c>
      <c r="AP55" s="238">
        <f t="shared" si="8"/>
        <v>0</v>
      </c>
      <c r="AQ55" s="238">
        <f t="shared" si="8"/>
        <v>0</v>
      </c>
      <c r="AR55" s="238">
        <f t="shared" si="8"/>
        <v>0</v>
      </c>
      <c r="AS55" s="238">
        <f t="shared" si="8"/>
        <v>0</v>
      </c>
      <c r="AT55" s="238">
        <f t="shared" si="8"/>
        <v>0</v>
      </c>
      <c r="AU55" s="238">
        <f t="shared" si="8"/>
        <v>0</v>
      </c>
      <c r="AV55" s="239">
        <f t="shared" si="8"/>
        <v>0</v>
      </c>
      <c r="AW55" s="238">
        <f t="shared" si="8"/>
        <v>0</v>
      </c>
      <c r="AX55" s="238">
        <f t="shared" si="8"/>
        <v>0</v>
      </c>
      <c r="AY55" s="238">
        <f t="shared" si="8"/>
        <v>0</v>
      </c>
      <c r="AZ55" s="239">
        <f t="shared" si="8"/>
        <v>0</v>
      </c>
      <c r="BA55" s="238">
        <f t="shared" si="8"/>
        <v>0</v>
      </c>
      <c r="BB55" s="238">
        <f t="shared" si="8"/>
        <v>0</v>
      </c>
      <c r="BC55" s="239">
        <f t="shared" si="8"/>
        <v>0</v>
      </c>
    </row>
    <row r="56">
      <c r="A56" s="223" t="s">
        <v>316</v>
      </c>
      <c r="B56" s="224" t="s">
        <v>312</v>
      </c>
      <c r="C56" s="225">
        <f t="shared" ref="C56:C67" si="9">SUM(D56:BC56)</f>
        <v>0</v>
      </c>
      <c r="D56" s="226"/>
      <c r="E56" s="226"/>
      <c r="F56" s="226"/>
      <c r="G56" s="226"/>
      <c r="H56" s="226"/>
      <c r="I56" s="226"/>
      <c r="J56" s="227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  <c r="Z56" s="226"/>
      <c r="AA56" s="226"/>
      <c r="AB56" s="226"/>
      <c r="AC56" s="226"/>
      <c r="AD56" s="226"/>
      <c r="AE56" s="226"/>
      <c r="AF56" s="226"/>
      <c r="AG56" s="226"/>
      <c r="AH56" s="226"/>
      <c r="AI56" s="226"/>
      <c r="AJ56" s="226"/>
      <c r="AK56" s="226"/>
      <c r="AL56" s="227"/>
      <c r="AM56" s="226"/>
      <c r="AN56" s="226"/>
      <c r="AO56" s="226"/>
      <c r="AP56" s="226"/>
      <c r="AQ56" s="226"/>
      <c r="AR56" s="226"/>
      <c r="AS56" s="226"/>
      <c r="AT56" s="226"/>
      <c r="AU56" s="226"/>
      <c r="AV56" s="227"/>
      <c r="AW56" s="226"/>
      <c r="AX56" s="226"/>
      <c r="AY56" s="226"/>
      <c r="AZ56" s="227"/>
      <c r="BA56" s="226"/>
      <c r="BB56" s="226"/>
      <c r="BC56" s="228"/>
    </row>
    <row r="57">
      <c r="B57" s="224" t="s">
        <v>164</v>
      </c>
      <c r="C57" s="225">
        <f t="shared" si="9"/>
        <v>0</v>
      </c>
      <c r="D57" s="226"/>
      <c r="E57" s="226"/>
      <c r="F57" s="226"/>
      <c r="G57" s="229"/>
      <c r="H57" s="229"/>
      <c r="I57" s="226"/>
      <c r="J57" s="228"/>
      <c r="K57" s="226"/>
      <c r="L57" s="226"/>
      <c r="M57" s="229"/>
      <c r="N57" s="226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6"/>
      <c r="AA57" s="229"/>
      <c r="AB57" s="229"/>
      <c r="AC57" s="229"/>
      <c r="AD57" s="229"/>
      <c r="AE57" s="226"/>
      <c r="AF57" s="226"/>
      <c r="AG57" s="226"/>
      <c r="AH57" s="226"/>
      <c r="AI57" s="226"/>
      <c r="AJ57" s="226"/>
      <c r="AK57" s="226"/>
      <c r="AL57" s="227"/>
      <c r="AM57" s="229"/>
      <c r="AN57" s="229"/>
      <c r="AO57" s="226"/>
      <c r="AP57" s="226"/>
      <c r="AQ57" s="226"/>
      <c r="AR57" s="226"/>
      <c r="AS57" s="226"/>
      <c r="AT57" s="229"/>
      <c r="AU57" s="226"/>
      <c r="AV57" s="227"/>
      <c r="AW57" s="229"/>
      <c r="AX57" s="226"/>
      <c r="AY57" s="226"/>
      <c r="AZ57" s="227"/>
      <c r="BA57" s="229"/>
      <c r="BB57" s="229"/>
      <c r="BC57" s="228"/>
    </row>
    <row r="58">
      <c r="B58" s="224" t="s">
        <v>155</v>
      </c>
      <c r="C58" s="225">
        <f t="shared" si="9"/>
        <v>0</v>
      </c>
      <c r="D58" s="226"/>
      <c r="E58" s="226"/>
      <c r="F58" s="226"/>
      <c r="G58" s="229"/>
      <c r="H58" s="229"/>
      <c r="I58" s="226"/>
      <c r="J58" s="228"/>
      <c r="K58" s="226"/>
      <c r="L58" s="226"/>
      <c r="M58" s="229"/>
      <c r="N58" s="226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6"/>
      <c r="AA58" s="229"/>
      <c r="AB58" s="229"/>
      <c r="AC58" s="229"/>
      <c r="AD58" s="229"/>
      <c r="AE58" s="226"/>
      <c r="AF58" s="226"/>
      <c r="AG58" s="226"/>
      <c r="AH58" s="226"/>
      <c r="AI58" s="226"/>
      <c r="AJ58" s="226"/>
      <c r="AK58" s="226"/>
      <c r="AL58" s="227"/>
      <c r="AM58" s="229"/>
      <c r="AN58" s="229"/>
      <c r="AO58" s="226"/>
      <c r="AP58" s="226"/>
      <c r="AQ58" s="226"/>
      <c r="AR58" s="226"/>
      <c r="AS58" s="226"/>
      <c r="AT58" s="229"/>
      <c r="AU58" s="226"/>
      <c r="AV58" s="227"/>
      <c r="AW58" s="229"/>
      <c r="AX58" s="226"/>
      <c r="AY58" s="226"/>
      <c r="AZ58" s="227"/>
      <c r="BA58" s="229"/>
      <c r="BB58" s="229"/>
      <c r="BC58" s="228"/>
    </row>
    <row r="59">
      <c r="B59" s="224" t="s">
        <v>163</v>
      </c>
      <c r="C59" s="225">
        <f t="shared" si="9"/>
        <v>0</v>
      </c>
      <c r="D59" s="226"/>
      <c r="E59" s="226"/>
      <c r="F59" s="226"/>
      <c r="G59" s="229"/>
      <c r="H59" s="229"/>
      <c r="I59" s="226"/>
      <c r="J59" s="228"/>
      <c r="K59" s="226"/>
      <c r="L59" s="226"/>
      <c r="M59" s="229"/>
      <c r="N59" s="226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6"/>
      <c r="AA59" s="229"/>
      <c r="AB59" s="229"/>
      <c r="AC59" s="229"/>
      <c r="AD59" s="229"/>
      <c r="AE59" s="226"/>
      <c r="AF59" s="226"/>
      <c r="AG59" s="226"/>
      <c r="AH59" s="226"/>
      <c r="AI59" s="226"/>
      <c r="AJ59" s="226"/>
      <c r="AK59" s="226"/>
      <c r="AL59" s="227"/>
      <c r="AM59" s="229"/>
      <c r="AN59" s="229"/>
      <c r="AO59" s="226"/>
      <c r="AP59" s="226"/>
      <c r="AQ59" s="226"/>
      <c r="AR59" s="226"/>
      <c r="AS59" s="226"/>
      <c r="AT59" s="229"/>
      <c r="AU59" s="226"/>
      <c r="AV59" s="227"/>
      <c r="AW59" s="229"/>
      <c r="AX59" s="226"/>
      <c r="AY59" s="226"/>
      <c r="AZ59" s="227"/>
      <c r="BA59" s="229"/>
      <c r="BB59" s="229"/>
      <c r="BC59" s="228"/>
    </row>
    <row r="60">
      <c r="B60" s="224" t="s">
        <v>161</v>
      </c>
      <c r="C60" s="225">
        <f t="shared" si="9"/>
        <v>0</v>
      </c>
      <c r="D60" s="226"/>
      <c r="E60" s="226"/>
      <c r="F60" s="226"/>
      <c r="G60" s="229"/>
      <c r="H60" s="229"/>
      <c r="I60" s="226"/>
      <c r="J60" s="228"/>
      <c r="K60" s="226"/>
      <c r="L60" s="226"/>
      <c r="M60" s="229"/>
      <c r="N60" s="226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6"/>
      <c r="AA60" s="229"/>
      <c r="AB60" s="229"/>
      <c r="AC60" s="229"/>
      <c r="AD60" s="229"/>
      <c r="AE60" s="226"/>
      <c r="AF60" s="226"/>
      <c r="AG60" s="226"/>
      <c r="AH60" s="226"/>
      <c r="AI60" s="226"/>
      <c r="AJ60" s="226"/>
      <c r="AK60" s="226"/>
      <c r="AL60" s="227"/>
      <c r="AM60" s="229"/>
      <c r="AN60" s="229"/>
      <c r="AO60" s="226"/>
      <c r="AP60" s="226"/>
      <c r="AQ60" s="226"/>
      <c r="AR60" s="226"/>
      <c r="AS60" s="226"/>
      <c r="AT60" s="229"/>
      <c r="AU60" s="226"/>
      <c r="AV60" s="227"/>
      <c r="AW60" s="229"/>
      <c r="AX60" s="226"/>
      <c r="AY60" s="226"/>
      <c r="AZ60" s="227"/>
      <c r="BA60" s="229"/>
      <c r="BB60" s="229"/>
      <c r="BC60" s="228"/>
    </row>
    <row r="61">
      <c r="B61" s="224" t="s">
        <v>159</v>
      </c>
      <c r="C61" s="225">
        <f t="shared" si="9"/>
        <v>0</v>
      </c>
      <c r="D61" s="226"/>
      <c r="E61" s="226"/>
      <c r="F61" s="226"/>
      <c r="G61" s="229"/>
      <c r="H61" s="229"/>
      <c r="I61" s="226"/>
      <c r="J61" s="228"/>
      <c r="K61" s="226"/>
      <c r="L61" s="226"/>
      <c r="M61" s="229"/>
      <c r="N61" s="226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6"/>
      <c r="AA61" s="229"/>
      <c r="AB61" s="229"/>
      <c r="AC61" s="229"/>
      <c r="AD61" s="229"/>
      <c r="AE61" s="226"/>
      <c r="AF61" s="226"/>
      <c r="AG61" s="226"/>
      <c r="AH61" s="226"/>
      <c r="AI61" s="226"/>
      <c r="AJ61" s="226"/>
      <c r="AK61" s="226"/>
      <c r="AL61" s="227"/>
      <c r="AM61" s="229"/>
      <c r="AN61" s="229"/>
      <c r="AO61" s="226"/>
      <c r="AP61" s="226"/>
      <c r="AQ61" s="226"/>
      <c r="AR61" s="226"/>
      <c r="AS61" s="226"/>
      <c r="AT61" s="229"/>
      <c r="AU61" s="226"/>
      <c r="AV61" s="227"/>
      <c r="AW61" s="229"/>
      <c r="AX61" s="226"/>
      <c r="AY61" s="226"/>
      <c r="AZ61" s="227"/>
      <c r="BA61" s="229"/>
      <c r="BB61" s="229"/>
      <c r="BC61" s="228"/>
    </row>
    <row r="62">
      <c r="B62" s="224" t="s">
        <v>158</v>
      </c>
      <c r="C62" s="225">
        <f t="shared" si="9"/>
        <v>0</v>
      </c>
      <c r="D62" s="226"/>
      <c r="E62" s="226"/>
      <c r="F62" s="226"/>
      <c r="G62" s="226"/>
      <c r="H62" s="226"/>
      <c r="I62" s="226"/>
      <c r="J62" s="227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  <c r="Z62" s="226"/>
      <c r="AA62" s="226"/>
      <c r="AB62" s="226"/>
      <c r="AC62" s="226"/>
      <c r="AD62" s="226"/>
      <c r="AE62" s="226"/>
      <c r="AF62" s="226"/>
      <c r="AG62" s="226"/>
      <c r="AH62" s="226"/>
      <c r="AI62" s="226"/>
      <c r="AJ62" s="226"/>
      <c r="AK62" s="226"/>
      <c r="AL62" s="227"/>
      <c r="AM62" s="226"/>
      <c r="AN62" s="226"/>
      <c r="AO62" s="226"/>
      <c r="AP62" s="226"/>
      <c r="AQ62" s="226"/>
      <c r="AR62" s="226"/>
      <c r="AS62" s="226"/>
      <c r="AT62" s="226"/>
      <c r="AU62" s="226"/>
      <c r="AV62" s="227"/>
      <c r="AW62" s="226"/>
      <c r="AX62" s="226"/>
      <c r="AY62" s="226"/>
      <c r="AZ62" s="227"/>
      <c r="BA62" s="226"/>
      <c r="BB62" s="226"/>
      <c r="BC62" s="228"/>
    </row>
    <row r="63">
      <c r="B63" s="224" t="s">
        <v>246</v>
      </c>
      <c r="C63" s="225">
        <f t="shared" si="9"/>
        <v>0</v>
      </c>
      <c r="D63" s="229"/>
      <c r="E63" s="229"/>
      <c r="F63" s="229"/>
      <c r="G63" s="226"/>
      <c r="H63" s="226"/>
      <c r="I63" s="229"/>
      <c r="J63" s="227"/>
      <c r="K63" s="229"/>
      <c r="L63" s="229"/>
      <c r="M63" s="226"/>
      <c r="N63" s="229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  <c r="Z63" s="229"/>
      <c r="AA63" s="226"/>
      <c r="AB63" s="226"/>
      <c r="AC63" s="226"/>
      <c r="AD63" s="226"/>
      <c r="AE63" s="229"/>
      <c r="AF63" s="229"/>
      <c r="AG63" s="229"/>
      <c r="AH63" s="229"/>
      <c r="AI63" s="229"/>
      <c r="AJ63" s="229"/>
      <c r="AK63" s="229"/>
      <c r="AL63" s="228"/>
      <c r="AM63" s="226"/>
      <c r="AN63" s="226"/>
      <c r="AO63" s="229"/>
      <c r="AP63" s="229"/>
      <c r="AQ63" s="229"/>
      <c r="AR63" s="229"/>
      <c r="AS63" s="229"/>
      <c r="AT63" s="226"/>
      <c r="AU63" s="229"/>
      <c r="AV63" s="228"/>
      <c r="AW63" s="226"/>
      <c r="AX63" s="229"/>
      <c r="AY63" s="229"/>
      <c r="AZ63" s="228"/>
      <c r="BA63" s="226"/>
      <c r="BB63" s="226"/>
      <c r="BC63" s="228"/>
    </row>
    <row r="64">
      <c r="B64" s="224" t="s">
        <v>247</v>
      </c>
      <c r="C64" s="225">
        <f t="shared" si="9"/>
        <v>0</v>
      </c>
      <c r="D64" s="229"/>
      <c r="E64" s="229"/>
      <c r="F64" s="229"/>
      <c r="G64" s="226"/>
      <c r="H64" s="226"/>
      <c r="I64" s="229"/>
      <c r="J64" s="227"/>
      <c r="K64" s="229"/>
      <c r="L64" s="229"/>
      <c r="M64" s="226"/>
      <c r="N64" s="229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  <c r="Z64" s="229"/>
      <c r="AA64" s="226"/>
      <c r="AB64" s="226"/>
      <c r="AC64" s="226"/>
      <c r="AD64" s="226"/>
      <c r="AE64" s="229"/>
      <c r="AF64" s="229"/>
      <c r="AG64" s="229"/>
      <c r="AH64" s="229"/>
      <c r="AI64" s="229"/>
      <c r="AJ64" s="229"/>
      <c r="AK64" s="229"/>
      <c r="AL64" s="228"/>
      <c r="AM64" s="226"/>
      <c r="AN64" s="226"/>
      <c r="AO64" s="229"/>
      <c r="AP64" s="229"/>
      <c r="AQ64" s="229"/>
      <c r="AR64" s="229"/>
      <c r="AS64" s="229"/>
      <c r="AT64" s="226"/>
      <c r="AU64" s="229"/>
      <c r="AV64" s="228"/>
      <c r="AW64" s="226"/>
      <c r="AX64" s="229"/>
      <c r="AY64" s="229"/>
      <c r="AZ64" s="228"/>
      <c r="BA64" s="226"/>
      <c r="BB64" s="226"/>
      <c r="BC64" s="228"/>
    </row>
    <row r="65">
      <c r="B65" s="224" t="s">
        <v>249</v>
      </c>
      <c r="C65" s="225">
        <f t="shared" si="9"/>
        <v>0</v>
      </c>
      <c r="D65" s="229"/>
      <c r="E65" s="229"/>
      <c r="F65" s="229"/>
      <c r="G65" s="226"/>
      <c r="H65" s="226"/>
      <c r="I65" s="229"/>
      <c r="J65" s="227"/>
      <c r="K65" s="229"/>
      <c r="L65" s="229"/>
      <c r="M65" s="226"/>
      <c r="N65" s="229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  <c r="Z65" s="229"/>
      <c r="AA65" s="226"/>
      <c r="AB65" s="226"/>
      <c r="AC65" s="226"/>
      <c r="AD65" s="226"/>
      <c r="AE65" s="229"/>
      <c r="AF65" s="229"/>
      <c r="AG65" s="229"/>
      <c r="AH65" s="229"/>
      <c r="AI65" s="229"/>
      <c r="AJ65" s="229"/>
      <c r="AK65" s="229"/>
      <c r="AL65" s="228"/>
      <c r="AM65" s="226"/>
      <c r="AN65" s="226"/>
      <c r="AO65" s="229"/>
      <c r="AP65" s="229"/>
      <c r="AQ65" s="229"/>
      <c r="AR65" s="229"/>
      <c r="AS65" s="229"/>
      <c r="AT65" s="226"/>
      <c r="AU65" s="229"/>
      <c r="AV65" s="228"/>
      <c r="AW65" s="226"/>
      <c r="AX65" s="229"/>
      <c r="AY65" s="229"/>
      <c r="AZ65" s="228"/>
      <c r="BA65" s="226"/>
      <c r="BB65" s="226"/>
      <c r="BC65" s="228"/>
    </row>
    <row r="66">
      <c r="B66" s="224" t="s">
        <v>250</v>
      </c>
      <c r="C66" s="225">
        <f t="shared" si="9"/>
        <v>0</v>
      </c>
      <c r="D66" s="229"/>
      <c r="E66" s="229"/>
      <c r="F66" s="229"/>
      <c r="G66" s="226"/>
      <c r="H66" s="226"/>
      <c r="I66" s="229"/>
      <c r="J66" s="227"/>
      <c r="K66" s="229"/>
      <c r="L66" s="229"/>
      <c r="M66" s="226"/>
      <c r="N66" s="229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  <c r="Z66" s="229"/>
      <c r="AA66" s="226"/>
      <c r="AB66" s="226"/>
      <c r="AC66" s="226"/>
      <c r="AD66" s="226"/>
      <c r="AE66" s="229"/>
      <c r="AF66" s="229"/>
      <c r="AG66" s="229"/>
      <c r="AH66" s="229"/>
      <c r="AI66" s="229"/>
      <c r="AJ66" s="229"/>
      <c r="AK66" s="229"/>
      <c r="AL66" s="228"/>
      <c r="AM66" s="226"/>
      <c r="AN66" s="226"/>
      <c r="AO66" s="229"/>
      <c r="AP66" s="229"/>
      <c r="AQ66" s="229"/>
      <c r="AR66" s="229"/>
      <c r="AS66" s="229"/>
      <c r="AT66" s="226"/>
      <c r="AU66" s="229"/>
      <c r="AV66" s="228"/>
      <c r="AW66" s="226"/>
      <c r="AX66" s="229"/>
      <c r="AY66" s="229"/>
      <c r="AZ66" s="228"/>
      <c r="BA66" s="226"/>
      <c r="BB66" s="226"/>
      <c r="BC66" s="228"/>
    </row>
    <row r="67">
      <c r="B67" s="230" t="s">
        <v>251</v>
      </c>
      <c r="C67" s="231">
        <f t="shared" si="9"/>
        <v>0</v>
      </c>
      <c r="D67" s="232"/>
      <c r="E67" s="232"/>
      <c r="F67" s="232"/>
      <c r="G67" s="233"/>
      <c r="H67" s="233"/>
      <c r="I67" s="232"/>
      <c r="J67" s="234"/>
      <c r="K67" s="232"/>
      <c r="L67" s="232"/>
      <c r="M67" s="233"/>
      <c r="N67" s="232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2"/>
      <c r="AA67" s="233"/>
      <c r="AB67" s="233"/>
      <c r="AC67" s="233"/>
      <c r="AD67" s="233"/>
      <c r="AE67" s="232"/>
      <c r="AF67" s="232"/>
      <c r="AG67" s="232"/>
      <c r="AH67" s="232"/>
      <c r="AI67" s="232"/>
      <c r="AJ67" s="232"/>
      <c r="AK67" s="232"/>
      <c r="AL67" s="235"/>
      <c r="AM67" s="233"/>
      <c r="AN67" s="233"/>
      <c r="AO67" s="232"/>
      <c r="AP67" s="232"/>
      <c r="AQ67" s="232"/>
      <c r="AR67" s="232"/>
      <c r="AS67" s="232"/>
      <c r="AT67" s="233"/>
      <c r="AU67" s="232"/>
      <c r="AV67" s="235"/>
      <c r="AW67" s="233"/>
      <c r="AX67" s="232"/>
      <c r="AY67" s="232"/>
      <c r="AZ67" s="235"/>
      <c r="BA67" s="233"/>
      <c r="BB67" s="233"/>
      <c r="BC67" s="235"/>
    </row>
    <row r="68">
      <c r="A68" s="206"/>
      <c r="B68" s="236" t="s">
        <v>263</v>
      </c>
      <c r="C68" s="237">
        <f t="shared" ref="C68:BC68" si="10">SUM(C56:C67)</f>
        <v>0</v>
      </c>
      <c r="D68" s="238">
        <f t="shared" si="10"/>
        <v>0</v>
      </c>
      <c r="E68" s="238">
        <f t="shared" si="10"/>
        <v>0</v>
      </c>
      <c r="F68" s="238">
        <f t="shared" si="10"/>
        <v>0</v>
      </c>
      <c r="G68" s="238">
        <f t="shared" si="10"/>
        <v>0</v>
      </c>
      <c r="H68" s="238">
        <f t="shared" si="10"/>
        <v>0</v>
      </c>
      <c r="I68" s="238">
        <f t="shared" si="10"/>
        <v>0</v>
      </c>
      <c r="J68" s="239">
        <f t="shared" si="10"/>
        <v>0</v>
      </c>
      <c r="K68" s="238">
        <f t="shared" si="10"/>
        <v>0</v>
      </c>
      <c r="L68" s="238">
        <f t="shared" si="10"/>
        <v>0</v>
      </c>
      <c r="M68" s="238">
        <f t="shared" si="10"/>
        <v>0</v>
      </c>
      <c r="N68" s="238">
        <f t="shared" si="10"/>
        <v>0</v>
      </c>
      <c r="O68" s="238">
        <f t="shared" si="10"/>
        <v>0</v>
      </c>
      <c r="P68" s="238">
        <f t="shared" si="10"/>
        <v>0</v>
      </c>
      <c r="Q68" s="238">
        <f t="shared" si="10"/>
        <v>0</v>
      </c>
      <c r="R68" s="238">
        <f t="shared" si="10"/>
        <v>0</v>
      </c>
      <c r="S68" s="238">
        <f t="shared" si="10"/>
        <v>0</v>
      </c>
      <c r="T68" s="238">
        <f t="shared" si="10"/>
        <v>0</v>
      </c>
      <c r="U68" s="238">
        <f t="shared" si="10"/>
        <v>0</v>
      </c>
      <c r="V68" s="238">
        <f t="shared" si="10"/>
        <v>0</v>
      </c>
      <c r="W68" s="238">
        <f t="shared" si="10"/>
        <v>0</v>
      </c>
      <c r="X68" s="238">
        <f t="shared" si="10"/>
        <v>0</v>
      </c>
      <c r="Y68" s="238">
        <f t="shared" si="10"/>
        <v>0</v>
      </c>
      <c r="Z68" s="238">
        <f t="shared" si="10"/>
        <v>0</v>
      </c>
      <c r="AA68" s="238">
        <f t="shared" si="10"/>
        <v>0</v>
      </c>
      <c r="AB68" s="238">
        <f t="shared" si="10"/>
        <v>0</v>
      </c>
      <c r="AC68" s="238">
        <f t="shared" si="10"/>
        <v>0</v>
      </c>
      <c r="AD68" s="238">
        <f t="shared" si="10"/>
        <v>0</v>
      </c>
      <c r="AE68" s="238">
        <f t="shared" si="10"/>
        <v>0</v>
      </c>
      <c r="AF68" s="238">
        <f t="shared" si="10"/>
        <v>0</v>
      </c>
      <c r="AG68" s="238">
        <f t="shared" si="10"/>
        <v>0</v>
      </c>
      <c r="AH68" s="238">
        <f t="shared" si="10"/>
        <v>0</v>
      </c>
      <c r="AI68" s="238">
        <f t="shared" si="10"/>
        <v>0</v>
      </c>
      <c r="AJ68" s="238">
        <f t="shared" si="10"/>
        <v>0</v>
      </c>
      <c r="AK68" s="238">
        <f t="shared" si="10"/>
        <v>0</v>
      </c>
      <c r="AL68" s="239">
        <f t="shared" si="10"/>
        <v>0</v>
      </c>
      <c r="AM68" s="238">
        <f t="shared" si="10"/>
        <v>0</v>
      </c>
      <c r="AN68" s="238">
        <f t="shared" si="10"/>
        <v>0</v>
      </c>
      <c r="AO68" s="238">
        <f t="shared" si="10"/>
        <v>0</v>
      </c>
      <c r="AP68" s="238">
        <f t="shared" si="10"/>
        <v>0</v>
      </c>
      <c r="AQ68" s="238">
        <f t="shared" si="10"/>
        <v>0</v>
      </c>
      <c r="AR68" s="238">
        <f t="shared" si="10"/>
        <v>0</v>
      </c>
      <c r="AS68" s="238">
        <f t="shared" si="10"/>
        <v>0</v>
      </c>
      <c r="AT68" s="238">
        <f t="shared" si="10"/>
        <v>0</v>
      </c>
      <c r="AU68" s="238">
        <f t="shared" si="10"/>
        <v>0</v>
      </c>
      <c r="AV68" s="239">
        <f t="shared" si="10"/>
        <v>0</v>
      </c>
      <c r="AW68" s="238">
        <f t="shared" si="10"/>
        <v>0</v>
      </c>
      <c r="AX68" s="238">
        <f t="shared" si="10"/>
        <v>0</v>
      </c>
      <c r="AY68" s="238">
        <f t="shared" si="10"/>
        <v>0</v>
      </c>
      <c r="AZ68" s="239">
        <f t="shared" si="10"/>
        <v>0</v>
      </c>
      <c r="BA68" s="238">
        <f t="shared" si="10"/>
        <v>0</v>
      </c>
      <c r="BB68" s="238">
        <f t="shared" si="10"/>
        <v>0</v>
      </c>
      <c r="BC68" s="239">
        <f t="shared" si="10"/>
        <v>0</v>
      </c>
    </row>
    <row r="69">
      <c r="A69" s="240" t="s">
        <v>317</v>
      </c>
      <c r="B69" s="224" t="s">
        <v>312</v>
      </c>
      <c r="C69" s="225">
        <f t="shared" ref="C69:C80" si="11">SUM(D69:BC69)</f>
        <v>0</v>
      </c>
      <c r="D69" s="226"/>
      <c r="E69" s="226"/>
      <c r="F69" s="226"/>
      <c r="G69" s="226"/>
      <c r="H69" s="226"/>
      <c r="I69" s="226"/>
      <c r="J69" s="227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  <c r="Z69" s="226"/>
      <c r="AA69" s="226"/>
      <c r="AB69" s="226"/>
      <c r="AC69" s="226"/>
      <c r="AD69" s="226"/>
      <c r="AE69" s="226"/>
      <c r="AF69" s="226"/>
      <c r="AG69" s="226"/>
      <c r="AH69" s="226"/>
      <c r="AI69" s="226"/>
      <c r="AJ69" s="226"/>
      <c r="AK69" s="226"/>
      <c r="AL69" s="227"/>
      <c r="AM69" s="226"/>
      <c r="AN69" s="226"/>
      <c r="AO69" s="226"/>
      <c r="AP69" s="226"/>
      <c r="AQ69" s="226"/>
      <c r="AR69" s="226"/>
      <c r="AS69" s="226"/>
      <c r="AT69" s="226"/>
      <c r="AU69" s="226"/>
      <c r="AV69" s="227"/>
      <c r="AW69" s="226"/>
      <c r="AX69" s="226"/>
      <c r="AY69" s="226"/>
      <c r="AZ69" s="227"/>
      <c r="BA69" s="226"/>
      <c r="BB69" s="226"/>
      <c r="BC69" s="228"/>
    </row>
    <row r="70">
      <c r="B70" s="224" t="s">
        <v>164</v>
      </c>
      <c r="C70" s="225">
        <f t="shared" si="11"/>
        <v>0</v>
      </c>
      <c r="D70" s="226"/>
      <c r="E70" s="226"/>
      <c r="F70" s="226"/>
      <c r="G70" s="229"/>
      <c r="H70" s="229"/>
      <c r="I70" s="226"/>
      <c r="J70" s="228"/>
      <c r="K70" s="226"/>
      <c r="L70" s="226"/>
      <c r="M70" s="229"/>
      <c r="N70" s="226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6"/>
      <c r="AA70" s="229"/>
      <c r="AB70" s="229"/>
      <c r="AC70" s="229"/>
      <c r="AD70" s="229"/>
      <c r="AE70" s="226"/>
      <c r="AF70" s="226"/>
      <c r="AG70" s="226"/>
      <c r="AH70" s="226"/>
      <c r="AI70" s="226"/>
      <c r="AJ70" s="226"/>
      <c r="AK70" s="226"/>
      <c r="AL70" s="227"/>
      <c r="AM70" s="229"/>
      <c r="AN70" s="229"/>
      <c r="AO70" s="226"/>
      <c r="AP70" s="226"/>
      <c r="AQ70" s="226"/>
      <c r="AR70" s="226"/>
      <c r="AS70" s="226"/>
      <c r="AT70" s="229"/>
      <c r="AU70" s="226"/>
      <c r="AV70" s="227"/>
      <c r="AW70" s="229"/>
      <c r="AX70" s="226"/>
      <c r="AY70" s="226"/>
      <c r="AZ70" s="227"/>
      <c r="BA70" s="229"/>
      <c r="BB70" s="229"/>
      <c r="BC70" s="228"/>
    </row>
    <row r="71">
      <c r="B71" s="224" t="s">
        <v>155</v>
      </c>
      <c r="C71" s="225">
        <f t="shared" si="11"/>
        <v>0</v>
      </c>
      <c r="D71" s="226"/>
      <c r="E71" s="226"/>
      <c r="F71" s="226"/>
      <c r="G71" s="229"/>
      <c r="H71" s="229"/>
      <c r="I71" s="226"/>
      <c r="J71" s="228"/>
      <c r="K71" s="226"/>
      <c r="L71" s="226"/>
      <c r="M71" s="229"/>
      <c r="N71" s="226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6"/>
      <c r="AA71" s="229"/>
      <c r="AB71" s="229"/>
      <c r="AC71" s="229"/>
      <c r="AD71" s="229"/>
      <c r="AE71" s="226"/>
      <c r="AF71" s="226"/>
      <c r="AG71" s="226"/>
      <c r="AH71" s="226"/>
      <c r="AI71" s="226"/>
      <c r="AJ71" s="226"/>
      <c r="AK71" s="226"/>
      <c r="AL71" s="227"/>
      <c r="AM71" s="229"/>
      <c r="AN71" s="229"/>
      <c r="AO71" s="226"/>
      <c r="AP71" s="226"/>
      <c r="AQ71" s="226"/>
      <c r="AR71" s="226"/>
      <c r="AS71" s="226"/>
      <c r="AT71" s="229"/>
      <c r="AU71" s="226"/>
      <c r="AV71" s="227"/>
      <c r="AW71" s="229"/>
      <c r="AX71" s="226"/>
      <c r="AY71" s="226"/>
      <c r="AZ71" s="227"/>
      <c r="BA71" s="229"/>
      <c r="BB71" s="229"/>
      <c r="BC71" s="228"/>
    </row>
    <row r="72">
      <c r="B72" s="224" t="s">
        <v>163</v>
      </c>
      <c r="C72" s="225">
        <f t="shared" si="11"/>
        <v>0</v>
      </c>
      <c r="D72" s="226"/>
      <c r="E72" s="226"/>
      <c r="F72" s="226"/>
      <c r="G72" s="229"/>
      <c r="H72" s="229"/>
      <c r="I72" s="226"/>
      <c r="J72" s="228"/>
      <c r="K72" s="226"/>
      <c r="L72" s="226"/>
      <c r="M72" s="229"/>
      <c r="N72" s="226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6"/>
      <c r="AA72" s="229"/>
      <c r="AB72" s="229"/>
      <c r="AC72" s="229"/>
      <c r="AD72" s="229"/>
      <c r="AE72" s="226"/>
      <c r="AF72" s="226"/>
      <c r="AG72" s="226"/>
      <c r="AH72" s="226"/>
      <c r="AI72" s="226"/>
      <c r="AJ72" s="226"/>
      <c r="AK72" s="226"/>
      <c r="AL72" s="227"/>
      <c r="AM72" s="229"/>
      <c r="AN72" s="229"/>
      <c r="AO72" s="226"/>
      <c r="AP72" s="226"/>
      <c r="AQ72" s="226"/>
      <c r="AR72" s="226"/>
      <c r="AS72" s="226"/>
      <c r="AT72" s="229"/>
      <c r="AU72" s="226"/>
      <c r="AV72" s="227"/>
      <c r="AW72" s="229"/>
      <c r="AX72" s="226"/>
      <c r="AY72" s="226"/>
      <c r="AZ72" s="227"/>
      <c r="BA72" s="229"/>
      <c r="BB72" s="229"/>
      <c r="BC72" s="228"/>
    </row>
    <row r="73">
      <c r="B73" s="224" t="s">
        <v>161</v>
      </c>
      <c r="C73" s="225">
        <f t="shared" si="11"/>
        <v>0</v>
      </c>
      <c r="D73" s="226"/>
      <c r="E73" s="226"/>
      <c r="F73" s="226"/>
      <c r="G73" s="229"/>
      <c r="H73" s="229"/>
      <c r="I73" s="226"/>
      <c r="J73" s="228"/>
      <c r="K73" s="226"/>
      <c r="L73" s="226"/>
      <c r="M73" s="229"/>
      <c r="N73" s="226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6"/>
      <c r="AA73" s="229"/>
      <c r="AB73" s="229"/>
      <c r="AC73" s="229"/>
      <c r="AD73" s="229"/>
      <c r="AE73" s="226"/>
      <c r="AF73" s="226"/>
      <c r="AG73" s="226"/>
      <c r="AH73" s="226"/>
      <c r="AI73" s="226"/>
      <c r="AJ73" s="226"/>
      <c r="AK73" s="226"/>
      <c r="AL73" s="227"/>
      <c r="AM73" s="229"/>
      <c r="AN73" s="229"/>
      <c r="AO73" s="226"/>
      <c r="AP73" s="226"/>
      <c r="AQ73" s="226"/>
      <c r="AR73" s="226"/>
      <c r="AS73" s="226"/>
      <c r="AT73" s="229"/>
      <c r="AU73" s="226"/>
      <c r="AV73" s="227"/>
      <c r="AW73" s="229"/>
      <c r="AX73" s="226"/>
      <c r="AY73" s="226"/>
      <c r="AZ73" s="227"/>
      <c r="BA73" s="229"/>
      <c r="BB73" s="229"/>
      <c r="BC73" s="228"/>
    </row>
    <row r="74">
      <c r="B74" s="224" t="s">
        <v>159</v>
      </c>
      <c r="C74" s="225">
        <f t="shared" si="11"/>
        <v>0</v>
      </c>
      <c r="D74" s="226"/>
      <c r="E74" s="226"/>
      <c r="F74" s="226"/>
      <c r="G74" s="229"/>
      <c r="H74" s="229"/>
      <c r="I74" s="226"/>
      <c r="J74" s="228"/>
      <c r="K74" s="226"/>
      <c r="L74" s="226"/>
      <c r="M74" s="229"/>
      <c r="N74" s="226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6"/>
      <c r="AA74" s="229"/>
      <c r="AB74" s="229"/>
      <c r="AC74" s="229"/>
      <c r="AD74" s="229"/>
      <c r="AE74" s="226"/>
      <c r="AF74" s="226"/>
      <c r="AG74" s="226"/>
      <c r="AH74" s="226"/>
      <c r="AI74" s="226"/>
      <c r="AJ74" s="226"/>
      <c r="AK74" s="226"/>
      <c r="AL74" s="227"/>
      <c r="AM74" s="229"/>
      <c r="AN74" s="229"/>
      <c r="AO74" s="226"/>
      <c r="AP74" s="226"/>
      <c r="AQ74" s="226"/>
      <c r="AR74" s="226"/>
      <c r="AS74" s="226"/>
      <c r="AT74" s="229"/>
      <c r="AU74" s="226"/>
      <c r="AV74" s="227"/>
      <c r="AW74" s="229"/>
      <c r="AX74" s="226"/>
      <c r="AY74" s="226"/>
      <c r="AZ74" s="227"/>
      <c r="BA74" s="229"/>
      <c r="BB74" s="229"/>
      <c r="BC74" s="228"/>
    </row>
    <row r="75">
      <c r="B75" s="224" t="s">
        <v>158</v>
      </c>
      <c r="C75" s="225">
        <f t="shared" si="11"/>
        <v>0</v>
      </c>
      <c r="D75" s="226"/>
      <c r="E75" s="226"/>
      <c r="F75" s="226"/>
      <c r="G75" s="226"/>
      <c r="H75" s="226"/>
      <c r="I75" s="226"/>
      <c r="J75" s="227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  <c r="Z75" s="226"/>
      <c r="AA75" s="226"/>
      <c r="AB75" s="226"/>
      <c r="AC75" s="226"/>
      <c r="AD75" s="226"/>
      <c r="AE75" s="226"/>
      <c r="AF75" s="226"/>
      <c r="AG75" s="226"/>
      <c r="AH75" s="226"/>
      <c r="AI75" s="226"/>
      <c r="AJ75" s="226"/>
      <c r="AK75" s="226"/>
      <c r="AL75" s="227"/>
      <c r="AM75" s="226"/>
      <c r="AN75" s="226"/>
      <c r="AO75" s="226"/>
      <c r="AP75" s="226"/>
      <c r="AQ75" s="226"/>
      <c r="AR75" s="226"/>
      <c r="AS75" s="226"/>
      <c r="AT75" s="226"/>
      <c r="AU75" s="226"/>
      <c r="AV75" s="227"/>
      <c r="AW75" s="226"/>
      <c r="AX75" s="226"/>
      <c r="AY75" s="226"/>
      <c r="AZ75" s="227"/>
      <c r="BA75" s="226"/>
      <c r="BB75" s="226"/>
      <c r="BC75" s="228"/>
    </row>
    <row r="76">
      <c r="B76" s="224" t="s">
        <v>246</v>
      </c>
      <c r="C76" s="225">
        <f t="shared" si="11"/>
        <v>0</v>
      </c>
      <c r="D76" s="229"/>
      <c r="E76" s="229"/>
      <c r="F76" s="229"/>
      <c r="G76" s="226"/>
      <c r="H76" s="226"/>
      <c r="I76" s="229"/>
      <c r="J76" s="227"/>
      <c r="K76" s="229"/>
      <c r="L76" s="229"/>
      <c r="M76" s="226"/>
      <c r="N76" s="229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9"/>
      <c r="AA76" s="226"/>
      <c r="AB76" s="226"/>
      <c r="AC76" s="226"/>
      <c r="AD76" s="226"/>
      <c r="AE76" s="229"/>
      <c r="AF76" s="229"/>
      <c r="AG76" s="229"/>
      <c r="AH76" s="229"/>
      <c r="AI76" s="229"/>
      <c r="AJ76" s="229"/>
      <c r="AK76" s="229"/>
      <c r="AL76" s="228"/>
      <c r="AM76" s="226"/>
      <c r="AN76" s="226"/>
      <c r="AO76" s="229"/>
      <c r="AP76" s="229"/>
      <c r="AQ76" s="229"/>
      <c r="AR76" s="229"/>
      <c r="AS76" s="229"/>
      <c r="AT76" s="226"/>
      <c r="AU76" s="229"/>
      <c r="AV76" s="228"/>
      <c r="AW76" s="226"/>
      <c r="AX76" s="229"/>
      <c r="AY76" s="229"/>
      <c r="AZ76" s="228"/>
      <c r="BA76" s="226"/>
      <c r="BB76" s="226"/>
      <c r="BC76" s="228"/>
    </row>
    <row r="77">
      <c r="B77" s="224" t="s">
        <v>247</v>
      </c>
      <c r="C77" s="225">
        <f t="shared" si="11"/>
        <v>0</v>
      </c>
      <c r="D77" s="229"/>
      <c r="E77" s="229"/>
      <c r="F77" s="229"/>
      <c r="G77" s="226"/>
      <c r="H77" s="226"/>
      <c r="I77" s="229"/>
      <c r="J77" s="227"/>
      <c r="K77" s="229"/>
      <c r="L77" s="229"/>
      <c r="M77" s="226"/>
      <c r="N77" s="229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9"/>
      <c r="AA77" s="226"/>
      <c r="AB77" s="226"/>
      <c r="AC77" s="226"/>
      <c r="AD77" s="226"/>
      <c r="AE77" s="229"/>
      <c r="AF77" s="229"/>
      <c r="AG77" s="229"/>
      <c r="AH77" s="229"/>
      <c r="AI77" s="229"/>
      <c r="AJ77" s="229"/>
      <c r="AK77" s="229"/>
      <c r="AL77" s="228"/>
      <c r="AM77" s="226"/>
      <c r="AN77" s="226"/>
      <c r="AO77" s="229"/>
      <c r="AP77" s="229"/>
      <c r="AQ77" s="229"/>
      <c r="AR77" s="229"/>
      <c r="AS77" s="229"/>
      <c r="AT77" s="226"/>
      <c r="AU77" s="229"/>
      <c r="AV77" s="228"/>
      <c r="AW77" s="226"/>
      <c r="AX77" s="229"/>
      <c r="AY77" s="229"/>
      <c r="AZ77" s="228"/>
      <c r="BA77" s="226"/>
      <c r="BB77" s="226"/>
      <c r="BC77" s="228"/>
    </row>
    <row r="78">
      <c r="B78" s="224" t="s">
        <v>249</v>
      </c>
      <c r="C78" s="225">
        <f t="shared" si="11"/>
        <v>0</v>
      </c>
      <c r="D78" s="229"/>
      <c r="E78" s="229"/>
      <c r="F78" s="229"/>
      <c r="G78" s="226"/>
      <c r="H78" s="226"/>
      <c r="I78" s="229"/>
      <c r="J78" s="227"/>
      <c r="K78" s="229"/>
      <c r="L78" s="229"/>
      <c r="M78" s="226"/>
      <c r="N78" s="229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9"/>
      <c r="AA78" s="226"/>
      <c r="AB78" s="226"/>
      <c r="AC78" s="226"/>
      <c r="AD78" s="226"/>
      <c r="AE78" s="229"/>
      <c r="AF78" s="229"/>
      <c r="AG78" s="229"/>
      <c r="AH78" s="229"/>
      <c r="AI78" s="229"/>
      <c r="AJ78" s="229"/>
      <c r="AK78" s="229"/>
      <c r="AL78" s="228"/>
      <c r="AM78" s="226"/>
      <c r="AN78" s="226"/>
      <c r="AO78" s="229"/>
      <c r="AP78" s="229"/>
      <c r="AQ78" s="229"/>
      <c r="AR78" s="229"/>
      <c r="AS78" s="229"/>
      <c r="AT78" s="226"/>
      <c r="AU78" s="229"/>
      <c r="AV78" s="228"/>
      <c r="AW78" s="226"/>
      <c r="AX78" s="229"/>
      <c r="AY78" s="229"/>
      <c r="AZ78" s="228"/>
      <c r="BA78" s="226"/>
      <c r="BB78" s="226"/>
      <c r="BC78" s="228"/>
    </row>
    <row r="79">
      <c r="B79" s="224" t="s">
        <v>250</v>
      </c>
      <c r="C79" s="225">
        <f t="shared" si="11"/>
        <v>0</v>
      </c>
      <c r="D79" s="229"/>
      <c r="E79" s="229"/>
      <c r="F79" s="229"/>
      <c r="G79" s="226"/>
      <c r="H79" s="226"/>
      <c r="I79" s="229"/>
      <c r="J79" s="227"/>
      <c r="K79" s="229"/>
      <c r="L79" s="229"/>
      <c r="M79" s="226"/>
      <c r="N79" s="229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9"/>
      <c r="AA79" s="226"/>
      <c r="AB79" s="226"/>
      <c r="AC79" s="226"/>
      <c r="AD79" s="226"/>
      <c r="AE79" s="229"/>
      <c r="AF79" s="229"/>
      <c r="AG79" s="229"/>
      <c r="AH79" s="229"/>
      <c r="AI79" s="229"/>
      <c r="AJ79" s="229"/>
      <c r="AK79" s="229"/>
      <c r="AL79" s="228"/>
      <c r="AM79" s="226"/>
      <c r="AN79" s="226"/>
      <c r="AO79" s="229"/>
      <c r="AP79" s="229"/>
      <c r="AQ79" s="229"/>
      <c r="AR79" s="229"/>
      <c r="AS79" s="229"/>
      <c r="AT79" s="226"/>
      <c r="AU79" s="229"/>
      <c r="AV79" s="228"/>
      <c r="AW79" s="226"/>
      <c r="AX79" s="229"/>
      <c r="AY79" s="229"/>
      <c r="AZ79" s="228"/>
      <c r="BA79" s="226"/>
      <c r="BB79" s="226"/>
      <c r="BC79" s="228"/>
    </row>
    <row r="80">
      <c r="B80" s="230" t="s">
        <v>251</v>
      </c>
      <c r="C80" s="231">
        <f t="shared" si="11"/>
        <v>0</v>
      </c>
      <c r="D80" s="232"/>
      <c r="E80" s="232"/>
      <c r="F80" s="232"/>
      <c r="G80" s="233"/>
      <c r="H80" s="233"/>
      <c r="I80" s="232"/>
      <c r="J80" s="234"/>
      <c r="K80" s="232"/>
      <c r="L80" s="232"/>
      <c r="M80" s="233"/>
      <c r="N80" s="232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2"/>
      <c r="AA80" s="233"/>
      <c r="AB80" s="233"/>
      <c r="AC80" s="233"/>
      <c r="AD80" s="233"/>
      <c r="AE80" s="232"/>
      <c r="AF80" s="232"/>
      <c r="AG80" s="232"/>
      <c r="AH80" s="232"/>
      <c r="AI80" s="232"/>
      <c r="AJ80" s="232"/>
      <c r="AK80" s="232"/>
      <c r="AL80" s="235"/>
      <c r="AM80" s="233"/>
      <c r="AN80" s="233"/>
      <c r="AO80" s="232"/>
      <c r="AP80" s="232"/>
      <c r="AQ80" s="232"/>
      <c r="AR80" s="232"/>
      <c r="AS80" s="232"/>
      <c r="AT80" s="233"/>
      <c r="AU80" s="232"/>
      <c r="AV80" s="235"/>
      <c r="AW80" s="233"/>
      <c r="AX80" s="232"/>
      <c r="AY80" s="232"/>
      <c r="AZ80" s="235"/>
      <c r="BA80" s="233"/>
      <c r="BB80" s="233"/>
      <c r="BC80" s="235"/>
    </row>
    <row r="81">
      <c r="A81" s="206"/>
      <c r="B81" s="236" t="s">
        <v>263</v>
      </c>
      <c r="C81" s="237">
        <f t="shared" ref="C81:BC81" si="12">SUM(C69:C80)</f>
        <v>0</v>
      </c>
      <c r="D81" s="238">
        <f t="shared" si="12"/>
        <v>0</v>
      </c>
      <c r="E81" s="238">
        <f t="shared" si="12"/>
        <v>0</v>
      </c>
      <c r="F81" s="238">
        <f t="shared" si="12"/>
        <v>0</v>
      </c>
      <c r="G81" s="238">
        <f t="shared" si="12"/>
        <v>0</v>
      </c>
      <c r="H81" s="238">
        <f t="shared" si="12"/>
        <v>0</v>
      </c>
      <c r="I81" s="238">
        <f t="shared" si="12"/>
        <v>0</v>
      </c>
      <c r="J81" s="239">
        <f t="shared" si="12"/>
        <v>0</v>
      </c>
      <c r="K81" s="238">
        <f t="shared" si="12"/>
        <v>0</v>
      </c>
      <c r="L81" s="238">
        <f t="shared" si="12"/>
        <v>0</v>
      </c>
      <c r="M81" s="238">
        <f t="shared" si="12"/>
        <v>0</v>
      </c>
      <c r="N81" s="238">
        <f t="shared" si="12"/>
        <v>0</v>
      </c>
      <c r="O81" s="238">
        <f t="shared" si="12"/>
        <v>0</v>
      </c>
      <c r="P81" s="238">
        <f t="shared" si="12"/>
        <v>0</v>
      </c>
      <c r="Q81" s="238">
        <f t="shared" si="12"/>
        <v>0</v>
      </c>
      <c r="R81" s="238">
        <f t="shared" si="12"/>
        <v>0</v>
      </c>
      <c r="S81" s="238">
        <f t="shared" si="12"/>
        <v>0</v>
      </c>
      <c r="T81" s="238">
        <f t="shared" si="12"/>
        <v>0</v>
      </c>
      <c r="U81" s="238">
        <f t="shared" si="12"/>
        <v>0</v>
      </c>
      <c r="V81" s="238">
        <f t="shared" si="12"/>
        <v>0</v>
      </c>
      <c r="W81" s="238">
        <f t="shared" si="12"/>
        <v>0</v>
      </c>
      <c r="X81" s="238">
        <f t="shared" si="12"/>
        <v>0</v>
      </c>
      <c r="Y81" s="238">
        <f t="shared" si="12"/>
        <v>0</v>
      </c>
      <c r="Z81" s="238">
        <f t="shared" si="12"/>
        <v>0</v>
      </c>
      <c r="AA81" s="238">
        <f t="shared" si="12"/>
        <v>0</v>
      </c>
      <c r="AB81" s="238">
        <f t="shared" si="12"/>
        <v>0</v>
      </c>
      <c r="AC81" s="238">
        <f t="shared" si="12"/>
        <v>0</v>
      </c>
      <c r="AD81" s="238">
        <f t="shared" si="12"/>
        <v>0</v>
      </c>
      <c r="AE81" s="238">
        <f t="shared" si="12"/>
        <v>0</v>
      </c>
      <c r="AF81" s="238">
        <f t="shared" si="12"/>
        <v>0</v>
      </c>
      <c r="AG81" s="238">
        <f t="shared" si="12"/>
        <v>0</v>
      </c>
      <c r="AH81" s="238">
        <f t="shared" si="12"/>
        <v>0</v>
      </c>
      <c r="AI81" s="238">
        <f t="shared" si="12"/>
        <v>0</v>
      </c>
      <c r="AJ81" s="238">
        <f t="shared" si="12"/>
        <v>0</v>
      </c>
      <c r="AK81" s="238">
        <f t="shared" si="12"/>
        <v>0</v>
      </c>
      <c r="AL81" s="239">
        <f t="shared" si="12"/>
        <v>0</v>
      </c>
      <c r="AM81" s="238">
        <f t="shared" si="12"/>
        <v>0</v>
      </c>
      <c r="AN81" s="238">
        <f t="shared" si="12"/>
        <v>0</v>
      </c>
      <c r="AO81" s="238">
        <f t="shared" si="12"/>
        <v>0</v>
      </c>
      <c r="AP81" s="238">
        <f t="shared" si="12"/>
        <v>0</v>
      </c>
      <c r="AQ81" s="238">
        <f t="shared" si="12"/>
        <v>0</v>
      </c>
      <c r="AR81" s="238">
        <f t="shared" si="12"/>
        <v>0</v>
      </c>
      <c r="AS81" s="238">
        <f t="shared" si="12"/>
        <v>0</v>
      </c>
      <c r="AT81" s="238">
        <f t="shared" si="12"/>
        <v>0</v>
      </c>
      <c r="AU81" s="238">
        <f t="shared" si="12"/>
        <v>0</v>
      </c>
      <c r="AV81" s="239">
        <f t="shared" si="12"/>
        <v>0</v>
      </c>
      <c r="AW81" s="238">
        <f t="shared" si="12"/>
        <v>0</v>
      </c>
      <c r="AX81" s="238">
        <f t="shared" si="12"/>
        <v>0</v>
      </c>
      <c r="AY81" s="238">
        <f t="shared" si="12"/>
        <v>0</v>
      </c>
      <c r="AZ81" s="239">
        <f t="shared" si="12"/>
        <v>0</v>
      </c>
      <c r="BA81" s="238">
        <f t="shared" si="12"/>
        <v>0</v>
      </c>
      <c r="BB81" s="238">
        <f t="shared" si="12"/>
        <v>0</v>
      </c>
      <c r="BC81" s="239">
        <f t="shared" si="12"/>
        <v>0</v>
      </c>
    </row>
    <row r="82">
      <c r="A82" s="223" t="s">
        <v>318</v>
      </c>
      <c r="B82" s="224" t="s">
        <v>312</v>
      </c>
      <c r="C82" s="225">
        <f t="shared" ref="C82:C93" si="13">SUM(D82:BC82)</f>
        <v>0</v>
      </c>
      <c r="D82" s="226"/>
      <c r="E82" s="226"/>
      <c r="F82" s="226"/>
      <c r="G82" s="226"/>
      <c r="H82" s="226"/>
      <c r="I82" s="226"/>
      <c r="J82" s="227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7"/>
      <c r="AM82" s="226"/>
      <c r="AN82" s="226"/>
      <c r="AO82" s="226"/>
      <c r="AP82" s="226"/>
      <c r="AQ82" s="226"/>
      <c r="AR82" s="226"/>
      <c r="AS82" s="226"/>
      <c r="AT82" s="226"/>
      <c r="AU82" s="226"/>
      <c r="AV82" s="227"/>
      <c r="AW82" s="226"/>
      <c r="AX82" s="226"/>
      <c r="AY82" s="226"/>
      <c r="AZ82" s="227"/>
      <c r="BA82" s="226"/>
      <c r="BB82" s="226"/>
      <c r="BC82" s="228"/>
    </row>
    <row r="83">
      <c r="B83" s="224" t="s">
        <v>164</v>
      </c>
      <c r="C83" s="225">
        <f t="shared" si="13"/>
        <v>0</v>
      </c>
      <c r="D83" s="226"/>
      <c r="E83" s="226"/>
      <c r="F83" s="226"/>
      <c r="G83" s="229"/>
      <c r="H83" s="229"/>
      <c r="I83" s="226"/>
      <c r="J83" s="228"/>
      <c r="K83" s="226"/>
      <c r="L83" s="226"/>
      <c r="M83" s="229"/>
      <c r="N83" s="226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6"/>
      <c r="AA83" s="229"/>
      <c r="AB83" s="229"/>
      <c r="AC83" s="229"/>
      <c r="AD83" s="229"/>
      <c r="AE83" s="226"/>
      <c r="AF83" s="226"/>
      <c r="AG83" s="226"/>
      <c r="AH83" s="226"/>
      <c r="AI83" s="226"/>
      <c r="AJ83" s="226"/>
      <c r="AK83" s="226"/>
      <c r="AL83" s="227"/>
      <c r="AM83" s="229"/>
      <c r="AN83" s="229"/>
      <c r="AO83" s="226"/>
      <c r="AP83" s="226"/>
      <c r="AQ83" s="226"/>
      <c r="AR83" s="226"/>
      <c r="AS83" s="226"/>
      <c r="AT83" s="229"/>
      <c r="AU83" s="226"/>
      <c r="AV83" s="227"/>
      <c r="AW83" s="229"/>
      <c r="AX83" s="226"/>
      <c r="AY83" s="226"/>
      <c r="AZ83" s="227"/>
      <c r="BA83" s="229"/>
      <c r="BB83" s="229"/>
      <c r="BC83" s="228"/>
    </row>
    <row r="84">
      <c r="B84" s="224" t="s">
        <v>155</v>
      </c>
      <c r="C84" s="225">
        <f t="shared" si="13"/>
        <v>0</v>
      </c>
      <c r="D84" s="226"/>
      <c r="E84" s="226"/>
      <c r="F84" s="226"/>
      <c r="G84" s="229"/>
      <c r="H84" s="229"/>
      <c r="I84" s="226"/>
      <c r="J84" s="228"/>
      <c r="K84" s="226"/>
      <c r="L84" s="226"/>
      <c r="M84" s="229"/>
      <c r="N84" s="226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6"/>
      <c r="AA84" s="229"/>
      <c r="AB84" s="229"/>
      <c r="AC84" s="229"/>
      <c r="AD84" s="229"/>
      <c r="AE84" s="226"/>
      <c r="AF84" s="226"/>
      <c r="AG84" s="226"/>
      <c r="AH84" s="226"/>
      <c r="AI84" s="226"/>
      <c r="AJ84" s="226"/>
      <c r="AK84" s="226"/>
      <c r="AL84" s="227"/>
      <c r="AM84" s="229"/>
      <c r="AN84" s="229"/>
      <c r="AO84" s="226"/>
      <c r="AP84" s="226"/>
      <c r="AQ84" s="226"/>
      <c r="AR84" s="226"/>
      <c r="AS84" s="226"/>
      <c r="AT84" s="229"/>
      <c r="AU84" s="226"/>
      <c r="AV84" s="227"/>
      <c r="AW84" s="229"/>
      <c r="AX84" s="226"/>
      <c r="AY84" s="226"/>
      <c r="AZ84" s="227"/>
      <c r="BA84" s="229"/>
      <c r="BB84" s="229"/>
      <c r="BC84" s="228"/>
    </row>
    <row r="85">
      <c r="B85" s="224" t="s">
        <v>163</v>
      </c>
      <c r="C85" s="225">
        <f t="shared" si="13"/>
        <v>0</v>
      </c>
      <c r="D85" s="226"/>
      <c r="E85" s="226"/>
      <c r="F85" s="226"/>
      <c r="G85" s="229"/>
      <c r="H85" s="229"/>
      <c r="I85" s="226"/>
      <c r="J85" s="228"/>
      <c r="K85" s="226"/>
      <c r="L85" s="226"/>
      <c r="M85" s="229"/>
      <c r="N85" s="226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6"/>
      <c r="AA85" s="229"/>
      <c r="AB85" s="229"/>
      <c r="AC85" s="229"/>
      <c r="AD85" s="229"/>
      <c r="AE85" s="226"/>
      <c r="AF85" s="226"/>
      <c r="AG85" s="226"/>
      <c r="AH85" s="226"/>
      <c r="AI85" s="226"/>
      <c r="AJ85" s="226"/>
      <c r="AK85" s="226"/>
      <c r="AL85" s="227"/>
      <c r="AM85" s="229"/>
      <c r="AN85" s="229"/>
      <c r="AO85" s="226"/>
      <c r="AP85" s="226"/>
      <c r="AQ85" s="226"/>
      <c r="AR85" s="226"/>
      <c r="AS85" s="226"/>
      <c r="AT85" s="229"/>
      <c r="AU85" s="226"/>
      <c r="AV85" s="227"/>
      <c r="AW85" s="229"/>
      <c r="AX85" s="226"/>
      <c r="AY85" s="226"/>
      <c r="AZ85" s="227"/>
      <c r="BA85" s="229"/>
      <c r="BB85" s="229"/>
      <c r="BC85" s="228"/>
    </row>
    <row r="86">
      <c r="B86" s="224" t="s">
        <v>161</v>
      </c>
      <c r="C86" s="225">
        <f t="shared" si="13"/>
        <v>0</v>
      </c>
      <c r="D86" s="226"/>
      <c r="E86" s="226"/>
      <c r="F86" s="226"/>
      <c r="G86" s="229"/>
      <c r="H86" s="229"/>
      <c r="I86" s="226"/>
      <c r="J86" s="228"/>
      <c r="K86" s="226"/>
      <c r="L86" s="226"/>
      <c r="M86" s="229"/>
      <c r="N86" s="226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6"/>
      <c r="AA86" s="229"/>
      <c r="AB86" s="229"/>
      <c r="AC86" s="229"/>
      <c r="AD86" s="229"/>
      <c r="AE86" s="226"/>
      <c r="AF86" s="226"/>
      <c r="AG86" s="226"/>
      <c r="AH86" s="226"/>
      <c r="AI86" s="226"/>
      <c r="AJ86" s="226"/>
      <c r="AK86" s="226"/>
      <c r="AL86" s="227"/>
      <c r="AM86" s="229"/>
      <c r="AN86" s="229"/>
      <c r="AO86" s="226"/>
      <c r="AP86" s="226"/>
      <c r="AQ86" s="226"/>
      <c r="AR86" s="226"/>
      <c r="AS86" s="226"/>
      <c r="AT86" s="229"/>
      <c r="AU86" s="226"/>
      <c r="AV86" s="227"/>
      <c r="AW86" s="229"/>
      <c r="AX86" s="226"/>
      <c r="AY86" s="226"/>
      <c r="AZ86" s="227"/>
      <c r="BA86" s="229"/>
      <c r="BB86" s="229"/>
      <c r="BC86" s="228"/>
    </row>
    <row r="87">
      <c r="B87" s="224" t="s">
        <v>159</v>
      </c>
      <c r="C87" s="225">
        <f t="shared" si="13"/>
        <v>0</v>
      </c>
      <c r="D87" s="226"/>
      <c r="E87" s="226"/>
      <c r="F87" s="226"/>
      <c r="G87" s="229"/>
      <c r="H87" s="229"/>
      <c r="I87" s="226"/>
      <c r="J87" s="228"/>
      <c r="K87" s="226"/>
      <c r="L87" s="226"/>
      <c r="M87" s="229"/>
      <c r="N87" s="226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6"/>
      <c r="AA87" s="229"/>
      <c r="AB87" s="229"/>
      <c r="AC87" s="229"/>
      <c r="AD87" s="229"/>
      <c r="AE87" s="226"/>
      <c r="AF87" s="226"/>
      <c r="AG87" s="226"/>
      <c r="AH87" s="226"/>
      <c r="AI87" s="226"/>
      <c r="AJ87" s="226"/>
      <c r="AK87" s="226"/>
      <c r="AL87" s="227"/>
      <c r="AM87" s="229"/>
      <c r="AN87" s="229"/>
      <c r="AO87" s="226"/>
      <c r="AP87" s="226"/>
      <c r="AQ87" s="226"/>
      <c r="AR87" s="226"/>
      <c r="AS87" s="226"/>
      <c r="AT87" s="229"/>
      <c r="AU87" s="226"/>
      <c r="AV87" s="227"/>
      <c r="AW87" s="229"/>
      <c r="AX87" s="226"/>
      <c r="AY87" s="226"/>
      <c r="AZ87" s="227"/>
      <c r="BA87" s="229"/>
      <c r="BB87" s="229"/>
      <c r="BC87" s="228"/>
    </row>
    <row r="88">
      <c r="B88" s="224" t="s">
        <v>158</v>
      </c>
      <c r="C88" s="225">
        <f t="shared" si="13"/>
        <v>0</v>
      </c>
      <c r="D88" s="226"/>
      <c r="E88" s="226"/>
      <c r="F88" s="226"/>
      <c r="G88" s="226"/>
      <c r="H88" s="226"/>
      <c r="I88" s="226"/>
      <c r="J88" s="227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  <c r="Z88" s="226"/>
      <c r="AA88" s="226"/>
      <c r="AB88" s="226"/>
      <c r="AC88" s="226"/>
      <c r="AD88" s="226"/>
      <c r="AE88" s="226"/>
      <c r="AF88" s="226"/>
      <c r="AG88" s="226"/>
      <c r="AH88" s="226"/>
      <c r="AI88" s="226"/>
      <c r="AJ88" s="226"/>
      <c r="AK88" s="226"/>
      <c r="AL88" s="227"/>
      <c r="AM88" s="226"/>
      <c r="AN88" s="226"/>
      <c r="AO88" s="226"/>
      <c r="AP88" s="226"/>
      <c r="AQ88" s="226"/>
      <c r="AR88" s="226"/>
      <c r="AS88" s="226"/>
      <c r="AT88" s="226"/>
      <c r="AU88" s="226"/>
      <c r="AV88" s="227"/>
      <c r="AW88" s="226"/>
      <c r="AX88" s="226"/>
      <c r="AY88" s="226"/>
      <c r="AZ88" s="227"/>
      <c r="BA88" s="226"/>
      <c r="BB88" s="226"/>
      <c r="BC88" s="228"/>
    </row>
    <row r="89">
      <c r="B89" s="224" t="s">
        <v>246</v>
      </c>
      <c r="C89" s="225">
        <f t="shared" si="13"/>
        <v>0</v>
      </c>
      <c r="D89" s="229"/>
      <c r="E89" s="229"/>
      <c r="F89" s="229"/>
      <c r="G89" s="226"/>
      <c r="H89" s="226"/>
      <c r="I89" s="229"/>
      <c r="J89" s="227"/>
      <c r="K89" s="229"/>
      <c r="L89" s="229"/>
      <c r="M89" s="226"/>
      <c r="N89" s="229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9"/>
      <c r="AA89" s="226"/>
      <c r="AB89" s="226"/>
      <c r="AC89" s="226"/>
      <c r="AD89" s="226"/>
      <c r="AE89" s="229"/>
      <c r="AF89" s="229"/>
      <c r="AG89" s="229"/>
      <c r="AH89" s="229"/>
      <c r="AI89" s="229"/>
      <c r="AJ89" s="229"/>
      <c r="AK89" s="229"/>
      <c r="AL89" s="228"/>
      <c r="AM89" s="226"/>
      <c r="AN89" s="226"/>
      <c r="AO89" s="229"/>
      <c r="AP89" s="229"/>
      <c r="AQ89" s="229"/>
      <c r="AR89" s="229"/>
      <c r="AS89" s="229"/>
      <c r="AT89" s="226"/>
      <c r="AU89" s="229"/>
      <c r="AV89" s="228"/>
      <c r="AW89" s="226"/>
      <c r="AX89" s="229"/>
      <c r="AY89" s="229"/>
      <c r="AZ89" s="228"/>
      <c r="BA89" s="226"/>
      <c r="BB89" s="226"/>
      <c r="BC89" s="228"/>
    </row>
    <row r="90">
      <c r="B90" s="224" t="s">
        <v>247</v>
      </c>
      <c r="C90" s="225">
        <f t="shared" si="13"/>
        <v>0</v>
      </c>
      <c r="D90" s="229"/>
      <c r="E90" s="229"/>
      <c r="F90" s="229"/>
      <c r="G90" s="226"/>
      <c r="H90" s="226"/>
      <c r="I90" s="229"/>
      <c r="J90" s="227"/>
      <c r="K90" s="229"/>
      <c r="L90" s="229"/>
      <c r="M90" s="226"/>
      <c r="N90" s="229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  <c r="Z90" s="229"/>
      <c r="AA90" s="226"/>
      <c r="AB90" s="226"/>
      <c r="AC90" s="226"/>
      <c r="AD90" s="226"/>
      <c r="AE90" s="229"/>
      <c r="AF90" s="229"/>
      <c r="AG90" s="229"/>
      <c r="AH90" s="229"/>
      <c r="AI90" s="229"/>
      <c r="AJ90" s="229"/>
      <c r="AK90" s="229"/>
      <c r="AL90" s="228"/>
      <c r="AM90" s="226"/>
      <c r="AN90" s="226"/>
      <c r="AO90" s="229"/>
      <c r="AP90" s="229"/>
      <c r="AQ90" s="229"/>
      <c r="AR90" s="229"/>
      <c r="AS90" s="229"/>
      <c r="AT90" s="226"/>
      <c r="AU90" s="229"/>
      <c r="AV90" s="228"/>
      <c r="AW90" s="226"/>
      <c r="AX90" s="229"/>
      <c r="AY90" s="229"/>
      <c r="AZ90" s="228"/>
      <c r="BA90" s="226"/>
      <c r="BB90" s="226"/>
      <c r="BC90" s="228"/>
    </row>
    <row r="91">
      <c r="B91" s="224" t="s">
        <v>249</v>
      </c>
      <c r="C91" s="225">
        <f t="shared" si="13"/>
        <v>0</v>
      </c>
      <c r="D91" s="229"/>
      <c r="E91" s="229"/>
      <c r="F91" s="229"/>
      <c r="G91" s="226"/>
      <c r="H91" s="226"/>
      <c r="I91" s="229"/>
      <c r="J91" s="227"/>
      <c r="K91" s="229"/>
      <c r="L91" s="229"/>
      <c r="M91" s="226"/>
      <c r="N91" s="229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9"/>
      <c r="AA91" s="226"/>
      <c r="AB91" s="226"/>
      <c r="AC91" s="226"/>
      <c r="AD91" s="226"/>
      <c r="AE91" s="229"/>
      <c r="AF91" s="229"/>
      <c r="AG91" s="229"/>
      <c r="AH91" s="229"/>
      <c r="AI91" s="229"/>
      <c r="AJ91" s="229"/>
      <c r="AK91" s="229"/>
      <c r="AL91" s="228"/>
      <c r="AM91" s="226"/>
      <c r="AN91" s="226"/>
      <c r="AO91" s="229"/>
      <c r="AP91" s="229"/>
      <c r="AQ91" s="229"/>
      <c r="AR91" s="229"/>
      <c r="AS91" s="229"/>
      <c r="AT91" s="226"/>
      <c r="AU91" s="229"/>
      <c r="AV91" s="228"/>
      <c r="AW91" s="226"/>
      <c r="AX91" s="229"/>
      <c r="AY91" s="229"/>
      <c r="AZ91" s="228"/>
      <c r="BA91" s="226"/>
      <c r="BB91" s="226"/>
      <c r="BC91" s="228"/>
    </row>
    <row r="92">
      <c r="B92" s="224" t="s">
        <v>250</v>
      </c>
      <c r="C92" s="225">
        <f t="shared" si="13"/>
        <v>0</v>
      </c>
      <c r="D92" s="229"/>
      <c r="E92" s="229"/>
      <c r="F92" s="229"/>
      <c r="G92" s="226"/>
      <c r="H92" s="226"/>
      <c r="I92" s="229"/>
      <c r="J92" s="227"/>
      <c r="K92" s="229"/>
      <c r="L92" s="229"/>
      <c r="M92" s="226"/>
      <c r="N92" s="229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  <c r="Z92" s="229"/>
      <c r="AA92" s="226"/>
      <c r="AB92" s="226"/>
      <c r="AC92" s="226"/>
      <c r="AD92" s="226"/>
      <c r="AE92" s="229"/>
      <c r="AF92" s="229"/>
      <c r="AG92" s="229"/>
      <c r="AH92" s="229"/>
      <c r="AI92" s="229"/>
      <c r="AJ92" s="229"/>
      <c r="AK92" s="229"/>
      <c r="AL92" s="228"/>
      <c r="AM92" s="226"/>
      <c r="AN92" s="226"/>
      <c r="AO92" s="229"/>
      <c r="AP92" s="229"/>
      <c r="AQ92" s="229"/>
      <c r="AR92" s="229"/>
      <c r="AS92" s="229"/>
      <c r="AT92" s="226"/>
      <c r="AU92" s="229"/>
      <c r="AV92" s="228"/>
      <c r="AW92" s="226"/>
      <c r="AX92" s="229"/>
      <c r="AY92" s="229"/>
      <c r="AZ92" s="228"/>
      <c r="BA92" s="226"/>
      <c r="BB92" s="226"/>
      <c r="BC92" s="228"/>
    </row>
    <row r="93">
      <c r="B93" s="230" t="s">
        <v>251</v>
      </c>
      <c r="C93" s="231">
        <f t="shared" si="13"/>
        <v>0</v>
      </c>
      <c r="D93" s="232"/>
      <c r="E93" s="232"/>
      <c r="F93" s="232"/>
      <c r="G93" s="233"/>
      <c r="H93" s="233"/>
      <c r="I93" s="232"/>
      <c r="J93" s="234"/>
      <c r="K93" s="232"/>
      <c r="L93" s="232"/>
      <c r="M93" s="233"/>
      <c r="N93" s="232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2"/>
      <c r="AA93" s="233"/>
      <c r="AB93" s="233"/>
      <c r="AC93" s="233"/>
      <c r="AD93" s="233"/>
      <c r="AE93" s="232"/>
      <c r="AF93" s="232"/>
      <c r="AG93" s="232"/>
      <c r="AH93" s="232"/>
      <c r="AI93" s="232"/>
      <c r="AJ93" s="232"/>
      <c r="AK93" s="232"/>
      <c r="AL93" s="235"/>
      <c r="AM93" s="233"/>
      <c r="AN93" s="233"/>
      <c r="AO93" s="232"/>
      <c r="AP93" s="232"/>
      <c r="AQ93" s="232"/>
      <c r="AR93" s="232"/>
      <c r="AS93" s="232"/>
      <c r="AT93" s="233"/>
      <c r="AU93" s="232"/>
      <c r="AV93" s="235"/>
      <c r="AW93" s="233"/>
      <c r="AX93" s="232"/>
      <c r="AY93" s="232"/>
      <c r="AZ93" s="235"/>
      <c r="BA93" s="233"/>
      <c r="BB93" s="233"/>
      <c r="BC93" s="235"/>
    </row>
    <row r="94">
      <c r="A94" s="206"/>
      <c r="B94" s="236" t="s">
        <v>263</v>
      </c>
      <c r="C94" s="237">
        <f t="shared" ref="C94:BC94" si="14">SUM(C82:C93)</f>
        <v>0</v>
      </c>
      <c r="D94" s="238">
        <f t="shared" si="14"/>
        <v>0</v>
      </c>
      <c r="E94" s="238">
        <f t="shared" si="14"/>
        <v>0</v>
      </c>
      <c r="F94" s="238">
        <f t="shared" si="14"/>
        <v>0</v>
      </c>
      <c r="G94" s="238">
        <f t="shared" si="14"/>
        <v>0</v>
      </c>
      <c r="H94" s="238">
        <f t="shared" si="14"/>
        <v>0</v>
      </c>
      <c r="I94" s="238">
        <f t="shared" si="14"/>
        <v>0</v>
      </c>
      <c r="J94" s="239">
        <f t="shared" si="14"/>
        <v>0</v>
      </c>
      <c r="K94" s="238">
        <f t="shared" si="14"/>
        <v>0</v>
      </c>
      <c r="L94" s="238">
        <f t="shared" si="14"/>
        <v>0</v>
      </c>
      <c r="M94" s="238">
        <f t="shared" si="14"/>
        <v>0</v>
      </c>
      <c r="N94" s="238">
        <f t="shared" si="14"/>
        <v>0</v>
      </c>
      <c r="O94" s="238">
        <f t="shared" si="14"/>
        <v>0</v>
      </c>
      <c r="P94" s="238">
        <f t="shared" si="14"/>
        <v>0</v>
      </c>
      <c r="Q94" s="238">
        <f t="shared" si="14"/>
        <v>0</v>
      </c>
      <c r="R94" s="238">
        <f t="shared" si="14"/>
        <v>0</v>
      </c>
      <c r="S94" s="238">
        <f t="shared" si="14"/>
        <v>0</v>
      </c>
      <c r="T94" s="238">
        <f t="shared" si="14"/>
        <v>0</v>
      </c>
      <c r="U94" s="238">
        <f t="shared" si="14"/>
        <v>0</v>
      </c>
      <c r="V94" s="238">
        <f t="shared" si="14"/>
        <v>0</v>
      </c>
      <c r="W94" s="238">
        <f t="shared" si="14"/>
        <v>0</v>
      </c>
      <c r="X94" s="238">
        <f t="shared" si="14"/>
        <v>0</v>
      </c>
      <c r="Y94" s="238">
        <f t="shared" si="14"/>
        <v>0</v>
      </c>
      <c r="Z94" s="238">
        <f t="shared" si="14"/>
        <v>0</v>
      </c>
      <c r="AA94" s="238">
        <f t="shared" si="14"/>
        <v>0</v>
      </c>
      <c r="AB94" s="238">
        <f t="shared" si="14"/>
        <v>0</v>
      </c>
      <c r="AC94" s="238">
        <f t="shared" si="14"/>
        <v>0</v>
      </c>
      <c r="AD94" s="238">
        <f t="shared" si="14"/>
        <v>0</v>
      </c>
      <c r="AE94" s="238">
        <f t="shared" si="14"/>
        <v>0</v>
      </c>
      <c r="AF94" s="238">
        <f t="shared" si="14"/>
        <v>0</v>
      </c>
      <c r="AG94" s="238">
        <f t="shared" si="14"/>
        <v>0</v>
      </c>
      <c r="AH94" s="238">
        <f t="shared" si="14"/>
        <v>0</v>
      </c>
      <c r="AI94" s="238">
        <f t="shared" si="14"/>
        <v>0</v>
      </c>
      <c r="AJ94" s="238">
        <f t="shared" si="14"/>
        <v>0</v>
      </c>
      <c r="AK94" s="238">
        <f t="shared" si="14"/>
        <v>0</v>
      </c>
      <c r="AL94" s="239">
        <f t="shared" si="14"/>
        <v>0</v>
      </c>
      <c r="AM94" s="238">
        <f t="shared" si="14"/>
        <v>0</v>
      </c>
      <c r="AN94" s="238">
        <f t="shared" si="14"/>
        <v>0</v>
      </c>
      <c r="AO94" s="238">
        <f t="shared" si="14"/>
        <v>0</v>
      </c>
      <c r="AP94" s="238">
        <f t="shared" si="14"/>
        <v>0</v>
      </c>
      <c r="AQ94" s="238">
        <f t="shared" si="14"/>
        <v>0</v>
      </c>
      <c r="AR94" s="238">
        <f t="shared" si="14"/>
        <v>0</v>
      </c>
      <c r="AS94" s="238">
        <f t="shared" si="14"/>
        <v>0</v>
      </c>
      <c r="AT94" s="238">
        <f t="shared" si="14"/>
        <v>0</v>
      </c>
      <c r="AU94" s="238">
        <f t="shared" si="14"/>
        <v>0</v>
      </c>
      <c r="AV94" s="239">
        <f t="shared" si="14"/>
        <v>0</v>
      </c>
      <c r="AW94" s="238">
        <f t="shared" si="14"/>
        <v>0</v>
      </c>
      <c r="AX94" s="238">
        <f t="shared" si="14"/>
        <v>0</v>
      </c>
      <c r="AY94" s="238">
        <f t="shared" si="14"/>
        <v>0</v>
      </c>
      <c r="AZ94" s="239">
        <f t="shared" si="14"/>
        <v>0</v>
      </c>
      <c r="BA94" s="238">
        <f t="shared" si="14"/>
        <v>0</v>
      </c>
      <c r="BB94" s="238">
        <f t="shared" si="14"/>
        <v>0</v>
      </c>
      <c r="BC94" s="239">
        <f t="shared" si="14"/>
        <v>0</v>
      </c>
    </row>
    <row r="95">
      <c r="A95" s="240" t="s">
        <v>319</v>
      </c>
      <c r="B95" s="224" t="s">
        <v>312</v>
      </c>
      <c r="C95" s="225">
        <f t="shared" ref="C95:C106" si="15">SUM(D95:BC95)</f>
        <v>0</v>
      </c>
      <c r="D95" s="226"/>
      <c r="E95" s="226"/>
      <c r="F95" s="226"/>
      <c r="G95" s="226"/>
      <c r="H95" s="226"/>
      <c r="I95" s="226"/>
      <c r="J95" s="227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  <c r="Z95" s="226"/>
      <c r="AA95" s="226"/>
      <c r="AB95" s="226"/>
      <c r="AC95" s="226"/>
      <c r="AD95" s="226"/>
      <c r="AE95" s="226"/>
      <c r="AF95" s="226"/>
      <c r="AG95" s="226"/>
      <c r="AH95" s="226"/>
      <c r="AI95" s="226"/>
      <c r="AJ95" s="226"/>
      <c r="AK95" s="226"/>
      <c r="AL95" s="227"/>
      <c r="AM95" s="226"/>
      <c r="AN95" s="226"/>
      <c r="AO95" s="226"/>
      <c r="AP95" s="226"/>
      <c r="AQ95" s="226"/>
      <c r="AR95" s="226"/>
      <c r="AS95" s="226"/>
      <c r="AT95" s="226"/>
      <c r="AU95" s="226"/>
      <c r="AV95" s="227"/>
      <c r="AW95" s="226"/>
      <c r="AX95" s="226"/>
      <c r="AY95" s="226"/>
      <c r="AZ95" s="227"/>
      <c r="BA95" s="226"/>
      <c r="BB95" s="226"/>
      <c r="BC95" s="228"/>
    </row>
    <row r="96">
      <c r="B96" s="224" t="s">
        <v>164</v>
      </c>
      <c r="C96" s="225">
        <f t="shared" si="15"/>
        <v>0</v>
      </c>
      <c r="D96" s="226"/>
      <c r="E96" s="226"/>
      <c r="F96" s="226"/>
      <c r="G96" s="229"/>
      <c r="H96" s="229"/>
      <c r="I96" s="226"/>
      <c r="J96" s="228"/>
      <c r="K96" s="226"/>
      <c r="L96" s="226"/>
      <c r="M96" s="229"/>
      <c r="N96" s="226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6"/>
      <c r="AA96" s="229"/>
      <c r="AB96" s="229"/>
      <c r="AC96" s="229"/>
      <c r="AD96" s="229"/>
      <c r="AE96" s="226"/>
      <c r="AF96" s="226"/>
      <c r="AG96" s="226"/>
      <c r="AH96" s="226"/>
      <c r="AI96" s="226"/>
      <c r="AJ96" s="226"/>
      <c r="AK96" s="226"/>
      <c r="AL96" s="227"/>
      <c r="AM96" s="229"/>
      <c r="AN96" s="229"/>
      <c r="AO96" s="226"/>
      <c r="AP96" s="226"/>
      <c r="AQ96" s="226"/>
      <c r="AR96" s="226"/>
      <c r="AS96" s="226"/>
      <c r="AT96" s="229"/>
      <c r="AU96" s="226"/>
      <c r="AV96" s="227"/>
      <c r="AW96" s="229"/>
      <c r="AX96" s="226"/>
      <c r="AY96" s="226"/>
      <c r="AZ96" s="227"/>
      <c r="BA96" s="229"/>
      <c r="BB96" s="229"/>
      <c r="BC96" s="228"/>
    </row>
    <row r="97">
      <c r="B97" s="224" t="s">
        <v>155</v>
      </c>
      <c r="C97" s="225">
        <f t="shared" si="15"/>
        <v>0</v>
      </c>
      <c r="D97" s="226"/>
      <c r="E97" s="226"/>
      <c r="F97" s="226"/>
      <c r="G97" s="229"/>
      <c r="H97" s="229"/>
      <c r="I97" s="226"/>
      <c r="J97" s="228"/>
      <c r="K97" s="226"/>
      <c r="L97" s="226"/>
      <c r="M97" s="229"/>
      <c r="N97" s="226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6"/>
      <c r="AA97" s="229"/>
      <c r="AB97" s="229"/>
      <c r="AC97" s="229"/>
      <c r="AD97" s="229"/>
      <c r="AE97" s="226"/>
      <c r="AF97" s="226"/>
      <c r="AG97" s="226"/>
      <c r="AH97" s="226"/>
      <c r="AI97" s="226"/>
      <c r="AJ97" s="226"/>
      <c r="AK97" s="226"/>
      <c r="AL97" s="227"/>
      <c r="AM97" s="229"/>
      <c r="AN97" s="229"/>
      <c r="AO97" s="226"/>
      <c r="AP97" s="226"/>
      <c r="AQ97" s="226"/>
      <c r="AR97" s="226"/>
      <c r="AS97" s="226"/>
      <c r="AT97" s="229"/>
      <c r="AU97" s="226"/>
      <c r="AV97" s="227"/>
      <c r="AW97" s="229"/>
      <c r="AX97" s="226"/>
      <c r="AY97" s="226"/>
      <c r="AZ97" s="227"/>
      <c r="BA97" s="229"/>
      <c r="BB97" s="229"/>
      <c r="BC97" s="228"/>
    </row>
    <row r="98">
      <c r="B98" s="224" t="s">
        <v>163</v>
      </c>
      <c r="C98" s="225">
        <f t="shared" si="15"/>
        <v>0</v>
      </c>
      <c r="D98" s="226"/>
      <c r="E98" s="226"/>
      <c r="F98" s="226"/>
      <c r="G98" s="229"/>
      <c r="H98" s="229"/>
      <c r="I98" s="226"/>
      <c r="J98" s="228"/>
      <c r="K98" s="226"/>
      <c r="L98" s="226"/>
      <c r="M98" s="229"/>
      <c r="N98" s="226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6"/>
      <c r="AA98" s="229"/>
      <c r="AB98" s="229"/>
      <c r="AC98" s="229"/>
      <c r="AD98" s="229"/>
      <c r="AE98" s="226"/>
      <c r="AF98" s="226"/>
      <c r="AG98" s="226"/>
      <c r="AH98" s="226"/>
      <c r="AI98" s="226"/>
      <c r="AJ98" s="226"/>
      <c r="AK98" s="226"/>
      <c r="AL98" s="227"/>
      <c r="AM98" s="229"/>
      <c r="AN98" s="229"/>
      <c r="AO98" s="226"/>
      <c r="AP98" s="226"/>
      <c r="AQ98" s="226"/>
      <c r="AR98" s="226"/>
      <c r="AS98" s="226"/>
      <c r="AT98" s="229"/>
      <c r="AU98" s="226"/>
      <c r="AV98" s="227"/>
      <c r="AW98" s="229"/>
      <c r="AX98" s="226"/>
      <c r="AY98" s="226"/>
      <c r="AZ98" s="227"/>
      <c r="BA98" s="229"/>
      <c r="BB98" s="229"/>
      <c r="BC98" s="228"/>
    </row>
    <row r="99">
      <c r="B99" s="224" t="s">
        <v>161</v>
      </c>
      <c r="C99" s="225">
        <f t="shared" si="15"/>
        <v>0</v>
      </c>
      <c r="D99" s="226"/>
      <c r="E99" s="226"/>
      <c r="F99" s="226"/>
      <c r="G99" s="229"/>
      <c r="H99" s="229"/>
      <c r="I99" s="226"/>
      <c r="J99" s="228"/>
      <c r="K99" s="226"/>
      <c r="L99" s="226"/>
      <c r="M99" s="229"/>
      <c r="N99" s="226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6"/>
      <c r="AA99" s="229"/>
      <c r="AB99" s="229"/>
      <c r="AC99" s="229"/>
      <c r="AD99" s="229"/>
      <c r="AE99" s="226"/>
      <c r="AF99" s="226"/>
      <c r="AG99" s="226"/>
      <c r="AH99" s="226"/>
      <c r="AI99" s="226"/>
      <c r="AJ99" s="226"/>
      <c r="AK99" s="226"/>
      <c r="AL99" s="227"/>
      <c r="AM99" s="229"/>
      <c r="AN99" s="229"/>
      <c r="AO99" s="226"/>
      <c r="AP99" s="226"/>
      <c r="AQ99" s="226"/>
      <c r="AR99" s="226"/>
      <c r="AS99" s="226"/>
      <c r="AT99" s="229"/>
      <c r="AU99" s="226"/>
      <c r="AV99" s="227"/>
      <c r="AW99" s="229"/>
      <c r="AX99" s="226"/>
      <c r="AY99" s="226"/>
      <c r="AZ99" s="227"/>
      <c r="BA99" s="229"/>
      <c r="BB99" s="229"/>
      <c r="BC99" s="228"/>
    </row>
    <row r="100">
      <c r="B100" s="224" t="s">
        <v>159</v>
      </c>
      <c r="C100" s="225">
        <f t="shared" si="15"/>
        <v>0</v>
      </c>
      <c r="D100" s="226"/>
      <c r="E100" s="226"/>
      <c r="F100" s="226"/>
      <c r="G100" s="229"/>
      <c r="H100" s="229"/>
      <c r="I100" s="226"/>
      <c r="J100" s="228"/>
      <c r="K100" s="226"/>
      <c r="L100" s="226"/>
      <c r="M100" s="229"/>
      <c r="N100" s="226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6"/>
      <c r="AA100" s="229"/>
      <c r="AB100" s="229"/>
      <c r="AC100" s="229"/>
      <c r="AD100" s="229"/>
      <c r="AE100" s="226"/>
      <c r="AF100" s="226"/>
      <c r="AG100" s="226"/>
      <c r="AH100" s="226"/>
      <c r="AI100" s="226"/>
      <c r="AJ100" s="226"/>
      <c r="AK100" s="226"/>
      <c r="AL100" s="227"/>
      <c r="AM100" s="229"/>
      <c r="AN100" s="229"/>
      <c r="AO100" s="226"/>
      <c r="AP100" s="226"/>
      <c r="AQ100" s="226"/>
      <c r="AR100" s="226"/>
      <c r="AS100" s="226"/>
      <c r="AT100" s="229"/>
      <c r="AU100" s="226"/>
      <c r="AV100" s="227"/>
      <c r="AW100" s="229"/>
      <c r="AX100" s="226"/>
      <c r="AY100" s="226"/>
      <c r="AZ100" s="227"/>
      <c r="BA100" s="229"/>
      <c r="BB100" s="229"/>
      <c r="BC100" s="228"/>
    </row>
    <row r="101">
      <c r="B101" s="224" t="s">
        <v>158</v>
      </c>
      <c r="C101" s="225">
        <f t="shared" si="15"/>
        <v>0</v>
      </c>
      <c r="D101" s="226"/>
      <c r="E101" s="226"/>
      <c r="F101" s="226"/>
      <c r="G101" s="226"/>
      <c r="H101" s="226"/>
      <c r="I101" s="226"/>
      <c r="J101" s="227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  <c r="Z101" s="226"/>
      <c r="AA101" s="226"/>
      <c r="AB101" s="226"/>
      <c r="AC101" s="226"/>
      <c r="AD101" s="226"/>
      <c r="AE101" s="226"/>
      <c r="AF101" s="226"/>
      <c r="AG101" s="226"/>
      <c r="AH101" s="226"/>
      <c r="AI101" s="226"/>
      <c r="AJ101" s="226"/>
      <c r="AK101" s="226"/>
      <c r="AL101" s="227"/>
      <c r="AM101" s="226"/>
      <c r="AN101" s="226"/>
      <c r="AO101" s="226"/>
      <c r="AP101" s="226"/>
      <c r="AQ101" s="226"/>
      <c r="AR101" s="226"/>
      <c r="AS101" s="226"/>
      <c r="AT101" s="226"/>
      <c r="AU101" s="226"/>
      <c r="AV101" s="227"/>
      <c r="AW101" s="226"/>
      <c r="AX101" s="226"/>
      <c r="AY101" s="226"/>
      <c r="AZ101" s="227"/>
      <c r="BA101" s="226"/>
      <c r="BB101" s="226"/>
      <c r="BC101" s="228"/>
    </row>
    <row r="102">
      <c r="B102" s="224" t="s">
        <v>246</v>
      </c>
      <c r="C102" s="225">
        <f t="shared" si="15"/>
        <v>0</v>
      </c>
      <c r="D102" s="229"/>
      <c r="E102" s="229"/>
      <c r="F102" s="229"/>
      <c r="G102" s="226"/>
      <c r="H102" s="226"/>
      <c r="I102" s="229"/>
      <c r="J102" s="227"/>
      <c r="K102" s="229"/>
      <c r="L102" s="229"/>
      <c r="M102" s="226"/>
      <c r="N102" s="229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9"/>
      <c r="AA102" s="226"/>
      <c r="AB102" s="226"/>
      <c r="AC102" s="226"/>
      <c r="AD102" s="226"/>
      <c r="AE102" s="229"/>
      <c r="AF102" s="229"/>
      <c r="AG102" s="229"/>
      <c r="AH102" s="229"/>
      <c r="AI102" s="229"/>
      <c r="AJ102" s="229"/>
      <c r="AK102" s="229"/>
      <c r="AL102" s="228"/>
      <c r="AM102" s="226"/>
      <c r="AN102" s="226"/>
      <c r="AO102" s="229"/>
      <c r="AP102" s="229"/>
      <c r="AQ102" s="229"/>
      <c r="AR102" s="229"/>
      <c r="AS102" s="229"/>
      <c r="AT102" s="226"/>
      <c r="AU102" s="229"/>
      <c r="AV102" s="228"/>
      <c r="AW102" s="226"/>
      <c r="AX102" s="229"/>
      <c r="AY102" s="229"/>
      <c r="AZ102" s="228"/>
      <c r="BA102" s="226"/>
      <c r="BB102" s="226"/>
      <c r="BC102" s="228"/>
    </row>
    <row r="103">
      <c r="B103" s="224" t="s">
        <v>247</v>
      </c>
      <c r="C103" s="225">
        <f t="shared" si="15"/>
        <v>0</v>
      </c>
      <c r="D103" s="229"/>
      <c r="E103" s="229"/>
      <c r="F103" s="229"/>
      <c r="G103" s="226"/>
      <c r="H103" s="226"/>
      <c r="I103" s="229"/>
      <c r="J103" s="227"/>
      <c r="K103" s="229"/>
      <c r="L103" s="229"/>
      <c r="M103" s="226"/>
      <c r="N103" s="229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9"/>
      <c r="AA103" s="226"/>
      <c r="AB103" s="226"/>
      <c r="AC103" s="226"/>
      <c r="AD103" s="226"/>
      <c r="AE103" s="229"/>
      <c r="AF103" s="229"/>
      <c r="AG103" s="229"/>
      <c r="AH103" s="229"/>
      <c r="AI103" s="229"/>
      <c r="AJ103" s="229"/>
      <c r="AK103" s="229"/>
      <c r="AL103" s="228"/>
      <c r="AM103" s="226"/>
      <c r="AN103" s="226"/>
      <c r="AO103" s="229"/>
      <c r="AP103" s="229"/>
      <c r="AQ103" s="229"/>
      <c r="AR103" s="229"/>
      <c r="AS103" s="229"/>
      <c r="AT103" s="226"/>
      <c r="AU103" s="229"/>
      <c r="AV103" s="228"/>
      <c r="AW103" s="226"/>
      <c r="AX103" s="229"/>
      <c r="AY103" s="229"/>
      <c r="AZ103" s="228"/>
      <c r="BA103" s="226"/>
      <c r="BB103" s="226"/>
      <c r="BC103" s="228"/>
    </row>
    <row r="104">
      <c r="B104" s="224" t="s">
        <v>249</v>
      </c>
      <c r="C104" s="225">
        <f t="shared" si="15"/>
        <v>0</v>
      </c>
      <c r="D104" s="229"/>
      <c r="E104" s="229"/>
      <c r="F104" s="229"/>
      <c r="G104" s="226"/>
      <c r="H104" s="226"/>
      <c r="I104" s="229"/>
      <c r="J104" s="227"/>
      <c r="K104" s="229"/>
      <c r="L104" s="229"/>
      <c r="M104" s="226"/>
      <c r="N104" s="229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  <c r="Z104" s="229"/>
      <c r="AA104" s="226"/>
      <c r="AB104" s="226"/>
      <c r="AC104" s="226"/>
      <c r="AD104" s="226"/>
      <c r="AE104" s="229"/>
      <c r="AF104" s="229"/>
      <c r="AG104" s="229"/>
      <c r="AH104" s="229"/>
      <c r="AI104" s="229"/>
      <c r="AJ104" s="229"/>
      <c r="AK104" s="229"/>
      <c r="AL104" s="228"/>
      <c r="AM104" s="226"/>
      <c r="AN104" s="226"/>
      <c r="AO104" s="229"/>
      <c r="AP104" s="229"/>
      <c r="AQ104" s="229"/>
      <c r="AR104" s="229"/>
      <c r="AS104" s="229"/>
      <c r="AT104" s="226"/>
      <c r="AU104" s="229"/>
      <c r="AV104" s="228"/>
      <c r="AW104" s="226"/>
      <c r="AX104" s="229"/>
      <c r="AY104" s="229"/>
      <c r="AZ104" s="228"/>
      <c r="BA104" s="226"/>
      <c r="BB104" s="226"/>
      <c r="BC104" s="228"/>
    </row>
    <row r="105">
      <c r="B105" s="224" t="s">
        <v>250</v>
      </c>
      <c r="C105" s="225">
        <f t="shared" si="15"/>
        <v>0</v>
      </c>
      <c r="D105" s="229"/>
      <c r="E105" s="229"/>
      <c r="F105" s="229"/>
      <c r="G105" s="226"/>
      <c r="H105" s="226"/>
      <c r="I105" s="229"/>
      <c r="J105" s="227"/>
      <c r="K105" s="229"/>
      <c r="L105" s="229"/>
      <c r="M105" s="226"/>
      <c r="N105" s="229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9"/>
      <c r="AA105" s="226"/>
      <c r="AB105" s="226"/>
      <c r="AC105" s="226"/>
      <c r="AD105" s="226"/>
      <c r="AE105" s="229"/>
      <c r="AF105" s="229"/>
      <c r="AG105" s="229"/>
      <c r="AH105" s="229"/>
      <c r="AI105" s="229"/>
      <c r="AJ105" s="229"/>
      <c r="AK105" s="229"/>
      <c r="AL105" s="228"/>
      <c r="AM105" s="226"/>
      <c r="AN105" s="226"/>
      <c r="AO105" s="229"/>
      <c r="AP105" s="229"/>
      <c r="AQ105" s="229"/>
      <c r="AR105" s="229"/>
      <c r="AS105" s="229"/>
      <c r="AT105" s="226"/>
      <c r="AU105" s="229"/>
      <c r="AV105" s="228"/>
      <c r="AW105" s="226"/>
      <c r="AX105" s="229"/>
      <c r="AY105" s="229"/>
      <c r="AZ105" s="228"/>
      <c r="BA105" s="226"/>
      <c r="BB105" s="226"/>
      <c r="BC105" s="228"/>
    </row>
    <row r="106">
      <c r="B106" s="230" t="s">
        <v>251</v>
      </c>
      <c r="C106" s="231">
        <f t="shared" si="15"/>
        <v>0</v>
      </c>
      <c r="D106" s="232"/>
      <c r="E106" s="232"/>
      <c r="F106" s="232"/>
      <c r="G106" s="233"/>
      <c r="H106" s="233"/>
      <c r="I106" s="232"/>
      <c r="J106" s="234"/>
      <c r="K106" s="232"/>
      <c r="L106" s="232"/>
      <c r="M106" s="233"/>
      <c r="N106" s="232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2"/>
      <c r="AA106" s="233"/>
      <c r="AB106" s="233"/>
      <c r="AC106" s="233"/>
      <c r="AD106" s="233"/>
      <c r="AE106" s="232"/>
      <c r="AF106" s="232"/>
      <c r="AG106" s="232"/>
      <c r="AH106" s="232"/>
      <c r="AI106" s="232"/>
      <c r="AJ106" s="232"/>
      <c r="AK106" s="232"/>
      <c r="AL106" s="235"/>
      <c r="AM106" s="233"/>
      <c r="AN106" s="233"/>
      <c r="AO106" s="232"/>
      <c r="AP106" s="232"/>
      <c r="AQ106" s="232"/>
      <c r="AR106" s="232"/>
      <c r="AS106" s="232"/>
      <c r="AT106" s="233"/>
      <c r="AU106" s="232"/>
      <c r="AV106" s="235"/>
      <c r="AW106" s="233"/>
      <c r="AX106" s="232"/>
      <c r="AY106" s="232"/>
      <c r="AZ106" s="235"/>
      <c r="BA106" s="233"/>
      <c r="BB106" s="233"/>
      <c r="BC106" s="235"/>
    </row>
    <row r="107">
      <c r="A107" s="206"/>
      <c r="B107" s="236" t="s">
        <v>263</v>
      </c>
      <c r="C107" s="237">
        <f t="shared" ref="C107:BC107" si="16">SUM(C95:C106)</f>
        <v>0</v>
      </c>
      <c r="D107" s="238">
        <f t="shared" si="16"/>
        <v>0</v>
      </c>
      <c r="E107" s="238">
        <f t="shared" si="16"/>
        <v>0</v>
      </c>
      <c r="F107" s="238">
        <f t="shared" si="16"/>
        <v>0</v>
      </c>
      <c r="G107" s="238">
        <f t="shared" si="16"/>
        <v>0</v>
      </c>
      <c r="H107" s="238">
        <f t="shared" si="16"/>
        <v>0</v>
      </c>
      <c r="I107" s="238">
        <f t="shared" si="16"/>
        <v>0</v>
      </c>
      <c r="J107" s="239">
        <f t="shared" si="16"/>
        <v>0</v>
      </c>
      <c r="K107" s="238">
        <f t="shared" si="16"/>
        <v>0</v>
      </c>
      <c r="L107" s="238">
        <f t="shared" si="16"/>
        <v>0</v>
      </c>
      <c r="M107" s="238">
        <f t="shared" si="16"/>
        <v>0</v>
      </c>
      <c r="N107" s="238">
        <f t="shared" si="16"/>
        <v>0</v>
      </c>
      <c r="O107" s="238">
        <f t="shared" si="16"/>
        <v>0</v>
      </c>
      <c r="P107" s="238">
        <f t="shared" si="16"/>
        <v>0</v>
      </c>
      <c r="Q107" s="238">
        <f t="shared" si="16"/>
        <v>0</v>
      </c>
      <c r="R107" s="238">
        <f t="shared" si="16"/>
        <v>0</v>
      </c>
      <c r="S107" s="238">
        <f t="shared" si="16"/>
        <v>0</v>
      </c>
      <c r="T107" s="238">
        <f t="shared" si="16"/>
        <v>0</v>
      </c>
      <c r="U107" s="238">
        <f t="shared" si="16"/>
        <v>0</v>
      </c>
      <c r="V107" s="238">
        <f t="shared" si="16"/>
        <v>0</v>
      </c>
      <c r="W107" s="238">
        <f t="shared" si="16"/>
        <v>0</v>
      </c>
      <c r="X107" s="238">
        <f t="shared" si="16"/>
        <v>0</v>
      </c>
      <c r="Y107" s="238">
        <f t="shared" si="16"/>
        <v>0</v>
      </c>
      <c r="Z107" s="238">
        <f t="shared" si="16"/>
        <v>0</v>
      </c>
      <c r="AA107" s="238">
        <f t="shared" si="16"/>
        <v>0</v>
      </c>
      <c r="AB107" s="238">
        <f t="shared" si="16"/>
        <v>0</v>
      </c>
      <c r="AC107" s="238">
        <f t="shared" si="16"/>
        <v>0</v>
      </c>
      <c r="AD107" s="238">
        <f t="shared" si="16"/>
        <v>0</v>
      </c>
      <c r="AE107" s="238">
        <f t="shared" si="16"/>
        <v>0</v>
      </c>
      <c r="AF107" s="238">
        <f t="shared" si="16"/>
        <v>0</v>
      </c>
      <c r="AG107" s="238">
        <f t="shared" si="16"/>
        <v>0</v>
      </c>
      <c r="AH107" s="238">
        <f t="shared" si="16"/>
        <v>0</v>
      </c>
      <c r="AI107" s="238">
        <f t="shared" si="16"/>
        <v>0</v>
      </c>
      <c r="AJ107" s="238">
        <f t="shared" si="16"/>
        <v>0</v>
      </c>
      <c r="AK107" s="238">
        <f t="shared" si="16"/>
        <v>0</v>
      </c>
      <c r="AL107" s="239">
        <f t="shared" si="16"/>
        <v>0</v>
      </c>
      <c r="AM107" s="238">
        <f t="shared" si="16"/>
        <v>0</v>
      </c>
      <c r="AN107" s="238">
        <f t="shared" si="16"/>
        <v>0</v>
      </c>
      <c r="AO107" s="238">
        <f t="shared" si="16"/>
        <v>0</v>
      </c>
      <c r="AP107" s="238">
        <f t="shared" si="16"/>
        <v>0</v>
      </c>
      <c r="AQ107" s="238">
        <f t="shared" si="16"/>
        <v>0</v>
      </c>
      <c r="AR107" s="238">
        <f t="shared" si="16"/>
        <v>0</v>
      </c>
      <c r="AS107" s="238">
        <f t="shared" si="16"/>
        <v>0</v>
      </c>
      <c r="AT107" s="238">
        <f t="shared" si="16"/>
        <v>0</v>
      </c>
      <c r="AU107" s="238">
        <f t="shared" si="16"/>
        <v>0</v>
      </c>
      <c r="AV107" s="239">
        <f t="shared" si="16"/>
        <v>0</v>
      </c>
      <c r="AW107" s="238">
        <f t="shared" si="16"/>
        <v>0</v>
      </c>
      <c r="AX107" s="238">
        <f t="shared" si="16"/>
        <v>0</v>
      </c>
      <c r="AY107" s="238">
        <f t="shared" si="16"/>
        <v>0</v>
      </c>
      <c r="AZ107" s="239">
        <f t="shared" si="16"/>
        <v>0</v>
      </c>
      <c r="BA107" s="238">
        <f t="shared" si="16"/>
        <v>0</v>
      </c>
      <c r="BB107" s="238">
        <f t="shared" si="16"/>
        <v>0</v>
      </c>
      <c r="BC107" s="239">
        <f t="shared" si="16"/>
        <v>0</v>
      </c>
    </row>
    <row r="108">
      <c r="A108" s="223" t="s">
        <v>320</v>
      </c>
      <c r="B108" s="224" t="s">
        <v>312</v>
      </c>
      <c r="C108" s="225">
        <f t="shared" ref="C108:C119" si="17">SUM(D108:BC108)</f>
        <v>0</v>
      </c>
      <c r="D108" s="226"/>
      <c r="E108" s="226"/>
      <c r="F108" s="226"/>
      <c r="G108" s="226"/>
      <c r="H108" s="226"/>
      <c r="I108" s="226"/>
      <c r="J108" s="227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  <c r="Z108" s="226"/>
      <c r="AA108" s="226"/>
      <c r="AB108" s="226"/>
      <c r="AC108" s="226"/>
      <c r="AD108" s="226"/>
      <c r="AE108" s="226"/>
      <c r="AF108" s="226"/>
      <c r="AG108" s="226"/>
      <c r="AH108" s="226"/>
      <c r="AI108" s="226"/>
      <c r="AJ108" s="226"/>
      <c r="AK108" s="226"/>
      <c r="AL108" s="227"/>
      <c r="AM108" s="226"/>
      <c r="AN108" s="226"/>
      <c r="AO108" s="226"/>
      <c r="AP108" s="226"/>
      <c r="AQ108" s="226"/>
      <c r="AR108" s="226"/>
      <c r="AS108" s="226"/>
      <c r="AT108" s="226"/>
      <c r="AU108" s="226"/>
      <c r="AV108" s="227"/>
      <c r="AW108" s="226"/>
      <c r="AX108" s="226"/>
      <c r="AY108" s="226"/>
      <c r="AZ108" s="227"/>
      <c r="BA108" s="226"/>
      <c r="BB108" s="226"/>
      <c r="BC108" s="228"/>
    </row>
    <row r="109">
      <c r="B109" s="224" t="s">
        <v>164</v>
      </c>
      <c r="C109" s="225">
        <f t="shared" si="17"/>
        <v>0</v>
      </c>
      <c r="D109" s="226"/>
      <c r="E109" s="226"/>
      <c r="F109" s="226"/>
      <c r="G109" s="229"/>
      <c r="H109" s="229"/>
      <c r="I109" s="226"/>
      <c r="J109" s="228"/>
      <c r="K109" s="226"/>
      <c r="L109" s="226"/>
      <c r="M109" s="229"/>
      <c r="N109" s="226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6"/>
      <c r="AA109" s="229"/>
      <c r="AB109" s="229"/>
      <c r="AC109" s="229"/>
      <c r="AD109" s="229"/>
      <c r="AE109" s="226"/>
      <c r="AF109" s="226"/>
      <c r="AG109" s="226"/>
      <c r="AH109" s="226"/>
      <c r="AI109" s="226"/>
      <c r="AJ109" s="226"/>
      <c r="AK109" s="226"/>
      <c r="AL109" s="227"/>
      <c r="AM109" s="229"/>
      <c r="AN109" s="229"/>
      <c r="AO109" s="226"/>
      <c r="AP109" s="226"/>
      <c r="AQ109" s="226"/>
      <c r="AR109" s="226"/>
      <c r="AS109" s="226"/>
      <c r="AT109" s="229"/>
      <c r="AU109" s="226"/>
      <c r="AV109" s="227"/>
      <c r="AW109" s="229"/>
      <c r="AX109" s="226"/>
      <c r="AY109" s="226"/>
      <c r="AZ109" s="227"/>
      <c r="BA109" s="229"/>
      <c r="BB109" s="229"/>
      <c r="BC109" s="228"/>
    </row>
    <row r="110">
      <c r="B110" s="224" t="s">
        <v>155</v>
      </c>
      <c r="C110" s="225">
        <f t="shared" si="17"/>
        <v>0</v>
      </c>
      <c r="D110" s="226"/>
      <c r="E110" s="226"/>
      <c r="F110" s="226"/>
      <c r="G110" s="229"/>
      <c r="H110" s="229"/>
      <c r="I110" s="226"/>
      <c r="J110" s="228"/>
      <c r="K110" s="226"/>
      <c r="L110" s="226"/>
      <c r="M110" s="229"/>
      <c r="N110" s="226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6"/>
      <c r="AA110" s="229"/>
      <c r="AB110" s="229"/>
      <c r="AC110" s="229"/>
      <c r="AD110" s="229"/>
      <c r="AE110" s="226"/>
      <c r="AF110" s="226"/>
      <c r="AG110" s="226"/>
      <c r="AH110" s="226"/>
      <c r="AI110" s="226"/>
      <c r="AJ110" s="226"/>
      <c r="AK110" s="226"/>
      <c r="AL110" s="227"/>
      <c r="AM110" s="229"/>
      <c r="AN110" s="229"/>
      <c r="AO110" s="226"/>
      <c r="AP110" s="226"/>
      <c r="AQ110" s="226"/>
      <c r="AR110" s="226"/>
      <c r="AS110" s="226"/>
      <c r="AT110" s="229"/>
      <c r="AU110" s="226"/>
      <c r="AV110" s="227"/>
      <c r="AW110" s="229"/>
      <c r="AX110" s="226"/>
      <c r="AY110" s="226"/>
      <c r="AZ110" s="227"/>
      <c r="BA110" s="229"/>
      <c r="BB110" s="229"/>
      <c r="BC110" s="228"/>
    </row>
    <row r="111">
      <c r="B111" s="224" t="s">
        <v>163</v>
      </c>
      <c r="C111" s="225">
        <f t="shared" si="17"/>
        <v>0</v>
      </c>
      <c r="D111" s="226"/>
      <c r="E111" s="226"/>
      <c r="F111" s="226"/>
      <c r="G111" s="229"/>
      <c r="H111" s="229"/>
      <c r="I111" s="226"/>
      <c r="J111" s="228"/>
      <c r="K111" s="226"/>
      <c r="L111" s="226"/>
      <c r="M111" s="229"/>
      <c r="N111" s="226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6"/>
      <c r="AA111" s="229"/>
      <c r="AB111" s="229"/>
      <c r="AC111" s="229"/>
      <c r="AD111" s="229"/>
      <c r="AE111" s="226"/>
      <c r="AF111" s="226"/>
      <c r="AG111" s="226"/>
      <c r="AH111" s="226"/>
      <c r="AI111" s="226"/>
      <c r="AJ111" s="226"/>
      <c r="AK111" s="226"/>
      <c r="AL111" s="227"/>
      <c r="AM111" s="229"/>
      <c r="AN111" s="229"/>
      <c r="AO111" s="226"/>
      <c r="AP111" s="226"/>
      <c r="AQ111" s="226"/>
      <c r="AR111" s="226"/>
      <c r="AS111" s="226"/>
      <c r="AT111" s="229"/>
      <c r="AU111" s="226"/>
      <c r="AV111" s="227"/>
      <c r="AW111" s="229"/>
      <c r="AX111" s="226"/>
      <c r="AY111" s="226"/>
      <c r="AZ111" s="227"/>
      <c r="BA111" s="229"/>
      <c r="BB111" s="229"/>
      <c r="BC111" s="228"/>
    </row>
    <row r="112">
      <c r="B112" s="224" t="s">
        <v>161</v>
      </c>
      <c r="C112" s="225">
        <f t="shared" si="17"/>
        <v>0</v>
      </c>
      <c r="D112" s="226"/>
      <c r="E112" s="226"/>
      <c r="F112" s="226"/>
      <c r="G112" s="229"/>
      <c r="H112" s="229"/>
      <c r="I112" s="226"/>
      <c r="J112" s="228"/>
      <c r="K112" s="226"/>
      <c r="L112" s="226"/>
      <c r="M112" s="229"/>
      <c r="N112" s="226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6"/>
      <c r="AA112" s="229"/>
      <c r="AB112" s="229"/>
      <c r="AC112" s="229"/>
      <c r="AD112" s="229"/>
      <c r="AE112" s="226"/>
      <c r="AF112" s="226"/>
      <c r="AG112" s="226"/>
      <c r="AH112" s="226"/>
      <c r="AI112" s="226"/>
      <c r="AJ112" s="226"/>
      <c r="AK112" s="226"/>
      <c r="AL112" s="227"/>
      <c r="AM112" s="229"/>
      <c r="AN112" s="229"/>
      <c r="AO112" s="226"/>
      <c r="AP112" s="226"/>
      <c r="AQ112" s="226"/>
      <c r="AR112" s="226"/>
      <c r="AS112" s="226"/>
      <c r="AT112" s="229"/>
      <c r="AU112" s="226"/>
      <c r="AV112" s="227"/>
      <c r="AW112" s="229"/>
      <c r="AX112" s="226"/>
      <c r="AY112" s="226"/>
      <c r="AZ112" s="227"/>
      <c r="BA112" s="229"/>
      <c r="BB112" s="229"/>
      <c r="BC112" s="228"/>
    </row>
    <row r="113">
      <c r="B113" s="224" t="s">
        <v>159</v>
      </c>
      <c r="C113" s="225">
        <f t="shared" si="17"/>
        <v>0</v>
      </c>
      <c r="D113" s="226"/>
      <c r="E113" s="226"/>
      <c r="F113" s="226"/>
      <c r="G113" s="229"/>
      <c r="H113" s="229"/>
      <c r="I113" s="226"/>
      <c r="J113" s="228"/>
      <c r="K113" s="226"/>
      <c r="L113" s="226"/>
      <c r="M113" s="229"/>
      <c r="N113" s="226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6"/>
      <c r="AA113" s="229"/>
      <c r="AB113" s="229"/>
      <c r="AC113" s="229"/>
      <c r="AD113" s="229"/>
      <c r="AE113" s="226"/>
      <c r="AF113" s="226"/>
      <c r="AG113" s="226"/>
      <c r="AH113" s="226"/>
      <c r="AI113" s="226"/>
      <c r="AJ113" s="226"/>
      <c r="AK113" s="226"/>
      <c r="AL113" s="227"/>
      <c r="AM113" s="229"/>
      <c r="AN113" s="229"/>
      <c r="AO113" s="226"/>
      <c r="AP113" s="226"/>
      <c r="AQ113" s="226"/>
      <c r="AR113" s="226"/>
      <c r="AS113" s="226"/>
      <c r="AT113" s="229"/>
      <c r="AU113" s="226"/>
      <c r="AV113" s="227"/>
      <c r="AW113" s="229"/>
      <c r="AX113" s="226"/>
      <c r="AY113" s="226"/>
      <c r="AZ113" s="227"/>
      <c r="BA113" s="229"/>
      <c r="BB113" s="229"/>
      <c r="BC113" s="228"/>
    </row>
    <row r="114">
      <c r="B114" s="224" t="s">
        <v>158</v>
      </c>
      <c r="C114" s="225">
        <f t="shared" si="17"/>
        <v>0</v>
      </c>
      <c r="D114" s="226"/>
      <c r="E114" s="226"/>
      <c r="F114" s="226"/>
      <c r="G114" s="226"/>
      <c r="H114" s="226"/>
      <c r="I114" s="226"/>
      <c r="J114" s="227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  <c r="Z114" s="226"/>
      <c r="AA114" s="226"/>
      <c r="AB114" s="226"/>
      <c r="AC114" s="226"/>
      <c r="AD114" s="226"/>
      <c r="AE114" s="226"/>
      <c r="AF114" s="226"/>
      <c r="AG114" s="226"/>
      <c r="AH114" s="226"/>
      <c r="AI114" s="226"/>
      <c r="AJ114" s="226"/>
      <c r="AK114" s="226"/>
      <c r="AL114" s="227"/>
      <c r="AM114" s="226"/>
      <c r="AN114" s="226"/>
      <c r="AO114" s="226"/>
      <c r="AP114" s="226"/>
      <c r="AQ114" s="226"/>
      <c r="AR114" s="226"/>
      <c r="AS114" s="226"/>
      <c r="AT114" s="226"/>
      <c r="AU114" s="226"/>
      <c r="AV114" s="227"/>
      <c r="AW114" s="226"/>
      <c r="AX114" s="226"/>
      <c r="AY114" s="226"/>
      <c r="AZ114" s="227"/>
      <c r="BA114" s="226"/>
      <c r="BB114" s="226"/>
      <c r="BC114" s="228"/>
    </row>
    <row r="115">
      <c r="B115" s="224" t="s">
        <v>246</v>
      </c>
      <c r="C115" s="225">
        <f t="shared" si="17"/>
        <v>0</v>
      </c>
      <c r="D115" s="229"/>
      <c r="E115" s="229"/>
      <c r="F115" s="229"/>
      <c r="G115" s="226"/>
      <c r="H115" s="226"/>
      <c r="I115" s="229"/>
      <c r="J115" s="227"/>
      <c r="K115" s="229"/>
      <c r="L115" s="229"/>
      <c r="M115" s="226"/>
      <c r="N115" s="229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  <c r="Z115" s="229"/>
      <c r="AA115" s="226"/>
      <c r="AB115" s="226"/>
      <c r="AC115" s="226"/>
      <c r="AD115" s="226"/>
      <c r="AE115" s="229"/>
      <c r="AF115" s="229"/>
      <c r="AG115" s="229"/>
      <c r="AH115" s="229"/>
      <c r="AI115" s="229"/>
      <c r="AJ115" s="229"/>
      <c r="AK115" s="229"/>
      <c r="AL115" s="228"/>
      <c r="AM115" s="226"/>
      <c r="AN115" s="226"/>
      <c r="AO115" s="229"/>
      <c r="AP115" s="229"/>
      <c r="AQ115" s="229"/>
      <c r="AR115" s="229"/>
      <c r="AS115" s="229"/>
      <c r="AT115" s="226"/>
      <c r="AU115" s="229"/>
      <c r="AV115" s="228"/>
      <c r="AW115" s="226"/>
      <c r="AX115" s="229"/>
      <c r="AY115" s="229"/>
      <c r="AZ115" s="228"/>
      <c r="BA115" s="226"/>
      <c r="BB115" s="226"/>
      <c r="BC115" s="228"/>
    </row>
    <row r="116">
      <c r="B116" s="224" t="s">
        <v>247</v>
      </c>
      <c r="C116" s="225">
        <f t="shared" si="17"/>
        <v>0</v>
      </c>
      <c r="D116" s="229"/>
      <c r="E116" s="229"/>
      <c r="F116" s="229"/>
      <c r="G116" s="226"/>
      <c r="H116" s="226"/>
      <c r="I116" s="229"/>
      <c r="J116" s="227"/>
      <c r="K116" s="229"/>
      <c r="L116" s="229"/>
      <c r="M116" s="226"/>
      <c r="N116" s="229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9"/>
      <c r="AA116" s="226"/>
      <c r="AB116" s="226"/>
      <c r="AC116" s="226"/>
      <c r="AD116" s="226"/>
      <c r="AE116" s="229"/>
      <c r="AF116" s="229"/>
      <c r="AG116" s="229"/>
      <c r="AH116" s="229"/>
      <c r="AI116" s="229"/>
      <c r="AJ116" s="229"/>
      <c r="AK116" s="229"/>
      <c r="AL116" s="228"/>
      <c r="AM116" s="226"/>
      <c r="AN116" s="226"/>
      <c r="AO116" s="229"/>
      <c r="AP116" s="229"/>
      <c r="AQ116" s="229"/>
      <c r="AR116" s="229"/>
      <c r="AS116" s="229"/>
      <c r="AT116" s="226"/>
      <c r="AU116" s="229"/>
      <c r="AV116" s="228"/>
      <c r="AW116" s="226"/>
      <c r="AX116" s="229"/>
      <c r="AY116" s="229"/>
      <c r="AZ116" s="228"/>
      <c r="BA116" s="226"/>
      <c r="BB116" s="226"/>
      <c r="BC116" s="228"/>
    </row>
    <row r="117">
      <c r="B117" s="224" t="s">
        <v>249</v>
      </c>
      <c r="C117" s="225">
        <f t="shared" si="17"/>
        <v>0</v>
      </c>
      <c r="D117" s="229"/>
      <c r="E117" s="229"/>
      <c r="F117" s="229"/>
      <c r="G117" s="226"/>
      <c r="H117" s="226"/>
      <c r="I117" s="229"/>
      <c r="J117" s="227"/>
      <c r="K117" s="229"/>
      <c r="L117" s="229"/>
      <c r="M117" s="226"/>
      <c r="N117" s="229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  <c r="Z117" s="229"/>
      <c r="AA117" s="226"/>
      <c r="AB117" s="226"/>
      <c r="AC117" s="226"/>
      <c r="AD117" s="226"/>
      <c r="AE117" s="229"/>
      <c r="AF117" s="229"/>
      <c r="AG117" s="229"/>
      <c r="AH117" s="229"/>
      <c r="AI117" s="229"/>
      <c r="AJ117" s="229"/>
      <c r="AK117" s="229"/>
      <c r="AL117" s="228"/>
      <c r="AM117" s="226"/>
      <c r="AN117" s="226"/>
      <c r="AO117" s="229"/>
      <c r="AP117" s="229"/>
      <c r="AQ117" s="229"/>
      <c r="AR117" s="229"/>
      <c r="AS117" s="229"/>
      <c r="AT117" s="226"/>
      <c r="AU117" s="229"/>
      <c r="AV117" s="228"/>
      <c r="AW117" s="226"/>
      <c r="AX117" s="229"/>
      <c r="AY117" s="229"/>
      <c r="AZ117" s="228"/>
      <c r="BA117" s="226"/>
      <c r="BB117" s="226"/>
      <c r="BC117" s="228"/>
    </row>
    <row r="118">
      <c r="B118" s="224" t="s">
        <v>250</v>
      </c>
      <c r="C118" s="225">
        <f t="shared" si="17"/>
        <v>0</v>
      </c>
      <c r="D118" s="229"/>
      <c r="E118" s="229"/>
      <c r="F118" s="229"/>
      <c r="G118" s="226"/>
      <c r="H118" s="226"/>
      <c r="I118" s="229"/>
      <c r="J118" s="227"/>
      <c r="K118" s="229"/>
      <c r="L118" s="229"/>
      <c r="M118" s="226"/>
      <c r="N118" s="229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  <c r="Z118" s="229"/>
      <c r="AA118" s="226"/>
      <c r="AB118" s="226"/>
      <c r="AC118" s="226"/>
      <c r="AD118" s="226"/>
      <c r="AE118" s="229"/>
      <c r="AF118" s="229"/>
      <c r="AG118" s="229"/>
      <c r="AH118" s="229"/>
      <c r="AI118" s="229"/>
      <c r="AJ118" s="229"/>
      <c r="AK118" s="229"/>
      <c r="AL118" s="228"/>
      <c r="AM118" s="226"/>
      <c r="AN118" s="226"/>
      <c r="AO118" s="229"/>
      <c r="AP118" s="229"/>
      <c r="AQ118" s="229"/>
      <c r="AR118" s="229"/>
      <c r="AS118" s="229"/>
      <c r="AT118" s="226"/>
      <c r="AU118" s="229"/>
      <c r="AV118" s="228"/>
      <c r="AW118" s="226"/>
      <c r="AX118" s="229"/>
      <c r="AY118" s="229"/>
      <c r="AZ118" s="228"/>
      <c r="BA118" s="226"/>
      <c r="BB118" s="226"/>
      <c r="BC118" s="228"/>
    </row>
    <row r="119">
      <c r="B119" s="230" t="s">
        <v>251</v>
      </c>
      <c r="C119" s="231">
        <f t="shared" si="17"/>
        <v>0</v>
      </c>
      <c r="D119" s="232"/>
      <c r="E119" s="232"/>
      <c r="F119" s="232"/>
      <c r="G119" s="233"/>
      <c r="H119" s="233"/>
      <c r="I119" s="232"/>
      <c r="J119" s="234"/>
      <c r="K119" s="232"/>
      <c r="L119" s="232"/>
      <c r="M119" s="233"/>
      <c r="N119" s="232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2"/>
      <c r="AA119" s="233"/>
      <c r="AB119" s="233"/>
      <c r="AC119" s="233"/>
      <c r="AD119" s="233"/>
      <c r="AE119" s="232"/>
      <c r="AF119" s="232"/>
      <c r="AG119" s="232"/>
      <c r="AH119" s="232"/>
      <c r="AI119" s="232"/>
      <c r="AJ119" s="232"/>
      <c r="AK119" s="232"/>
      <c r="AL119" s="235"/>
      <c r="AM119" s="233"/>
      <c r="AN119" s="233"/>
      <c r="AO119" s="232"/>
      <c r="AP119" s="232"/>
      <c r="AQ119" s="232"/>
      <c r="AR119" s="232"/>
      <c r="AS119" s="232"/>
      <c r="AT119" s="233"/>
      <c r="AU119" s="232"/>
      <c r="AV119" s="235"/>
      <c r="AW119" s="233"/>
      <c r="AX119" s="232"/>
      <c r="AY119" s="232"/>
      <c r="AZ119" s="235"/>
      <c r="BA119" s="233"/>
      <c r="BB119" s="233"/>
      <c r="BC119" s="235"/>
    </row>
    <row r="120">
      <c r="A120" s="206"/>
      <c r="B120" s="236" t="s">
        <v>263</v>
      </c>
      <c r="C120" s="237">
        <f t="shared" ref="C120:BC120" si="18">SUM(C108:C119)</f>
        <v>0</v>
      </c>
      <c r="D120" s="238">
        <f t="shared" si="18"/>
        <v>0</v>
      </c>
      <c r="E120" s="238">
        <f t="shared" si="18"/>
        <v>0</v>
      </c>
      <c r="F120" s="238">
        <f t="shared" si="18"/>
        <v>0</v>
      </c>
      <c r="G120" s="238">
        <f t="shared" si="18"/>
        <v>0</v>
      </c>
      <c r="H120" s="238">
        <f t="shared" si="18"/>
        <v>0</v>
      </c>
      <c r="I120" s="238">
        <f t="shared" si="18"/>
        <v>0</v>
      </c>
      <c r="J120" s="239">
        <f t="shared" si="18"/>
        <v>0</v>
      </c>
      <c r="K120" s="238">
        <f t="shared" si="18"/>
        <v>0</v>
      </c>
      <c r="L120" s="238">
        <f t="shared" si="18"/>
        <v>0</v>
      </c>
      <c r="M120" s="238">
        <f t="shared" si="18"/>
        <v>0</v>
      </c>
      <c r="N120" s="238">
        <f t="shared" si="18"/>
        <v>0</v>
      </c>
      <c r="O120" s="238">
        <f t="shared" si="18"/>
        <v>0</v>
      </c>
      <c r="P120" s="238">
        <f t="shared" si="18"/>
        <v>0</v>
      </c>
      <c r="Q120" s="238">
        <f t="shared" si="18"/>
        <v>0</v>
      </c>
      <c r="R120" s="238">
        <f t="shared" si="18"/>
        <v>0</v>
      </c>
      <c r="S120" s="238">
        <f t="shared" si="18"/>
        <v>0</v>
      </c>
      <c r="T120" s="238">
        <f t="shared" si="18"/>
        <v>0</v>
      </c>
      <c r="U120" s="238">
        <f t="shared" si="18"/>
        <v>0</v>
      </c>
      <c r="V120" s="238">
        <f t="shared" si="18"/>
        <v>0</v>
      </c>
      <c r="W120" s="238">
        <f t="shared" si="18"/>
        <v>0</v>
      </c>
      <c r="X120" s="238">
        <f t="shared" si="18"/>
        <v>0</v>
      </c>
      <c r="Y120" s="238">
        <f t="shared" si="18"/>
        <v>0</v>
      </c>
      <c r="Z120" s="238">
        <f t="shared" si="18"/>
        <v>0</v>
      </c>
      <c r="AA120" s="238">
        <f t="shared" si="18"/>
        <v>0</v>
      </c>
      <c r="AB120" s="238">
        <f t="shared" si="18"/>
        <v>0</v>
      </c>
      <c r="AC120" s="238">
        <f t="shared" si="18"/>
        <v>0</v>
      </c>
      <c r="AD120" s="238">
        <f t="shared" si="18"/>
        <v>0</v>
      </c>
      <c r="AE120" s="238">
        <f t="shared" si="18"/>
        <v>0</v>
      </c>
      <c r="AF120" s="238">
        <f t="shared" si="18"/>
        <v>0</v>
      </c>
      <c r="AG120" s="238">
        <f t="shared" si="18"/>
        <v>0</v>
      </c>
      <c r="AH120" s="238">
        <f t="shared" si="18"/>
        <v>0</v>
      </c>
      <c r="AI120" s="238">
        <f t="shared" si="18"/>
        <v>0</v>
      </c>
      <c r="AJ120" s="238">
        <f t="shared" si="18"/>
        <v>0</v>
      </c>
      <c r="AK120" s="238">
        <f t="shared" si="18"/>
        <v>0</v>
      </c>
      <c r="AL120" s="239">
        <f t="shared" si="18"/>
        <v>0</v>
      </c>
      <c r="AM120" s="238">
        <f t="shared" si="18"/>
        <v>0</v>
      </c>
      <c r="AN120" s="238">
        <f t="shared" si="18"/>
        <v>0</v>
      </c>
      <c r="AO120" s="238">
        <f t="shared" si="18"/>
        <v>0</v>
      </c>
      <c r="AP120" s="238">
        <f t="shared" si="18"/>
        <v>0</v>
      </c>
      <c r="AQ120" s="238">
        <f t="shared" si="18"/>
        <v>0</v>
      </c>
      <c r="AR120" s="238">
        <f t="shared" si="18"/>
        <v>0</v>
      </c>
      <c r="AS120" s="238">
        <f t="shared" si="18"/>
        <v>0</v>
      </c>
      <c r="AT120" s="238">
        <f t="shared" si="18"/>
        <v>0</v>
      </c>
      <c r="AU120" s="238">
        <f t="shared" si="18"/>
        <v>0</v>
      </c>
      <c r="AV120" s="239">
        <f t="shared" si="18"/>
        <v>0</v>
      </c>
      <c r="AW120" s="238">
        <f t="shared" si="18"/>
        <v>0</v>
      </c>
      <c r="AX120" s="238">
        <f t="shared" si="18"/>
        <v>0</v>
      </c>
      <c r="AY120" s="238">
        <f t="shared" si="18"/>
        <v>0</v>
      </c>
      <c r="AZ120" s="239">
        <f t="shared" si="18"/>
        <v>0</v>
      </c>
      <c r="BA120" s="238">
        <f t="shared" si="18"/>
        <v>0</v>
      </c>
      <c r="BB120" s="238">
        <f t="shared" si="18"/>
        <v>0</v>
      </c>
      <c r="BC120" s="239">
        <f t="shared" si="18"/>
        <v>0</v>
      </c>
    </row>
    <row r="121">
      <c r="A121" s="240" t="s">
        <v>321</v>
      </c>
      <c r="B121" s="224" t="s">
        <v>312</v>
      </c>
      <c r="C121" s="225">
        <f t="shared" ref="C121:C132" si="19">SUM(D121:BC121)</f>
        <v>0</v>
      </c>
      <c r="D121" s="226"/>
      <c r="E121" s="226"/>
      <c r="F121" s="226"/>
      <c r="G121" s="226"/>
      <c r="H121" s="226"/>
      <c r="I121" s="226"/>
      <c r="J121" s="227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  <c r="Z121" s="226"/>
      <c r="AA121" s="226"/>
      <c r="AB121" s="226"/>
      <c r="AC121" s="226"/>
      <c r="AD121" s="226"/>
      <c r="AE121" s="226"/>
      <c r="AF121" s="226"/>
      <c r="AG121" s="226"/>
      <c r="AH121" s="226"/>
      <c r="AI121" s="226"/>
      <c r="AJ121" s="226"/>
      <c r="AK121" s="226"/>
      <c r="AL121" s="227"/>
      <c r="AM121" s="226"/>
      <c r="AN121" s="226"/>
      <c r="AO121" s="226"/>
      <c r="AP121" s="226"/>
      <c r="AQ121" s="226"/>
      <c r="AR121" s="226"/>
      <c r="AS121" s="226"/>
      <c r="AT121" s="226"/>
      <c r="AU121" s="226"/>
      <c r="AV121" s="227"/>
      <c r="AW121" s="226"/>
      <c r="AX121" s="226"/>
      <c r="AY121" s="226"/>
      <c r="AZ121" s="227"/>
      <c r="BA121" s="226"/>
      <c r="BB121" s="226"/>
      <c r="BC121" s="228"/>
    </row>
    <row r="122">
      <c r="B122" s="224" t="s">
        <v>164</v>
      </c>
      <c r="C122" s="225">
        <f t="shared" si="19"/>
        <v>0</v>
      </c>
      <c r="D122" s="226"/>
      <c r="E122" s="226"/>
      <c r="F122" s="226"/>
      <c r="G122" s="229"/>
      <c r="H122" s="229"/>
      <c r="I122" s="226"/>
      <c r="J122" s="228"/>
      <c r="K122" s="226"/>
      <c r="L122" s="226"/>
      <c r="M122" s="229"/>
      <c r="N122" s="226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6"/>
      <c r="AA122" s="229"/>
      <c r="AB122" s="229"/>
      <c r="AC122" s="229"/>
      <c r="AD122" s="229"/>
      <c r="AE122" s="226"/>
      <c r="AF122" s="226"/>
      <c r="AG122" s="226"/>
      <c r="AH122" s="226"/>
      <c r="AI122" s="226"/>
      <c r="AJ122" s="226"/>
      <c r="AK122" s="226"/>
      <c r="AL122" s="227"/>
      <c r="AM122" s="229"/>
      <c r="AN122" s="229"/>
      <c r="AO122" s="226"/>
      <c r="AP122" s="226"/>
      <c r="AQ122" s="226"/>
      <c r="AR122" s="226"/>
      <c r="AS122" s="226"/>
      <c r="AT122" s="229"/>
      <c r="AU122" s="226"/>
      <c r="AV122" s="227"/>
      <c r="AW122" s="229"/>
      <c r="AX122" s="226"/>
      <c r="AY122" s="226"/>
      <c r="AZ122" s="227"/>
      <c r="BA122" s="229"/>
      <c r="BB122" s="229"/>
      <c r="BC122" s="228"/>
    </row>
    <row r="123">
      <c r="B123" s="224" t="s">
        <v>155</v>
      </c>
      <c r="C123" s="225">
        <f t="shared" si="19"/>
        <v>0</v>
      </c>
      <c r="D123" s="226"/>
      <c r="E123" s="226"/>
      <c r="F123" s="226"/>
      <c r="G123" s="229"/>
      <c r="H123" s="229"/>
      <c r="I123" s="226"/>
      <c r="J123" s="228"/>
      <c r="K123" s="226"/>
      <c r="L123" s="226"/>
      <c r="M123" s="229"/>
      <c r="N123" s="226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6"/>
      <c r="AA123" s="229"/>
      <c r="AB123" s="229"/>
      <c r="AC123" s="229"/>
      <c r="AD123" s="229"/>
      <c r="AE123" s="226"/>
      <c r="AF123" s="226"/>
      <c r="AG123" s="226"/>
      <c r="AH123" s="226"/>
      <c r="AI123" s="226"/>
      <c r="AJ123" s="226"/>
      <c r="AK123" s="226"/>
      <c r="AL123" s="227"/>
      <c r="AM123" s="229"/>
      <c r="AN123" s="229"/>
      <c r="AO123" s="226"/>
      <c r="AP123" s="226"/>
      <c r="AQ123" s="226"/>
      <c r="AR123" s="226"/>
      <c r="AS123" s="226"/>
      <c r="AT123" s="229"/>
      <c r="AU123" s="226"/>
      <c r="AV123" s="227"/>
      <c r="AW123" s="229"/>
      <c r="AX123" s="226"/>
      <c r="AY123" s="226"/>
      <c r="AZ123" s="227"/>
      <c r="BA123" s="229"/>
      <c r="BB123" s="229"/>
      <c r="BC123" s="228"/>
    </row>
    <row r="124">
      <c r="B124" s="224" t="s">
        <v>163</v>
      </c>
      <c r="C124" s="225">
        <f t="shared" si="19"/>
        <v>0</v>
      </c>
      <c r="D124" s="226"/>
      <c r="E124" s="226"/>
      <c r="F124" s="226"/>
      <c r="G124" s="229"/>
      <c r="H124" s="229"/>
      <c r="I124" s="226"/>
      <c r="J124" s="228"/>
      <c r="K124" s="226"/>
      <c r="L124" s="226"/>
      <c r="M124" s="229"/>
      <c r="N124" s="226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6"/>
      <c r="AA124" s="229"/>
      <c r="AB124" s="229"/>
      <c r="AC124" s="229"/>
      <c r="AD124" s="229"/>
      <c r="AE124" s="226"/>
      <c r="AF124" s="226"/>
      <c r="AG124" s="226"/>
      <c r="AH124" s="226"/>
      <c r="AI124" s="226"/>
      <c r="AJ124" s="226"/>
      <c r="AK124" s="226"/>
      <c r="AL124" s="227"/>
      <c r="AM124" s="229"/>
      <c r="AN124" s="229"/>
      <c r="AO124" s="226"/>
      <c r="AP124" s="226"/>
      <c r="AQ124" s="226"/>
      <c r="AR124" s="226"/>
      <c r="AS124" s="226"/>
      <c r="AT124" s="229"/>
      <c r="AU124" s="226"/>
      <c r="AV124" s="227"/>
      <c r="AW124" s="229"/>
      <c r="AX124" s="226"/>
      <c r="AY124" s="226"/>
      <c r="AZ124" s="227"/>
      <c r="BA124" s="229"/>
      <c r="BB124" s="229"/>
      <c r="BC124" s="228"/>
    </row>
    <row r="125">
      <c r="B125" s="224" t="s">
        <v>161</v>
      </c>
      <c r="C125" s="225">
        <f t="shared" si="19"/>
        <v>0</v>
      </c>
      <c r="D125" s="226"/>
      <c r="E125" s="226"/>
      <c r="F125" s="226"/>
      <c r="G125" s="229"/>
      <c r="H125" s="229"/>
      <c r="I125" s="226"/>
      <c r="J125" s="228"/>
      <c r="K125" s="226"/>
      <c r="L125" s="226"/>
      <c r="M125" s="229"/>
      <c r="N125" s="226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6"/>
      <c r="AA125" s="229"/>
      <c r="AB125" s="229"/>
      <c r="AC125" s="229"/>
      <c r="AD125" s="229"/>
      <c r="AE125" s="226"/>
      <c r="AF125" s="226"/>
      <c r="AG125" s="226"/>
      <c r="AH125" s="226"/>
      <c r="AI125" s="226"/>
      <c r="AJ125" s="226"/>
      <c r="AK125" s="226"/>
      <c r="AL125" s="227"/>
      <c r="AM125" s="229"/>
      <c r="AN125" s="229"/>
      <c r="AO125" s="226"/>
      <c r="AP125" s="226"/>
      <c r="AQ125" s="226"/>
      <c r="AR125" s="226"/>
      <c r="AS125" s="226"/>
      <c r="AT125" s="229"/>
      <c r="AU125" s="226"/>
      <c r="AV125" s="227"/>
      <c r="AW125" s="229"/>
      <c r="AX125" s="226"/>
      <c r="AY125" s="226"/>
      <c r="AZ125" s="227"/>
      <c r="BA125" s="229"/>
      <c r="BB125" s="229"/>
      <c r="BC125" s="228"/>
    </row>
    <row r="126">
      <c r="B126" s="224" t="s">
        <v>159</v>
      </c>
      <c r="C126" s="225">
        <f t="shared" si="19"/>
        <v>0</v>
      </c>
      <c r="D126" s="226"/>
      <c r="E126" s="226"/>
      <c r="F126" s="226"/>
      <c r="G126" s="229"/>
      <c r="H126" s="229"/>
      <c r="I126" s="226"/>
      <c r="J126" s="228"/>
      <c r="K126" s="226"/>
      <c r="L126" s="226"/>
      <c r="M126" s="229"/>
      <c r="N126" s="226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6"/>
      <c r="AA126" s="229"/>
      <c r="AB126" s="229"/>
      <c r="AC126" s="229"/>
      <c r="AD126" s="229"/>
      <c r="AE126" s="226"/>
      <c r="AF126" s="226"/>
      <c r="AG126" s="226"/>
      <c r="AH126" s="226"/>
      <c r="AI126" s="226"/>
      <c r="AJ126" s="226"/>
      <c r="AK126" s="226"/>
      <c r="AL126" s="227"/>
      <c r="AM126" s="229"/>
      <c r="AN126" s="229"/>
      <c r="AO126" s="226"/>
      <c r="AP126" s="226"/>
      <c r="AQ126" s="226"/>
      <c r="AR126" s="226"/>
      <c r="AS126" s="226"/>
      <c r="AT126" s="229"/>
      <c r="AU126" s="226"/>
      <c r="AV126" s="227"/>
      <c r="AW126" s="229"/>
      <c r="AX126" s="226"/>
      <c r="AY126" s="226"/>
      <c r="AZ126" s="227"/>
      <c r="BA126" s="229"/>
      <c r="BB126" s="229"/>
      <c r="BC126" s="228"/>
    </row>
    <row r="127">
      <c r="B127" s="224" t="s">
        <v>158</v>
      </c>
      <c r="C127" s="225">
        <f t="shared" si="19"/>
        <v>0</v>
      </c>
      <c r="D127" s="226"/>
      <c r="E127" s="226"/>
      <c r="F127" s="226"/>
      <c r="G127" s="226"/>
      <c r="H127" s="226"/>
      <c r="I127" s="226"/>
      <c r="J127" s="227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  <c r="Z127" s="226"/>
      <c r="AA127" s="226"/>
      <c r="AB127" s="226"/>
      <c r="AC127" s="226"/>
      <c r="AD127" s="226"/>
      <c r="AE127" s="226"/>
      <c r="AF127" s="226"/>
      <c r="AG127" s="226"/>
      <c r="AH127" s="226"/>
      <c r="AI127" s="226"/>
      <c r="AJ127" s="226"/>
      <c r="AK127" s="226"/>
      <c r="AL127" s="227"/>
      <c r="AM127" s="226"/>
      <c r="AN127" s="226"/>
      <c r="AO127" s="226"/>
      <c r="AP127" s="226"/>
      <c r="AQ127" s="226"/>
      <c r="AR127" s="226"/>
      <c r="AS127" s="226"/>
      <c r="AT127" s="226"/>
      <c r="AU127" s="226"/>
      <c r="AV127" s="227"/>
      <c r="AW127" s="226"/>
      <c r="AX127" s="226"/>
      <c r="AY127" s="226"/>
      <c r="AZ127" s="227"/>
      <c r="BA127" s="226"/>
      <c r="BB127" s="226"/>
      <c r="BC127" s="228"/>
    </row>
    <row r="128">
      <c r="B128" s="224" t="s">
        <v>246</v>
      </c>
      <c r="C128" s="225">
        <f t="shared" si="19"/>
        <v>0</v>
      </c>
      <c r="D128" s="229"/>
      <c r="E128" s="229"/>
      <c r="F128" s="229"/>
      <c r="G128" s="226"/>
      <c r="H128" s="226"/>
      <c r="I128" s="229"/>
      <c r="J128" s="227"/>
      <c r="K128" s="229"/>
      <c r="L128" s="229"/>
      <c r="M128" s="226"/>
      <c r="N128" s="229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  <c r="Z128" s="229"/>
      <c r="AA128" s="226"/>
      <c r="AB128" s="226"/>
      <c r="AC128" s="226"/>
      <c r="AD128" s="226"/>
      <c r="AE128" s="229"/>
      <c r="AF128" s="229"/>
      <c r="AG128" s="229"/>
      <c r="AH128" s="229"/>
      <c r="AI128" s="229"/>
      <c r="AJ128" s="229"/>
      <c r="AK128" s="229"/>
      <c r="AL128" s="228"/>
      <c r="AM128" s="226"/>
      <c r="AN128" s="226"/>
      <c r="AO128" s="229"/>
      <c r="AP128" s="229"/>
      <c r="AQ128" s="229"/>
      <c r="AR128" s="229"/>
      <c r="AS128" s="229"/>
      <c r="AT128" s="226"/>
      <c r="AU128" s="229"/>
      <c r="AV128" s="228"/>
      <c r="AW128" s="226"/>
      <c r="AX128" s="229"/>
      <c r="AY128" s="229"/>
      <c r="AZ128" s="228"/>
      <c r="BA128" s="226"/>
      <c r="BB128" s="226"/>
      <c r="BC128" s="228"/>
    </row>
    <row r="129">
      <c r="B129" s="224" t="s">
        <v>247</v>
      </c>
      <c r="C129" s="225">
        <f t="shared" si="19"/>
        <v>600</v>
      </c>
      <c r="D129" s="229"/>
      <c r="E129" s="229"/>
      <c r="F129" s="229"/>
      <c r="G129" s="226"/>
      <c r="H129" s="226"/>
      <c r="I129" s="229"/>
      <c r="J129" s="227"/>
      <c r="K129" s="229"/>
      <c r="L129" s="229"/>
      <c r="M129" s="226"/>
      <c r="N129" s="229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  <c r="Z129" s="229"/>
      <c r="AA129" s="226"/>
      <c r="AB129" s="226"/>
      <c r="AC129" s="226"/>
      <c r="AD129" s="226"/>
      <c r="AE129" s="229"/>
      <c r="AF129" s="229"/>
      <c r="AG129" s="229"/>
      <c r="AH129" s="229"/>
      <c r="AI129" s="229"/>
      <c r="AJ129" s="229"/>
      <c r="AK129" s="229"/>
      <c r="AL129" s="228"/>
      <c r="AM129" s="226"/>
      <c r="AN129" s="226"/>
      <c r="AO129" s="229"/>
      <c r="AP129" s="229"/>
      <c r="AQ129" s="229"/>
      <c r="AR129" s="229"/>
      <c r="AS129" s="229"/>
      <c r="AT129" s="226"/>
      <c r="AU129" s="229"/>
      <c r="AV129" s="228"/>
      <c r="AW129" s="241"/>
      <c r="AX129" s="242">
        <v>600.0</v>
      </c>
      <c r="AY129" s="229"/>
      <c r="AZ129" s="228"/>
      <c r="BA129" s="226"/>
      <c r="BB129" s="226"/>
      <c r="BC129" s="228"/>
    </row>
    <row r="130">
      <c r="B130" s="224" t="s">
        <v>249</v>
      </c>
      <c r="C130" s="225">
        <f t="shared" si="19"/>
        <v>0</v>
      </c>
      <c r="D130" s="229"/>
      <c r="E130" s="229"/>
      <c r="F130" s="229"/>
      <c r="G130" s="226"/>
      <c r="H130" s="226"/>
      <c r="I130" s="229"/>
      <c r="J130" s="227"/>
      <c r="K130" s="229"/>
      <c r="L130" s="229"/>
      <c r="M130" s="226"/>
      <c r="N130" s="229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  <c r="Z130" s="229"/>
      <c r="AA130" s="226"/>
      <c r="AB130" s="226"/>
      <c r="AC130" s="226"/>
      <c r="AD130" s="226"/>
      <c r="AE130" s="229"/>
      <c r="AF130" s="229"/>
      <c r="AG130" s="229"/>
      <c r="AH130" s="229"/>
      <c r="AI130" s="229"/>
      <c r="AJ130" s="229"/>
      <c r="AK130" s="229"/>
      <c r="AL130" s="228"/>
      <c r="AM130" s="226"/>
      <c r="AN130" s="226"/>
      <c r="AO130" s="229"/>
      <c r="AP130" s="229"/>
      <c r="AQ130" s="229"/>
      <c r="AR130" s="229"/>
      <c r="AS130" s="229"/>
      <c r="AT130" s="226"/>
      <c r="AU130" s="229"/>
      <c r="AV130" s="228"/>
      <c r="AW130" s="226"/>
      <c r="AX130" s="229"/>
      <c r="AY130" s="229"/>
      <c r="AZ130" s="228"/>
      <c r="BA130" s="226"/>
      <c r="BB130" s="226"/>
      <c r="BC130" s="228"/>
    </row>
    <row r="131">
      <c r="B131" s="224" t="s">
        <v>250</v>
      </c>
      <c r="C131" s="225">
        <f t="shared" si="19"/>
        <v>0</v>
      </c>
      <c r="D131" s="229"/>
      <c r="E131" s="229"/>
      <c r="F131" s="229"/>
      <c r="G131" s="226"/>
      <c r="H131" s="226"/>
      <c r="I131" s="229"/>
      <c r="J131" s="227"/>
      <c r="K131" s="229"/>
      <c r="L131" s="229"/>
      <c r="M131" s="226"/>
      <c r="N131" s="229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  <c r="Z131" s="229"/>
      <c r="AA131" s="226"/>
      <c r="AB131" s="226"/>
      <c r="AC131" s="226"/>
      <c r="AD131" s="226"/>
      <c r="AE131" s="229"/>
      <c r="AF131" s="229"/>
      <c r="AG131" s="229"/>
      <c r="AH131" s="229"/>
      <c r="AI131" s="229"/>
      <c r="AJ131" s="229"/>
      <c r="AK131" s="229"/>
      <c r="AL131" s="228"/>
      <c r="AM131" s="226"/>
      <c r="AN131" s="226"/>
      <c r="AO131" s="229"/>
      <c r="AP131" s="229"/>
      <c r="AQ131" s="229"/>
      <c r="AR131" s="229"/>
      <c r="AS131" s="229"/>
      <c r="AT131" s="226"/>
      <c r="AU131" s="229"/>
      <c r="AV131" s="228"/>
      <c r="AW131" s="226"/>
      <c r="AX131" s="229"/>
      <c r="AY131" s="229"/>
      <c r="AZ131" s="228"/>
      <c r="BA131" s="226"/>
      <c r="BB131" s="226"/>
      <c r="BC131" s="228"/>
    </row>
    <row r="132">
      <c r="B132" s="230" t="s">
        <v>251</v>
      </c>
      <c r="C132" s="231">
        <f t="shared" si="19"/>
        <v>0</v>
      </c>
      <c r="D132" s="232"/>
      <c r="E132" s="232"/>
      <c r="F132" s="232"/>
      <c r="G132" s="233"/>
      <c r="H132" s="233"/>
      <c r="I132" s="232"/>
      <c r="J132" s="234"/>
      <c r="K132" s="232"/>
      <c r="L132" s="232"/>
      <c r="M132" s="233"/>
      <c r="N132" s="232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2"/>
      <c r="AA132" s="233"/>
      <c r="AB132" s="233"/>
      <c r="AC132" s="233"/>
      <c r="AD132" s="233"/>
      <c r="AE132" s="232"/>
      <c r="AF132" s="232"/>
      <c r="AG132" s="232"/>
      <c r="AH132" s="232"/>
      <c r="AI132" s="232"/>
      <c r="AJ132" s="232"/>
      <c r="AK132" s="232"/>
      <c r="AL132" s="235"/>
      <c r="AM132" s="233"/>
      <c r="AN132" s="233"/>
      <c r="AO132" s="232"/>
      <c r="AP132" s="232"/>
      <c r="AQ132" s="232"/>
      <c r="AR132" s="232"/>
      <c r="AS132" s="232"/>
      <c r="AT132" s="233"/>
      <c r="AU132" s="232"/>
      <c r="AV132" s="235"/>
      <c r="AW132" s="233"/>
      <c r="AX132" s="232"/>
      <c r="AY132" s="232"/>
      <c r="AZ132" s="235"/>
      <c r="BA132" s="233"/>
      <c r="BB132" s="233"/>
      <c r="BC132" s="235"/>
    </row>
    <row r="133">
      <c r="A133" s="206"/>
      <c r="B133" s="236" t="s">
        <v>263</v>
      </c>
      <c r="C133" s="237">
        <f t="shared" ref="C133:AW133" si="20">SUM(C121:C132)</f>
        <v>600</v>
      </c>
      <c r="D133" s="238">
        <f t="shared" si="20"/>
        <v>0</v>
      </c>
      <c r="E133" s="238">
        <f t="shared" si="20"/>
        <v>0</v>
      </c>
      <c r="F133" s="238">
        <f t="shared" si="20"/>
        <v>0</v>
      </c>
      <c r="G133" s="238">
        <f t="shared" si="20"/>
        <v>0</v>
      </c>
      <c r="H133" s="238">
        <f t="shared" si="20"/>
        <v>0</v>
      </c>
      <c r="I133" s="238">
        <f t="shared" si="20"/>
        <v>0</v>
      </c>
      <c r="J133" s="239">
        <f t="shared" si="20"/>
        <v>0</v>
      </c>
      <c r="K133" s="238">
        <f t="shared" si="20"/>
        <v>0</v>
      </c>
      <c r="L133" s="238">
        <f t="shared" si="20"/>
        <v>0</v>
      </c>
      <c r="M133" s="238">
        <f t="shared" si="20"/>
        <v>0</v>
      </c>
      <c r="N133" s="238">
        <f t="shared" si="20"/>
        <v>0</v>
      </c>
      <c r="O133" s="238">
        <f t="shared" si="20"/>
        <v>0</v>
      </c>
      <c r="P133" s="238">
        <f t="shared" si="20"/>
        <v>0</v>
      </c>
      <c r="Q133" s="238">
        <f t="shared" si="20"/>
        <v>0</v>
      </c>
      <c r="R133" s="238">
        <f t="shared" si="20"/>
        <v>0</v>
      </c>
      <c r="S133" s="238">
        <f t="shared" si="20"/>
        <v>0</v>
      </c>
      <c r="T133" s="238">
        <f t="shared" si="20"/>
        <v>0</v>
      </c>
      <c r="U133" s="238">
        <f t="shared" si="20"/>
        <v>0</v>
      </c>
      <c r="V133" s="238">
        <f t="shared" si="20"/>
        <v>0</v>
      </c>
      <c r="W133" s="238">
        <f t="shared" si="20"/>
        <v>0</v>
      </c>
      <c r="X133" s="238">
        <f t="shared" si="20"/>
        <v>0</v>
      </c>
      <c r="Y133" s="238">
        <f t="shared" si="20"/>
        <v>0</v>
      </c>
      <c r="Z133" s="238">
        <f t="shared" si="20"/>
        <v>0</v>
      </c>
      <c r="AA133" s="238">
        <f t="shared" si="20"/>
        <v>0</v>
      </c>
      <c r="AB133" s="238">
        <f t="shared" si="20"/>
        <v>0</v>
      </c>
      <c r="AC133" s="238">
        <f t="shared" si="20"/>
        <v>0</v>
      </c>
      <c r="AD133" s="238">
        <f t="shared" si="20"/>
        <v>0</v>
      </c>
      <c r="AE133" s="238">
        <f t="shared" si="20"/>
        <v>0</v>
      </c>
      <c r="AF133" s="238">
        <f t="shared" si="20"/>
        <v>0</v>
      </c>
      <c r="AG133" s="238">
        <f t="shared" si="20"/>
        <v>0</v>
      </c>
      <c r="AH133" s="238">
        <f t="shared" si="20"/>
        <v>0</v>
      </c>
      <c r="AI133" s="238">
        <f t="shared" si="20"/>
        <v>0</v>
      </c>
      <c r="AJ133" s="238">
        <f t="shared" si="20"/>
        <v>0</v>
      </c>
      <c r="AK133" s="238">
        <f t="shared" si="20"/>
        <v>0</v>
      </c>
      <c r="AL133" s="239">
        <f t="shared" si="20"/>
        <v>0</v>
      </c>
      <c r="AM133" s="238">
        <f t="shared" si="20"/>
        <v>0</v>
      </c>
      <c r="AN133" s="238">
        <f t="shared" si="20"/>
        <v>0</v>
      </c>
      <c r="AO133" s="238">
        <f t="shared" si="20"/>
        <v>0</v>
      </c>
      <c r="AP133" s="238">
        <f t="shared" si="20"/>
        <v>0</v>
      </c>
      <c r="AQ133" s="238">
        <f t="shared" si="20"/>
        <v>0</v>
      </c>
      <c r="AR133" s="238">
        <f t="shared" si="20"/>
        <v>0</v>
      </c>
      <c r="AS133" s="238">
        <f t="shared" si="20"/>
        <v>0</v>
      </c>
      <c r="AT133" s="238">
        <f t="shared" si="20"/>
        <v>0</v>
      </c>
      <c r="AU133" s="238">
        <f t="shared" si="20"/>
        <v>0</v>
      </c>
      <c r="AV133" s="239">
        <f t="shared" si="20"/>
        <v>0</v>
      </c>
      <c r="AW133" s="238">
        <f t="shared" si="20"/>
        <v>0</v>
      </c>
      <c r="AX133" s="238">
        <f>SUM(AX121:AX131)</f>
        <v>600</v>
      </c>
      <c r="AY133" s="238">
        <f t="shared" ref="AY133:BC133" si="21">SUM(AY121:AY132)</f>
        <v>0</v>
      </c>
      <c r="AZ133" s="239">
        <f t="shared" si="21"/>
        <v>0</v>
      </c>
      <c r="BA133" s="238">
        <f t="shared" si="21"/>
        <v>0</v>
      </c>
      <c r="BB133" s="238">
        <f t="shared" si="21"/>
        <v>0</v>
      </c>
      <c r="BC133" s="239">
        <f t="shared" si="21"/>
        <v>0</v>
      </c>
    </row>
    <row r="134">
      <c r="A134" s="223" t="s">
        <v>322</v>
      </c>
      <c r="B134" s="224" t="s">
        <v>312</v>
      </c>
      <c r="C134" s="225">
        <f t="shared" ref="C134:C145" si="22">SUM(D134:BC134)</f>
        <v>0</v>
      </c>
      <c r="D134" s="226"/>
      <c r="E134" s="226"/>
      <c r="F134" s="226"/>
      <c r="G134" s="226"/>
      <c r="H134" s="226"/>
      <c r="I134" s="226"/>
      <c r="J134" s="227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  <c r="Z134" s="226"/>
      <c r="AA134" s="226"/>
      <c r="AB134" s="226"/>
      <c r="AC134" s="226"/>
      <c r="AD134" s="226"/>
      <c r="AE134" s="226"/>
      <c r="AF134" s="226"/>
      <c r="AG134" s="226"/>
      <c r="AH134" s="226"/>
      <c r="AI134" s="226"/>
      <c r="AJ134" s="226"/>
      <c r="AK134" s="226"/>
      <c r="AL134" s="227"/>
      <c r="AM134" s="226"/>
      <c r="AN134" s="226"/>
      <c r="AO134" s="226"/>
      <c r="AP134" s="226"/>
      <c r="AQ134" s="226"/>
      <c r="AR134" s="226"/>
      <c r="AS134" s="226"/>
      <c r="AT134" s="226"/>
      <c r="AU134" s="226"/>
      <c r="AV134" s="227"/>
      <c r="AW134" s="226"/>
      <c r="AX134" s="226"/>
      <c r="AY134" s="226"/>
      <c r="AZ134" s="227"/>
      <c r="BA134" s="226"/>
      <c r="BB134" s="226"/>
      <c r="BC134" s="228"/>
    </row>
    <row r="135">
      <c r="B135" s="224" t="s">
        <v>164</v>
      </c>
      <c r="C135" s="225">
        <f t="shared" si="22"/>
        <v>0</v>
      </c>
      <c r="D135" s="226"/>
      <c r="E135" s="226"/>
      <c r="F135" s="226"/>
      <c r="G135" s="229"/>
      <c r="H135" s="229"/>
      <c r="I135" s="226"/>
      <c r="J135" s="228"/>
      <c r="K135" s="226"/>
      <c r="L135" s="226"/>
      <c r="M135" s="229"/>
      <c r="N135" s="226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6"/>
      <c r="AA135" s="229"/>
      <c r="AB135" s="229"/>
      <c r="AC135" s="229"/>
      <c r="AD135" s="229"/>
      <c r="AE135" s="226"/>
      <c r="AF135" s="226"/>
      <c r="AG135" s="226"/>
      <c r="AH135" s="226"/>
      <c r="AI135" s="226"/>
      <c r="AJ135" s="226"/>
      <c r="AK135" s="226"/>
      <c r="AL135" s="227"/>
      <c r="AM135" s="229"/>
      <c r="AN135" s="229"/>
      <c r="AO135" s="226"/>
      <c r="AP135" s="226"/>
      <c r="AQ135" s="226"/>
      <c r="AR135" s="226"/>
      <c r="AS135" s="226"/>
      <c r="AT135" s="229"/>
      <c r="AU135" s="226"/>
      <c r="AV135" s="227"/>
      <c r="AW135" s="229"/>
      <c r="AX135" s="226"/>
      <c r="AY135" s="226"/>
      <c r="AZ135" s="227"/>
      <c r="BA135" s="229"/>
      <c r="BB135" s="229"/>
      <c r="BC135" s="228"/>
    </row>
    <row r="136">
      <c r="B136" s="224" t="s">
        <v>155</v>
      </c>
      <c r="C136" s="225">
        <f t="shared" si="22"/>
        <v>0</v>
      </c>
      <c r="D136" s="226"/>
      <c r="E136" s="226"/>
      <c r="F136" s="226"/>
      <c r="G136" s="229"/>
      <c r="H136" s="229"/>
      <c r="I136" s="226"/>
      <c r="J136" s="228"/>
      <c r="K136" s="226"/>
      <c r="L136" s="226"/>
      <c r="M136" s="229"/>
      <c r="N136" s="226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6"/>
      <c r="AA136" s="229"/>
      <c r="AB136" s="229"/>
      <c r="AC136" s="229"/>
      <c r="AD136" s="229"/>
      <c r="AE136" s="226"/>
      <c r="AF136" s="226"/>
      <c r="AG136" s="226"/>
      <c r="AH136" s="226"/>
      <c r="AI136" s="226"/>
      <c r="AJ136" s="226"/>
      <c r="AK136" s="226"/>
      <c r="AL136" s="227"/>
      <c r="AM136" s="229"/>
      <c r="AN136" s="229"/>
      <c r="AO136" s="226"/>
      <c r="AP136" s="226"/>
      <c r="AQ136" s="226"/>
      <c r="AR136" s="226"/>
      <c r="AS136" s="226"/>
      <c r="AT136" s="229"/>
      <c r="AU136" s="226"/>
      <c r="AV136" s="227"/>
      <c r="AW136" s="229"/>
      <c r="AX136" s="226"/>
      <c r="AY136" s="226"/>
      <c r="AZ136" s="227"/>
      <c r="BA136" s="229"/>
      <c r="BB136" s="229"/>
      <c r="BC136" s="228"/>
    </row>
    <row r="137">
      <c r="B137" s="224" t="s">
        <v>163</v>
      </c>
      <c r="C137" s="225">
        <f t="shared" si="22"/>
        <v>0</v>
      </c>
      <c r="D137" s="226"/>
      <c r="E137" s="226"/>
      <c r="F137" s="226"/>
      <c r="G137" s="229"/>
      <c r="H137" s="229"/>
      <c r="I137" s="226"/>
      <c r="J137" s="228"/>
      <c r="K137" s="226"/>
      <c r="L137" s="226"/>
      <c r="M137" s="229"/>
      <c r="N137" s="226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6"/>
      <c r="AA137" s="229"/>
      <c r="AB137" s="229"/>
      <c r="AC137" s="229"/>
      <c r="AD137" s="229"/>
      <c r="AE137" s="226"/>
      <c r="AF137" s="226"/>
      <c r="AG137" s="226"/>
      <c r="AH137" s="226"/>
      <c r="AI137" s="226"/>
      <c r="AJ137" s="226"/>
      <c r="AK137" s="226"/>
      <c r="AL137" s="227"/>
      <c r="AM137" s="229"/>
      <c r="AN137" s="229"/>
      <c r="AO137" s="226"/>
      <c r="AP137" s="226"/>
      <c r="AQ137" s="226"/>
      <c r="AR137" s="226"/>
      <c r="AS137" s="226"/>
      <c r="AT137" s="229"/>
      <c r="AU137" s="226"/>
      <c r="AV137" s="227"/>
      <c r="AW137" s="229"/>
      <c r="AX137" s="226"/>
      <c r="AY137" s="226"/>
      <c r="AZ137" s="227"/>
      <c r="BA137" s="229"/>
      <c r="BB137" s="229"/>
      <c r="BC137" s="228"/>
    </row>
    <row r="138">
      <c r="B138" s="224" t="s">
        <v>161</v>
      </c>
      <c r="C138" s="225">
        <f t="shared" si="22"/>
        <v>0</v>
      </c>
      <c r="D138" s="226"/>
      <c r="E138" s="226"/>
      <c r="F138" s="226"/>
      <c r="G138" s="229"/>
      <c r="H138" s="229"/>
      <c r="I138" s="226"/>
      <c r="J138" s="228"/>
      <c r="K138" s="226"/>
      <c r="L138" s="226"/>
      <c r="M138" s="229"/>
      <c r="N138" s="226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6"/>
      <c r="AA138" s="229"/>
      <c r="AB138" s="229"/>
      <c r="AC138" s="229"/>
      <c r="AD138" s="229"/>
      <c r="AE138" s="226"/>
      <c r="AF138" s="226"/>
      <c r="AG138" s="226"/>
      <c r="AH138" s="226"/>
      <c r="AI138" s="226"/>
      <c r="AJ138" s="226"/>
      <c r="AK138" s="226"/>
      <c r="AL138" s="227"/>
      <c r="AM138" s="229"/>
      <c r="AN138" s="229"/>
      <c r="AO138" s="226"/>
      <c r="AP138" s="226"/>
      <c r="AQ138" s="226"/>
      <c r="AR138" s="226"/>
      <c r="AS138" s="226"/>
      <c r="AT138" s="229"/>
      <c r="AU138" s="226"/>
      <c r="AV138" s="227"/>
      <c r="AW138" s="229"/>
      <c r="AX138" s="226"/>
      <c r="AY138" s="226"/>
      <c r="AZ138" s="227"/>
      <c r="BA138" s="229"/>
      <c r="BB138" s="229"/>
      <c r="BC138" s="228"/>
    </row>
    <row r="139">
      <c r="B139" s="224" t="s">
        <v>159</v>
      </c>
      <c r="C139" s="225">
        <f t="shared" si="22"/>
        <v>0</v>
      </c>
      <c r="D139" s="226"/>
      <c r="E139" s="226"/>
      <c r="F139" s="226"/>
      <c r="G139" s="229"/>
      <c r="H139" s="229"/>
      <c r="I139" s="226"/>
      <c r="J139" s="228"/>
      <c r="K139" s="226"/>
      <c r="L139" s="226"/>
      <c r="M139" s="229"/>
      <c r="N139" s="226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6"/>
      <c r="AA139" s="229"/>
      <c r="AB139" s="229"/>
      <c r="AC139" s="229"/>
      <c r="AD139" s="229"/>
      <c r="AE139" s="226"/>
      <c r="AF139" s="226"/>
      <c r="AG139" s="226"/>
      <c r="AH139" s="226"/>
      <c r="AI139" s="226"/>
      <c r="AJ139" s="226"/>
      <c r="AK139" s="226"/>
      <c r="AL139" s="227"/>
      <c r="AM139" s="229"/>
      <c r="AN139" s="229"/>
      <c r="AO139" s="226"/>
      <c r="AP139" s="226"/>
      <c r="AQ139" s="226"/>
      <c r="AR139" s="226"/>
      <c r="AS139" s="226"/>
      <c r="AT139" s="229"/>
      <c r="AU139" s="226"/>
      <c r="AV139" s="227"/>
      <c r="AW139" s="229"/>
      <c r="AX139" s="226"/>
      <c r="AY139" s="226"/>
      <c r="AZ139" s="227"/>
      <c r="BA139" s="229"/>
      <c r="BB139" s="229"/>
      <c r="BC139" s="228"/>
    </row>
    <row r="140">
      <c r="B140" s="224" t="s">
        <v>158</v>
      </c>
      <c r="C140" s="225">
        <f t="shared" si="22"/>
        <v>0</v>
      </c>
      <c r="D140" s="226"/>
      <c r="E140" s="226"/>
      <c r="F140" s="226"/>
      <c r="G140" s="226"/>
      <c r="H140" s="226"/>
      <c r="I140" s="226"/>
      <c r="J140" s="227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  <c r="Z140" s="226"/>
      <c r="AA140" s="226"/>
      <c r="AB140" s="226"/>
      <c r="AC140" s="226"/>
      <c r="AD140" s="226"/>
      <c r="AE140" s="226"/>
      <c r="AF140" s="226"/>
      <c r="AG140" s="226"/>
      <c r="AH140" s="226"/>
      <c r="AI140" s="226"/>
      <c r="AJ140" s="226"/>
      <c r="AK140" s="226"/>
      <c r="AL140" s="227"/>
      <c r="AM140" s="226"/>
      <c r="AN140" s="226"/>
      <c r="AO140" s="226"/>
      <c r="AP140" s="226"/>
      <c r="AQ140" s="226"/>
      <c r="AR140" s="226"/>
      <c r="AS140" s="226"/>
      <c r="AT140" s="226"/>
      <c r="AU140" s="226"/>
      <c r="AV140" s="227"/>
      <c r="AW140" s="226"/>
      <c r="AX140" s="226"/>
      <c r="AY140" s="226"/>
      <c r="AZ140" s="227"/>
      <c r="BA140" s="226"/>
      <c r="BB140" s="226"/>
      <c r="BC140" s="228"/>
    </row>
    <row r="141">
      <c r="B141" s="224" t="s">
        <v>246</v>
      </c>
      <c r="C141" s="225">
        <f t="shared" si="22"/>
        <v>0</v>
      </c>
      <c r="D141" s="229"/>
      <c r="E141" s="229"/>
      <c r="F141" s="229"/>
      <c r="G141" s="226"/>
      <c r="H141" s="226"/>
      <c r="I141" s="229"/>
      <c r="J141" s="227"/>
      <c r="K141" s="229"/>
      <c r="L141" s="229"/>
      <c r="M141" s="226"/>
      <c r="N141" s="229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  <c r="Z141" s="229"/>
      <c r="AA141" s="226"/>
      <c r="AB141" s="226"/>
      <c r="AC141" s="226"/>
      <c r="AD141" s="226"/>
      <c r="AE141" s="229"/>
      <c r="AF141" s="229"/>
      <c r="AG141" s="229"/>
      <c r="AH141" s="229"/>
      <c r="AI141" s="229"/>
      <c r="AJ141" s="229"/>
      <c r="AK141" s="229"/>
      <c r="AL141" s="228"/>
      <c r="AM141" s="226"/>
      <c r="AN141" s="226"/>
      <c r="AO141" s="229"/>
      <c r="AP141" s="229"/>
      <c r="AQ141" s="229"/>
      <c r="AR141" s="229"/>
      <c r="AS141" s="229"/>
      <c r="AT141" s="226"/>
      <c r="AU141" s="229"/>
      <c r="AV141" s="228"/>
      <c r="AW141" s="226"/>
      <c r="AX141" s="229"/>
      <c r="AY141" s="229"/>
      <c r="AZ141" s="228"/>
      <c r="BA141" s="226"/>
      <c r="BB141" s="226"/>
      <c r="BC141" s="228"/>
    </row>
    <row r="142">
      <c r="B142" s="224" t="s">
        <v>247</v>
      </c>
      <c r="C142" s="225">
        <f t="shared" si="22"/>
        <v>0</v>
      </c>
      <c r="D142" s="229"/>
      <c r="E142" s="229"/>
      <c r="F142" s="229"/>
      <c r="G142" s="226"/>
      <c r="H142" s="226"/>
      <c r="I142" s="229"/>
      <c r="J142" s="227"/>
      <c r="K142" s="229"/>
      <c r="L142" s="229"/>
      <c r="M142" s="226"/>
      <c r="N142" s="229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  <c r="Z142" s="229"/>
      <c r="AA142" s="226"/>
      <c r="AB142" s="226"/>
      <c r="AC142" s="226"/>
      <c r="AD142" s="226"/>
      <c r="AE142" s="229"/>
      <c r="AF142" s="229"/>
      <c r="AG142" s="229"/>
      <c r="AH142" s="229"/>
      <c r="AI142" s="229"/>
      <c r="AJ142" s="229"/>
      <c r="AK142" s="229"/>
      <c r="AL142" s="228"/>
      <c r="AM142" s="226"/>
      <c r="AN142" s="226"/>
      <c r="AO142" s="229"/>
      <c r="AP142" s="229"/>
      <c r="AQ142" s="229"/>
      <c r="AR142" s="229"/>
      <c r="AS142" s="229"/>
      <c r="AT142" s="226"/>
      <c r="AU142" s="229"/>
      <c r="AV142" s="228"/>
      <c r="AW142" s="226"/>
      <c r="AX142" s="229"/>
      <c r="AY142" s="229"/>
      <c r="AZ142" s="228"/>
      <c r="BA142" s="226"/>
      <c r="BB142" s="226"/>
      <c r="BC142" s="228"/>
    </row>
    <row r="143">
      <c r="B143" s="224" t="s">
        <v>249</v>
      </c>
      <c r="C143" s="225">
        <f t="shared" si="22"/>
        <v>0</v>
      </c>
      <c r="D143" s="229"/>
      <c r="E143" s="229"/>
      <c r="F143" s="229"/>
      <c r="G143" s="226"/>
      <c r="H143" s="226"/>
      <c r="I143" s="229"/>
      <c r="J143" s="227"/>
      <c r="K143" s="229"/>
      <c r="L143" s="229"/>
      <c r="M143" s="226"/>
      <c r="N143" s="229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  <c r="Z143" s="229"/>
      <c r="AA143" s="226"/>
      <c r="AB143" s="226"/>
      <c r="AC143" s="226"/>
      <c r="AD143" s="226"/>
      <c r="AE143" s="229"/>
      <c r="AF143" s="229"/>
      <c r="AG143" s="229"/>
      <c r="AH143" s="229"/>
      <c r="AI143" s="229"/>
      <c r="AJ143" s="229"/>
      <c r="AK143" s="229"/>
      <c r="AL143" s="228"/>
      <c r="AM143" s="226"/>
      <c r="AN143" s="226"/>
      <c r="AO143" s="229"/>
      <c r="AP143" s="229"/>
      <c r="AQ143" s="229"/>
      <c r="AR143" s="229"/>
      <c r="AS143" s="229"/>
      <c r="AT143" s="226"/>
      <c r="AU143" s="229"/>
      <c r="AV143" s="228"/>
      <c r="AW143" s="226"/>
      <c r="AX143" s="229"/>
      <c r="AY143" s="229"/>
      <c r="AZ143" s="228"/>
      <c r="BA143" s="226"/>
      <c r="BB143" s="226"/>
      <c r="BC143" s="228"/>
    </row>
    <row r="144">
      <c r="B144" s="224" t="s">
        <v>250</v>
      </c>
      <c r="C144" s="225">
        <f t="shared" si="22"/>
        <v>0</v>
      </c>
      <c r="D144" s="229"/>
      <c r="E144" s="229"/>
      <c r="F144" s="229"/>
      <c r="G144" s="226"/>
      <c r="H144" s="226"/>
      <c r="I144" s="229"/>
      <c r="J144" s="227"/>
      <c r="K144" s="229"/>
      <c r="L144" s="229"/>
      <c r="M144" s="226"/>
      <c r="N144" s="229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  <c r="Z144" s="229"/>
      <c r="AA144" s="226"/>
      <c r="AB144" s="226"/>
      <c r="AC144" s="226"/>
      <c r="AD144" s="226"/>
      <c r="AE144" s="229"/>
      <c r="AF144" s="229"/>
      <c r="AG144" s="229"/>
      <c r="AH144" s="229"/>
      <c r="AI144" s="229"/>
      <c r="AJ144" s="229"/>
      <c r="AK144" s="229"/>
      <c r="AL144" s="228"/>
      <c r="AM144" s="226"/>
      <c r="AN144" s="226"/>
      <c r="AO144" s="229"/>
      <c r="AP144" s="229"/>
      <c r="AQ144" s="229"/>
      <c r="AR144" s="229"/>
      <c r="AS144" s="229"/>
      <c r="AT144" s="226"/>
      <c r="AU144" s="229"/>
      <c r="AV144" s="228"/>
      <c r="AW144" s="226"/>
      <c r="AX144" s="229"/>
      <c r="AY144" s="229"/>
      <c r="AZ144" s="228"/>
      <c r="BA144" s="226"/>
      <c r="BB144" s="226"/>
      <c r="BC144" s="228"/>
    </row>
    <row r="145">
      <c r="B145" s="230" t="s">
        <v>251</v>
      </c>
      <c r="C145" s="231">
        <f t="shared" si="22"/>
        <v>1750</v>
      </c>
      <c r="D145" s="232"/>
      <c r="E145" s="232"/>
      <c r="F145" s="232"/>
      <c r="G145" s="233"/>
      <c r="H145" s="233"/>
      <c r="I145" s="232"/>
      <c r="J145" s="234"/>
      <c r="K145" s="232"/>
      <c r="L145" s="232"/>
      <c r="M145" s="233"/>
      <c r="N145" s="232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2"/>
      <c r="AA145" s="233"/>
      <c r="AB145" s="233"/>
      <c r="AC145" s="233"/>
      <c r="AD145" s="233"/>
      <c r="AE145" s="232"/>
      <c r="AF145" s="232"/>
      <c r="AG145" s="238">
        <v>200.0</v>
      </c>
      <c r="AH145" s="232"/>
      <c r="AI145" s="232"/>
      <c r="AJ145" s="232"/>
      <c r="AK145" s="232"/>
      <c r="AL145" s="235"/>
      <c r="AM145" s="233"/>
      <c r="AN145" s="233"/>
      <c r="AO145" s="232"/>
      <c r="AP145" s="243">
        <v>1050.0</v>
      </c>
      <c r="AQ145" s="232"/>
      <c r="AR145" s="232"/>
      <c r="AS145" s="232"/>
      <c r="AT145" s="233"/>
      <c r="AU145" s="232"/>
      <c r="AV145" s="235"/>
      <c r="AW145" s="233"/>
      <c r="AX145" s="238">
        <v>500.0</v>
      </c>
      <c r="AY145" s="232"/>
      <c r="AZ145" s="235"/>
      <c r="BA145" s="233"/>
      <c r="BB145" s="233"/>
      <c r="BC145" s="235"/>
    </row>
    <row r="146">
      <c r="A146" s="206"/>
      <c r="B146" s="236" t="s">
        <v>263</v>
      </c>
      <c r="C146" s="237">
        <f t="shared" ref="C146:BC146" si="23">SUM(C134:C145)</f>
        <v>1750</v>
      </c>
      <c r="D146" s="238">
        <f t="shared" si="23"/>
        <v>0</v>
      </c>
      <c r="E146" s="238">
        <f t="shared" si="23"/>
        <v>0</v>
      </c>
      <c r="F146" s="238">
        <f t="shared" si="23"/>
        <v>0</v>
      </c>
      <c r="G146" s="238">
        <f t="shared" si="23"/>
        <v>0</v>
      </c>
      <c r="H146" s="238">
        <f t="shared" si="23"/>
        <v>0</v>
      </c>
      <c r="I146" s="238">
        <f t="shared" si="23"/>
        <v>0</v>
      </c>
      <c r="J146" s="239">
        <f t="shared" si="23"/>
        <v>0</v>
      </c>
      <c r="K146" s="238">
        <f t="shared" si="23"/>
        <v>0</v>
      </c>
      <c r="L146" s="238">
        <f t="shared" si="23"/>
        <v>0</v>
      </c>
      <c r="M146" s="238">
        <f t="shared" si="23"/>
        <v>0</v>
      </c>
      <c r="N146" s="238">
        <f t="shared" si="23"/>
        <v>0</v>
      </c>
      <c r="O146" s="238">
        <f t="shared" si="23"/>
        <v>0</v>
      </c>
      <c r="P146" s="238">
        <f t="shared" si="23"/>
        <v>0</v>
      </c>
      <c r="Q146" s="238">
        <f t="shared" si="23"/>
        <v>0</v>
      </c>
      <c r="R146" s="238">
        <f t="shared" si="23"/>
        <v>0</v>
      </c>
      <c r="S146" s="238">
        <f t="shared" si="23"/>
        <v>0</v>
      </c>
      <c r="T146" s="238">
        <f t="shared" si="23"/>
        <v>0</v>
      </c>
      <c r="U146" s="238">
        <f t="shared" si="23"/>
        <v>0</v>
      </c>
      <c r="V146" s="238">
        <f t="shared" si="23"/>
        <v>0</v>
      </c>
      <c r="W146" s="238">
        <f t="shared" si="23"/>
        <v>0</v>
      </c>
      <c r="X146" s="238">
        <f t="shared" si="23"/>
        <v>0</v>
      </c>
      <c r="Y146" s="238">
        <f t="shared" si="23"/>
        <v>0</v>
      </c>
      <c r="Z146" s="238">
        <f t="shared" si="23"/>
        <v>0</v>
      </c>
      <c r="AA146" s="238">
        <f t="shared" si="23"/>
        <v>0</v>
      </c>
      <c r="AB146" s="238">
        <f t="shared" si="23"/>
        <v>0</v>
      </c>
      <c r="AC146" s="238">
        <f t="shared" si="23"/>
        <v>0</v>
      </c>
      <c r="AD146" s="238">
        <f t="shared" si="23"/>
        <v>0</v>
      </c>
      <c r="AE146" s="238">
        <f t="shared" si="23"/>
        <v>0</v>
      </c>
      <c r="AF146" s="238">
        <f t="shared" si="23"/>
        <v>0</v>
      </c>
      <c r="AG146" s="238">
        <f t="shared" si="23"/>
        <v>200</v>
      </c>
      <c r="AH146" s="238">
        <f t="shared" si="23"/>
        <v>0</v>
      </c>
      <c r="AI146" s="238">
        <f t="shared" si="23"/>
        <v>0</v>
      </c>
      <c r="AJ146" s="238">
        <f t="shared" si="23"/>
        <v>0</v>
      </c>
      <c r="AK146" s="238">
        <f t="shared" si="23"/>
        <v>0</v>
      </c>
      <c r="AL146" s="239">
        <f t="shared" si="23"/>
        <v>0</v>
      </c>
      <c r="AM146" s="238">
        <f t="shared" si="23"/>
        <v>0</v>
      </c>
      <c r="AN146" s="238">
        <f t="shared" si="23"/>
        <v>0</v>
      </c>
      <c r="AO146" s="238">
        <f t="shared" si="23"/>
        <v>0</v>
      </c>
      <c r="AP146" s="238">
        <f t="shared" si="23"/>
        <v>1050</v>
      </c>
      <c r="AQ146" s="238">
        <f t="shared" si="23"/>
        <v>0</v>
      </c>
      <c r="AR146" s="238">
        <f t="shared" si="23"/>
        <v>0</v>
      </c>
      <c r="AS146" s="238">
        <f t="shared" si="23"/>
        <v>0</v>
      </c>
      <c r="AT146" s="238">
        <f t="shared" si="23"/>
        <v>0</v>
      </c>
      <c r="AU146" s="238">
        <f t="shared" si="23"/>
        <v>0</v>
      </c>
      <c r="AV146" s="239">
        <f t="shared" si="23"/>
        <v>0</v>
      </c>
      <c r="AW146" s="238">
        <f t="shared" si="23"/>
        <v>0</v>
      </c>
      <c r="AX146" s="238">
        <f t="shared" si="23"/>
        <v>500</v>
      </c>
      <c r="AY146" s="238">
        <f t="shared" si="23"/>
        <v>0</v>
      </c>
      <c r="AZ146" s="239">
        <f t="shared" si="23"/>
        <v>0</v>
      </c>
      <c r="BA146" s="238">
        <f t="shared" si="23"/>
        <v>0</v>
      </c>
      <c r="BB146" s="238">
        <f t="shared" si="23"/>
        <v>0</v>
      </c>
      <c r="BC146" s="239">
        <f t="shared" si="23"/>
        <v>0</v>
      </c>
    </row>
    <row r="147">
      <c r="A147" s="240" t="s">
        <v>323</v>
      </c>
      <c r="B147" s="224" t="s">
        <v>312</v>
      </c>
      <c r="C147" s="225">
        <f t="shared" ref="C147:C158" si="24">SUM(D147:BC147)</f>
        <v>0</v>
      </c>
      <c r="D147" s="226"/>
      <c r="E147" s="226"/>
      <c r="F147" s="226"/>
      <c r="G147" s="226"/>
      <c r="H147" s="226"/>
      <c r="I147" s="226"/>
      <c r="J147" s="227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  <c r="Z147" s="226"/>
      <c r="AA147" s="226"/>
      <c r="AB147" s="226"/>
      <c r="AC147" s="226"/>
      <c r="AD147" s="226"/>
      <c r="AE147" s="226"/>
      <c r="AF147" s="226"/>
      <c r="AG147" s="226"/>
      <c r="AH147" s="226"/>
      <c r="AI147" s="226"/>
      <c r="AJ147" s="226"/>
      <c r="AK147" s="226"/>
      <c r="AL147" s="227"/>
      <c r="AM147" s="226"/>
      <c r="AN147" s="226"/>
      <c r="AO147" s="226"/>
      <c r="AP147" s="226"/>
      <c r="AQ147" s="226"/>
      <c r="AR147" s="226"/>
      <c r="AS147" s="226"/>
      <c r="AT147" s="226"/>
      <c r="AU147" s="226"/>
      <c r="AV147" s="227"/>
      <c r="AW147" s="226"/>
      <c r="AX147" s="226"/>
      <c r="AY147" s="226"/>
      <c r="AZ147" s="227"/>
      <c r="BA147" s="226"/>
      <c r="BB147" s="226"/>
      <c r="BC147" s="228"/>
    </row>
    <row r="148">
      <c r="B148" s="224" t="s">
        <v>164</v>
      </c>
      <c r="C148" s="225">
        <f t="shared" si="24"/>
        <v>0</v>
      </c>
      <c r="D148" s="226"/>
      <c r="E148" s="226"/>
      <c r="F148" s="226"/>
      <c r="G148" s="229"/>
      <c r="H148" s="229"/>
      <c r="I148" s="226"/>
      <c r="J148" s="228"/>
      <c r="K148" s="226"/>
      <c r="L148" s="226"/>
      <c r="M148" s="229"/>
      <c r="N148" s="226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6"/>
      <c r="AA148" s="229"/>
      <c r="AB148" s="229"/>
      <c r="AC148" s="229"/>
      <c r="AD148" s="229"/>
      <c r="AE148" s="226"/>
      <c r="AF148" s="226"/>
      <c r="AG148" s="226"/>
      <c r="AH148" s="226"/>
      <c r="AI148" s="226"/>
      <c r="AJ148" s="226"/>
      <c r="AK148" s="226"/>
      <c r="AL148" s="227"/>
      <c r="AM148" s="229"/>
      <c r="AN148" s="229"/>
      <c r="AO148" s="226"/>
      <c r="AP148" s="226"/>
      <c r="AQ148" s="226"/>
      <c r="AR148" s="226"/>
      <c r="AS148" s="226"/>
      <c r="AT148" s="229"/>
      <c r="AU148" s="226"/>
      <c r="AV148" s="227"/>
      <c r="AW148" s="229"/>
      <c r="AX148" s="226"/>
      <c r="AY148" s="226"/>
      <c r="AZ148" s="227"/>
      <c r="BA148" s="229"/>
      <c r="BB148" s="229"/>
      <c r="BC148" s="228"/>
    </row>
    <row r="149">
      <c r="B149" s="224" t="s">
        <v>155</v>
      </c>
      <c r="C149" s="225">
        <f t="shared" si="24"/>
        <v>0</v>
      </c>
      <c r="D149" s="226"/>
      <c r="E149" s="226"/>
      <c r="F149" s="226"/>
      <c r="G149" s="229"/>
      <c r="H149" s="229"/>
      <c r="I149" s="226"/>
      <c r="J149" s="228"/>
      <c r="K149" s="226"/>
      <c r="L149" s="226"/>
      <c r="M149" s="229"/>
      <c r="N149" s="226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6"/>
      <c r="AA149" s="229"/>
      <c r="AB149" s="229"/>
      <c r="AC149" s="229"/>
      <c r="AD149" s="229"/>
      <c r="AE149" s="226"/>
      <c r="AF149" s="226"/>
      <c r="AG149" s="226"/>
      <c r="AH149" s="226"/>
      <c r="AI149" s="226"/>
      <c r="AJ149" s="226"/>
      <c r="AK149" s="226"/>
      <c r="AL149" s="227"/>
      <c r="AM149" s="229"/>
      <c r="AN149" s="229"/>
      <c r="AO149" s="226"/>
      <c r="AP149" s="226"/>
      <c r="AQ149" s="226"/>
      <c r="AR149" s="226"/>
      <c r="AS149" s="226"/>
      <c r="AT149" s="229"/>
      <c r="AU149" s="226"/>
      <c r="AV149" s="227"/>
      <c r="AW149" s="229"/>
      <c r="AX149" s="226"/>
      <c r="AY149" s="226"/>
      <c r="AZ149" s="227"/>
      <c r="BA149" s="229"/>
      <c r="BB149" s="229"/>
      <c r="BC149" s="228"/>
    </row>
    <row r="150">
      <c r="B150" s="224" t="s">
        <v>163</v>
      </c>
      <c r="C150" s="225">
        <f t="shared" si="24"/>
        <v>0</v>
      </c>
      <c r="D150" s="226"/>
      <c r="E150" s="226"/>
      <c r="F150" s="226"/>
      <c r="G150" s="229"/>
      <c r="H150" s="229"/>
      <c r="I150" s="226"/>
      <c r="J150" s="228"/>
      <c r="K150" s="226"/>
      <c r="L150" s="226"/>
      <c r="M150" s="229"/>
      <c r="N150" s="226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6"/>
      <c r="AA150" s="229"/>
      <c r="AB150" s="229"/>
      <c r="AC150" s="229"/>
      <c r="AD150" s="229"/>
      <c r="AE150" s="226"/>
      <c r="AF150" s="226"/>
      <c r="AG150" s="226"/>
      <c r="AH150" s="226"/>
      <c r="AI150" s="226"/>
      <c r="AJ150" s="226"/>
      <c r="AK150" s="226"/>
      <c r="AL150" s="227"/>
      <c r="AM150" s="229"/>
      <c r="AN150" s="229"/>
      <c r="AO150" s="226"/>
      <c r="AP150" s="226"/>
      <c r="AQ150" s="226"/>
      <c r="AR150" s="226"/>
      <c r="AS150" s="226"/>
      <c r="AT150" s="229"/>
      <c r="AU150" s="226"/>
      <c r="AV150" s="227"/>
      <c r="AW150" s="229"/>
      <c r="AX150" s="226"/>
      <c r="AY150" s="226"/>
      <c r="AZ150" s="227"/>
      <c r="BA150" s="229"/>
      <c r="BB150" s="229"/>
      <c r="BC150" s="228"/>
    </row>
    <row r="151">
      <c r="B151" s="224" t="s">
        <v>161</v>
      </c>
      <c r="C151" s="225">
        <f t="shared" si="24"/>
        <v>0</v>
      </c>
      <c r="D151" s="226"/>
      <c r="E151" s="226"/>
      <c r="F151" s="226"/>
      <c r="G151" s="229"/>
      <c r="H151" s="229"/>
      <c r="I151" s="226"/>
      <c r="J151" s="228"/>
      <c r="K151" s="226"/>
      <c r="L151" s="226"/>
      <c r="M151" s="229"/>
      <c r="N151" s="226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6"/>
      <c r="AA151" s="229"/>
      <c r="AB151" s="229"/>
      <c r="AC151" s="229"/>
      <c r="AD151" s="229"/>
      <c r="AE151" s="226"/>
      <c r="AF151" s="226"/>
      <c r="AG151" s="226"/>
      <c r="AH151" s="226"/>
      <c r="AI151" s="226"/>
      <c r="AJ151" s="226"/>
      <c r="AK151" s="226"/>
      <c r="AL151" s="227"/>
      <c r="AM151" s="229"/>
      <c r="AN151" s="229"/>
      <c r="AO151" s="226"/>
      <c r="AP151" s="226"/>
      <c r="AQ151" s="226"/>
      <c r="AR151" s="226"/>
      <c r="AS151" s="226"/>
      <c r="AT151" s="229"/>
      <c r="AU151" s="226"/>
      <c r="AV151" s="227"/>
      <c r="AW151" s="229"/>
      <c r="AX151" s="226"/>
      <c r="AY151" s="226"/>
      <c r="AZ151" s="227"/>
      <c r="BA151" s="229"/>
      <c r="BB151" s="229"/>
      <c r="BC151" s="228"/>
    </row>
    <row r="152">
      <c r="B152" s="224" t="s">
        <v>159</v>
      </c>
      <c r="C152" s="225">
        <f t="shared" si="24"/>
        <v>0</v>
      </c>
      <c r="D152" s="226"/>
      <c r="E152" s="226"/>
      <c r="F152" s="226"/>
      <c r="G152" s="229"/>
      <c r="H152" s="229"/>
      <c r="I152" s="226"/>
      <c r="J152" s="228"/>
      <c r="K152" s="226"/>
      <c r="L152" s="226"/>
      <c r="M152" s="229"/>
      <c r="N152" s="226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6"/>
      <c r="AA152" s="229"/>
      <c r="AB152" s="229"/>
      <c r="AC152" s="229"/>
      <c r="AD152" s="229"/>
      <c r="AE152" s="226"/>
      <c r="AF152" s="226"/>
      <c r="AG152" s="226"/>
      <c r="AH152" s="226"/>
      <c r="AI152" s="226"/>
      <c r="AJ152" s="226"/>
      <c r="AK152" s="226"/>
      <c r="AL152" s="227"/>
      <c r="AM152" s="229"/>
      <c r="AN152" s="229"/>
      <c r="AO152" s="226"/>
      <c r="AP152" s="226"/>
      <c r="AQ152" s="226"/>
      <c r="AR152" s="226"/>
      <c r="AS152" s="226"/>
      <c r="AT152" s="229"/>
      <c r="AU152" s="226"/>
      <c r="AV152" s="227"/>
      <c r="AW152" s="229"/>
      <c r="AX152" s="226"/>
      <c r="AY152" s="226"/>
      <c r="AZ152" s="227"/>
      <c r="BA152" s="229"/>
      <c r="BB152" s="229"/>
      <c r="BC152" s="228"/>
    </row>
    <row r="153">
      <c r="B153" s="224" t="s">
        <v>158</v>
      </c>
      <c r="C153" s="225">
        <f t="shared" si="24"/>
        <v>0</v>
      </c>
      <c r="D153" s="226"/>
      <c r="E153" s="226"/>
      <c r="F153" s="226"/>
      <c r="G153" s="226"/>
      <c r="H153" s="226"/>
      <c r="I153" s="226"/>
      <c r="J153" s="227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  <c r="Z153" s="226"/>
      <c r="AA153" s="226"/>
      <c r="AB153" s="226"/>
      <c r="AC153" s="226"/>
      <c r="AD153" s="226"/>
      <c r="AE153" s="226"/>
      <c r="AF153" s="226"/>
      <c r="AG153" s="226"/>
      <c r="AH153" s="226"/>
      <c r="AI153" s="226"/>
      <c r="AJ153" s="226"/>
      <c r="AK153" s="226"/>
      <c r="AL153" s="227"/>
      <c r="AM153" s="226"/>
      <c r="AN153" s="226"/>
      <c r="AO153" s="226"/>
      <c r="AP153" s="226"/>
      <c r="AQ153" s="226"/>
      <c r="AR153" s="226"/>
      <c r="AS153" s="226"/>
      <c r="AT153" s="226"/>
      <c r="AU153" s="226"/>
      <c r="AV153" s="227"/>
      <c r="AW153" s="226"/>
      <c r="AX153" s="226"/>
      <c r="AY153" s="226"/>
      <c r="AZ153" s="227"/>
      <c r="BA153" s="226"/>
      <c r="BB153" s="226"/>
      <c r="BC153" s="228"/>
    </row>
    <row r="154">
      <c r="B154" s="224" t="s">
        <v>246</v>
      </c>
      <c r="C154" s="225">
        <f t="shared" si="24"/>
        <v>0</v>
      </c>
      <c r="D154" s="229"/>
      <c r="E154" s="229"/>
      <c r="F154" s="229"/>
      <c r="G154" s="226"/>
      <c r="H154" s="226"/>
      <c r="I154" s="229"/>
      <c r="J154" s="227"/>
      <c r="K154" s="229"/>
      <c r="L154" s="229"/>
      <c r="M154" s="226"/>
      <c r="N154" s="229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  <c r="Z154" s="229"/>
      <c r="AA154" s="226"/>
      <c r="AB154" s="226"/>
      <c r="AC154" s="226"/>
      <c r="AD154" s="226"/>
      <c r="AE154" s="229"/>
      <c r="AF154" s="229"/>
      <c r="AG154" s="229"/>
      <c r="AH154" s="229"/>
      <c r="AI154" s="229"/>
      <c r="AJ154" s="229"/>
      <c r="AK154" s="229"/>
      <c r="AL154" s="228"/>
      <c r="AM154" s="226"/>
      <c r="AN154" s="226"/>
      <c r="AO154" s="229"/>
      <c r="AP154" s="229"/>
      <c r="AQ154" s="229"/>
      <c r="AR154" s="229"/>
      <c r="AS154" s="229"/>
      <c r="AT154" s="226"/>
      <c r="AU154" s="229"/>
      <c r="AV154" s="228"/>
      <c r="AW154" s="226"/>
      <c r="AX154" s="229"/>
      <c r="AY154" s="229"/>
      <c r="AZ154" s="228"/>
      <c r="BA154" s="226"/>
      <c r="BB154" s="226"/>
      <c r="BC154" s="228"/>
    </row>
    <row r="155">
      <c r="B155" s="224" t="s">
        <v>247</v>
      </c>
      <c r="C155" s="225">
        <f t="shared" si="24"/>
        <v>0</v>
      </c>
      <c r="D155" s="229"/>
      <c r="E155" s="229"/>
      <c r="F155" s="229"/>
      <c r="G155" s="226"/>
      <c r="H155" s="226"/>
      <c r="I155" s="229"/>
      <c r="J155" s="227"/>
      <c r="K155" s="229"/>
      <c r="L155" s="229"/>
      <c r="M155" s="226"/>
      <c r="N155" s="229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  <c r="Z155" s="229"/>
      <c r="AA155" s="226"/>
      <c r="AB155" s="226"/>
      <c r="AC155" s="226"/>
      <c r="AD155" s="226"/>
      <c r="AE155" s="229"/>
      <c r="AF155" s="229"/>
      <c r="AG155" s="229"/>
      <c r="AH155" s="229"/>
      <c r="AI155" s="229"/>
      <c r="AJ155" s="229"/>
      <c r="AK155" s="229"/>
      <c r="AL155" s="228"/>
      <c r="AM155" s="226"/>
      <c r="AN155" s="226"/>
      <c r="AO155" s="229"/>
      <c r="AP155" s="229"/>
      <c r="AQ155" s="229"/>
      <c r="AR155" s="229"/>
      <c r="AS155" s="229"/>
      <c r="AT155" s="226"/>
      <c r="AU155" s="229"/>
      <c r="AV155" s="228"/>
      <c r="AW155" s="226"/>
      <c r="AX155" s="229"/>
      <c r="AY155" s="229"/>
      <c r="AZ155" s="228"/>
      <c r="BA155" s="226"/>
      <c r="BB155" s="226"/>
      <c r="BC155" s="228"/>
    </row>
    <row r="156">
      <c r="B156" s="224" t="s">
        <v>249</v>
      </c>
      <c r="C156" s="225">
        <f t="shared" si="24"/>
        <v>0</v>
      </c>
      <c r="D156" s="229"/>
      <c r="E156" s="229"/>
      <c r="F156" s="229"/>
      <c r="G156" s="226"/>
      <c r="H156" s="226"/>
      <c r="I156" s="229"/>
      <c r="J156" s="227"/>
      <c r="K156" s="229"/>
      <c r="L156" s="229"/>
      <c r="M156" s="226"/>
      <c r="N156" s="229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  <c r="Z156" s="229"/>
      <c r="AA156" s="226"/>
      <c r="AB156" s="226"/>
      <c r="AC156" s="226"/>
      <c r="AD156" s="226"/>
      <c r="AE156" s="229"/>
      <c r="AF156" s="229"/>
      <c r="AG156" s="229"/>
      <c r="AH156" s="229"/>
      <c r="AI156" s="229"/>
      <c r="AJ156" s="229"/>
      <c r="AK156" s="229"/>
      <c r="AL156" s="228"/>
      <c r="AM156" s="226"/>
      <c r="AN156" s="226"/>
      <c r="AO156" s="229"/>
      <c r="AP156" s="229"/>
      <c r="AQ156" s="229"/>
      <c r="AR156" s="229"/>
      <c r="AS156" s="229"/>
      <c r="AT156" s="226"/>
      <c r="AU156" s="229"/>
      <c r="AV156" s="228"/>
      <c r="AW156" s="226"/>
      <c r="AX156" s="229"/>
      <c r="AY156" s="229"/>
      <c r="AZ156" s="228"/>
      <c r="BA156" s="226"/>
      <c r="BB156" s="226"/>
      <c r="BC156" s="228"/>
    </row>
    <row r="157">
      <c r="B157" s="224" t="s">
        <v>250</v>
      </c>
      <c r="C157" s="225">
        <f t="shared" si="24"/>
        <v>0</v>
      </c>
      <c r="D157" s="229"/>
      <c r="E157" s="229"/>
      <c r="F157" s="229"/>
      <c r="G157" s="226"/>
      <c r="H157" s="226"/>
      <c r="I157" s="229"/>
      <c r="J157" s="227"/>
      <c r="K157" s="229"/>
      <c r="L157" s="229"/>
      <c r="M157" s="226"/>
      <c r="N157" s="229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  <c r="Z157" s="229"/>
      <c r="AA157" s="226"/>
      <c r="AB157" s="226"/>
      <c r="AC157" s="226"/>
      <c r="AD157" s="226"/>
      <c r="AE157" s="229"/>
      <c r="AF157" s="229"/>
      <c r="AG157" s="229"/>
      <c r="AH157" s="229"/>
      <c r="AI157" s="229"/>
      <c r="AJ157" s="229"/>
      <c r="AK157" s="229"/>
      <c r="AL157" s="228"/>
      <c r="AM157" s="226"/>
      <c r="AN157" s="226"/>
      <c r="AO157" s="229"/>
      <c r="AP157" s="229"/>
      <c r="AQ157" s="229"/>
      <c r="AR157" s="229"/>
      <c r="AS157" s="229"/>
      <c r="AT157" s="226"/>
      <c r="AU157" s="229"/>
      <c r="AV157" s="228"/>
      <c r="AW157" s="226"/>
      <c r="AX157" s="229"/>
      <c r="AY157" s="229"/>
      <c r="AZ157" s="228"/>
      <c r="BA157" s="226"/>
      <c r="BB157" s="226"/>
      <c r="BC157" s="228"/>
    </row>
    <row r="158">
      <c r="B158" s="230" t="s">
        <v>251</v>
      </c>
      <c r="C158" s="231">
        <f t="shared" si="24"/>
        <v>0</v>
      </c>
      <c r="D158" s="232"/>
      <c r="E158" s="232"/>
      <c r="F158" s="232"/>
      <c r="G158" s="233"/>
      <c r="H158" s="233"/>
      <c r="I158" s="232"/>
      <c r="J158" s="234"/>
      <c r="K158" s="232"/>
      <c r="L158" s="232"/>
      <c r="M158" s="233"/>
      <c r="N158" s="232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2"/>
      <c r="AA158" s="233"/>
      <c r="AB158" s="233"/>
      <c r="AC158" s="233"/>
      <c r="AD158" s="233"/>
      <c r="AE158" s="232"/>
      <c r="AF158" s="232"/>
      <c r="AG158" s="232"/>
      <c r="AH158" s="232"/>
      <c r="AI158" s="232"/>
      <c r="AJ158" s="232"/>
      <c r="AK158" s="232"/>
      <c r="AL158" s="235"/>
      <c r="AM158" s="233"/>
      <c r="AN158" s="233"/>
      <c r="AO158" s="232"/>
      <c r="AP158" s="232"/>
      <c r="AQ158" s="232"/>
      <c r="AR158" s="232"/>
      <c r="AS158" s="232"/>
      <c r="AT158" s="233"/>
      <c r="AU158" s="232"/>
      <c r="AV158" s="235"/>
      <c r="AW158" s="233"/>
      <c r="AX158" s="232"/>
      <c r="AY158" s="232"/>
      <c r="AZ158" s="235"/>
      <c r="BA158" s="233"/>
      <c r="BB158" s="233"/>
      <c r="BC158" s="235"/>
    </row>
    <row r="159">
      <c r="A159" s="206"/>
      <c r="B159" s="236" t="s">
        <v>263</v>
      </c>
      <c r="C159" s="237">
        <f t="shared" ref="C159:BC159" si="25">SUM(C147:C158)</f>
        <v>0</v>
      </c>
      <c r="D159" s="238">
        <f t="shared" si="25"/>
        <v>0</v>
      </c>
      <c r="E159" s="238">
        <f t="shared" si="25"/>
        <v>0</v>
      </c>
      <c r="F159" s="238">
        <f t="shared" si="25"/>
        <v>0</v>
      </c>
      <c r="G159" s="238">
        <f t="shared" si="25"/>
        <v>0</v>
      </c>
      <c r="H159" s="238">
        <f t="shared" si="25"/>
        <v>0</v>
      </c>
      <c r="I159" s="238">
        <f t="shared" si="25"/>
        <v>0</v>
      </c>
      <c r="J159" s="239">
        <f t="shared" si="25"/>
        <v>0</v>
      </c>
      <c r="K159" s="238">
        <f t="shared" si="25"/>
        <v>0</v>
      </c>
      <c r="L159" s="238">
        <f t="shared" si="25"/>
        <v>0</v>
      </c>
      <c r="M159" s="238">
        <f t="shared" si="25"/>
        <v>0</v>
      </c>
      <c r="N159" s="238">
        <f t="shared" si="25"/>
        <v>0</v>
      </c>
      <c r="O159" s="238">
        <f t="shared" si="25"/>
        <v>0</v>
      </c>
      <c r="P159" s="238">
        <f t="shared" si="25"/>
        <v>0</v>
      </c>
      <c r="Q159" s="238">
        <f t="shared" si="25"/>
        <v>0</v>
      </c>
      <c r="R159" s="238">
        <f t="shared" si="25"/>
        <v>0</v>
      </c>
      <c r="S159" s="238">
        <f t="shared" si="25"/>
        <v>0</v>
      </c>
      <c r="T159" s="238">
        <f t="shared" si="25"/>
        <v>0</v>
      </c>
      <c r="U159" s="238">
        <f t="shared" si="25"/>
        <v>0</v>
      </c>
      <c r="V159" s="238">
        <f t="shared" si="25"/>
        <v>0</v>
      </c>
      <c r="W159" s="238">
        <f t="shared" si="25"/>
        <v>0</v>
      </c>
      <c r="X159" s="238">
        <f t="shared" si="25"/>
        <v>0</v>
      </c>
      <c r="Y159" s="238">
        <f t="shared" si="25"/>
        <v>0</v>
      </c>
      <c r="Z159" s="238">
        <f t="shared" si="25"/>
        <v>0</v>
      </c>
      <c r="AA159" s="238">
        <f t="shared" si="25"/>
        <v>0</v>
      </c>
      <c r="AB159" s="238">
        <f t="shared" si="25"/>
        <v>0</v>
      </c>
      <c r="AC159" s="238">
        <f t="shared" si="25"/>
        <v>0</v>
      </c>
      <c r="AD159" s="238">
        <f t="shared" si="25"/>
        <v>0</v>
      </c>
      <c r="AE159" s="238">
        <f t="shared" si="25"/>
        <v>0</v>
      </c>
      <c r="AF159" s="238">
        <f t="shared" si="25"/>
        <v>0</v>
      </c>
      <c r="AG159" s="238">
        <f t="shared" si="25"/>
        <v>0</v>
      </c>
      <c r="AH159" s="238">
        <f t="shared" si="25"/>
        <v>0</v>
      </c>
      <c r="AI159" s="238">
        <f t="shared" si="25"/>
        <v>0</v>
      </c>
      <c r="AJ159" s="238">
        <f t="shared" si="25"/>
        <v>0</v>
      </c>
      <c r="AK159" s="238">
        <f t="shared" si="25"/>
        <v>0</v>
      </c>
      <c r="AL159" s="239">
        <f t="shared" si="25"/>
        <v>0</v>
      </c>
      <c r="AM159" s="238">
        <f t="shared" si="25"/>
        <v>0</v>
      </c>
      <c r="AN159" s="238">
        <f t="shared" si="25"/>
        <v>0</v>
      </c>
      <c r="AO159" s="238">
        <f t="shared" si="25"/>
        <v>0</v>
      </c>
      <c r="AP159" s="238">
        <f t="shared" si="25"/>
        <v>0</v>
      </c>
      <c r="AQ159" s="238">
        <f t="shared" si="25"/>
        <v>0</v>
      </c>
      <c r="AR159" s="238">
        <f t="shared" si="25"/>
        <v>0</v>
      </c>
      <c r="AS159" s="238">
        <f t="shared" si="25"/>
        <v>0</v>
      </c>
      <c r="AT159" s="238">
        <f t="shared" si="25"/>
        <v>0</v>
      </c>
      <c r="AU159" s="238">
        <f t="shared" si="25"/>
        <v>0</v>
      </c>
      <c r="AV159" s="239">
        <f t="shared" si="25"/>
        <v>0</v>
      </c>
      <c r="AW159" s="238">
        <f t="shared" si="25"/>
        <v>0</v>
      </c>
      <c r="AX159" s="238">
        <f t="shared" si="25"/>
        <v>0</v>
      </c>
      <c r="AY159" s="238">
        <f t="shared" si="25"/>
        <v>0</v>
      </c>
      <c r="AZ159" s="239">
        <f t="shared" si="25"/>
        <v>0</v>
      </c>
      <c r="BA159" s="238">
        <f t="shared" si="25"/>
        <v>0</v>
      </c>
      <c r="BB159" s="238">
        <f t="shared" si="25"/>
        <v>0</v>
      </c>
      <c r="BC159" s="239">
        <f t="shared" si="25"/>
        <v>0</v>
      </c>
    </row>
  </sheetData>
  <mergeCells count="18">
    <mergeCell ref="A1:C3"/>
    <mergeCell ref="D1:J1"/>
    <mergeCell ref="K1:AL1"/>
    <mergeCell ref="AM1:AV1"/>
    <mergeCell ref="AW1:AZ1"/>
    <mergeCell ref="BA1:BC1"/>
    <mergeCell ref="A4:A16"/>
    <mergeCell ref="A108:A120"/>
    <mergeCell ref="A121:A133"/>
    <mergeCell ref="A134:A146"/>
    <mergeCell ref="A147:A159"/>
    <mergeCell ref="A17:A29"/>
    <mergeCell ref="A30:A42"/>
    <mergeCell ref="A43:A55"/>
    <mergeCell ref="A56:A68"/>
    <mergeCell ref="A69:A81"/>
    <mergeCell ref="A82:A94"/>
    <mergeCell ref="A95:A107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5.13" defaultRowHeight="15.0"/>
  <cols>
    <col customWidth="1" min="1" max="1" width="10.25"/>
    <col customWidth="1" min="2" max="13" width="9.5"/>
  </cols>
  <sheetData>
    <row r="1" ht="33.75" customHeight="1">
      <c r="A1" s="244" t="s">
        <v>324</v>
      </c>
      <c r="C1" s="245" t="s">
        <v>263</v>
      </c>
      <c r="D1" s="246" t="s">
        <v>325</v>
      </c>
      <c r="E1" s="247" t="s">
        <v>326</v>
      </c>
      <c r="F1" s="247" t="s">
        <v>327</v>
      </c>
      <c r="G1" s="247" t="s">
        <v>240</v>
      </c>
      <c r="H1" s="247" t="s">
        <v>328</v>
      </c>
      <c r="I1" s="247" t="s">
        <v>329</v>
      </c>
      <c r="J1" s="247" t="s">
        <v>330</v>
      </c>
      <c r="K1" s="247" t="s">
        <v>331</v>
      </c>
      <c r="L1" s="247" t="s">
        <v>332</v>
      </c>
      <c r="M1" s="247" t="s">
        <v>333</v>
      </c>
    </row>
    <row r="2" ht="18.75" customHeight="1">
      <c r="A2" s="248" t="s">
        <v>311</v>
      </c>
      <c r="B2" s="174" t="s">
        <v>164</v>
      </c>
      <c r="C2" s="249">
        <f t="shared" ref="C2:C11" si="1">SUM(E2:M2)</f>
        <v>0</v>
      </c>
      <c r="D2" s="250"/>
      <c r="E2" s="251"/>
      <c r="F2" s="176"/>
      <c r="G2" s="176"/>
      <c r="H2" s="176"/>
      <c r="I2" s="176"/>
      <c r="J2" s="176"/>
      <c r="K2" s="176"/>
      <c r="L2" s="176"/>
      <c r="M2" s="176"/>
    </row>
    <row r="3" ht="18.75" customHeight="1">
      <c r="A3" s="252"/>
      <c r="B3" s="174" t="s">
        <v>155</v>
      </c>
      <c r="C3" s="249">
        <f t="shared" si="1"/>
        <v>50</v>
      </c>
      <c r="D3" s="250"/>
      <c r="E3" s="251"/>
      <c r="F3" s="176"/>
      <c r="G3" s="176"/>
      <c r="H3" s="176"/>
      <c r="I3" s="176"/>
      <c r="J3" s="176">
        <v>50.0</v>
      </c>
      <c r="K3" s="176"/>
      <c r="L3" s="176"/>
      <c r="M3" s="176"/>
    </row>
    <row r="4" ht="18.75" customHeight="1">
      <c r="A4" s="252"/>
      <c r="B4" s="174" t="s">
        <v>163</v>
      </c>
      <c r="C4" s="249">
        <f t="shared" si="1"/>
        <v>1556.5</v>
      </c>
      <c r="D4" s="250"/>
      <c r="E4" s="251">
        <v>150.0</v>
      </c>
      <c r="F4" s="176"/>
      <c r="G4" s="176">
        <v>256.5</v>
      </c>
      <c r="H4" s="176">
        <v>750.0</v>
      </c>
      <c r="I4" s="176"/>
      <c r="J4" s="176"/>
      <c r="K4" s="176">
        <v>300.0</v>
      </c>
      <c r="L4" s="176">
        <v>100.0</v>
      </c>
      <c r="M4" s="176"/>
    </row>
    <row r="5" ht="18.75" customHeight="1">
      <c r="A5" s="252"/>
      <c r="B5" s="174" t="s">
        <v>161</v>
      </c>
      <c r="C5" s="249">
        <f t="shared" si="1"/>
        <v>200</v>
      </c>
      <c r="D5" s="250"/>
      <c r="E5" s="251"/>
      <c r="F5" s="176"/>
      <c r="G5" s="176"/>
      <c r="H5" s="176">
        <v>50.0</v>
      </c>
      <c r="I5" s="176"/>
      <c r="J5" s="176">
        <v>100.0</v>
      </c>
      <c r="K5" s="176"/>
      <c r="L5" s="176">
        <v>50.0</v>
      </c>
      <c r="M5" s="176"/>
    </row>
    <row r="6" ht="18.75" customHeight="1">
      <c r="A6" s="252"/>
      <c r="B6" s="253" t="s">
        <v>159</v>
      </c>
      <c r="C6" s="254">
        <f t="shared" si="1"/>
        <v>250</v>
      </c>
      <c r="D6" s="255"/>
      <c r="E6" s="256"/>
      <c r="F6" s="257"/>
      <c r="G6" s="257"/>
      <c r="H6" s="257">
        <v>150.0</v>
      </c>
      <c r="I6" s="257"/>
      <c r="J6" s="257"/>
      <c r="K6" s="257"/>
      <c r="L6" s="257">
        <v>100.0</v>
      </c>
      <c r="M6" s="257"/>
    </row>
    <row r="7" ht="18.75" customHeight="1">
      <c r="A7" s="252"/>
      <c r="B7" s="174" t="s">
        <v>246</v>
      </c>
      <c r="C7" s="249">
        <f t="shared" si="1"/>
        <v>0</v>
      </c>
      <c r="D7" s="250"/>
      <c r="E7" s="251"/>
      <c r="F7" s="176"/>
      <c r="G7" s="176"/>
      <c r="H7" s="176"/>
      <c r="I7" s="176"/>
      <c r="J7" s="176"/>
      <c r="K7" s="176"/>
      <c r="L7" s="176"/>
      <c r="M7" s="176"/>
    </row>
    <row r="8" ht="18.75" customHeight="1">
      <c r="A8" s="252"/>
      <c r="B8" s="174" t="s">
        <v>247</v>
      </c>
      <c r="C8" s="249">
        <f t="shared" si="1"/>
        <v>0</v>
      </c>
      <c r="D8" s="250"/>
      <c r="E8" s="251"/>
      <c r="F8" s="176"/>
      <c r="G8" s="176"/>
      <c r="H8" s="176"/>
      <c r="I8" s="176"/>
      <c r="J8" s="176"/>
      <c r="K8" s="176"/>
      <c r="L8" s="176"/>
      <c r="M8" s="176"/>
    </row>
    <row r="9" ht="18.75" customHeight="1">
      <c r="A9" s="252"/>
      <c r="B9" s="174" t="s">
        <v>249</v>
      </c>
      <c r="C9" s="249">
        <f t="shared" si="1"/>
        <v>50</v>
      </c>
      <c r="D9" s="250"/>
      <c r="E9" s="251">
        <v>50.0</v>
      </c>
      <c r="F9" s="176"/>
      <c r="G9" s="176"/>
      <c r="H9" s="176"/>
      <c r="I9" s="176"/>
      <c r="J9" s="176"/>
      <c r="K9" s="176"/>
      <c r="L9" s="176"/>
      <c r="M9" s="176"/>
    </row>
    <row r="10" ht="18.75" customHeight="1">
      <c r="A10" s="252"/>
      <c r="B10" s="174" t="s">
        <v>250</v>
      </c>
      <c r="C10" s="249">
        <f t="shared" si="1"/>
        <v>0</v>
      </c>
      <c r="D10" s="250"/>
      <c r="E10" s="251"/>
      <c r="F10" s="176"/>
      <c r="G10" s="176"/>
      <c r="H10" s="176"/>
      <c r="I10" s="176"/>
      <c r="J10" s="176"/>
      <c r="K10" s="176"/>
      <c r="L10" s="176"/>
      <c r="M10" s="176"/>
    </row>
    <row r="11" ht="18.75" customHeight="1">
      <c r="A11" s="252"/>
      <c r="B11" s="174" t="s">
        <v>251</v>
      </c>
      <c r="C11" s="249">
        <f t="shared" si="1"/>
        <v>0</v>
      </c>
      <c r="D11" s="250"/>
      <c r="E11" s="251"/>
      <c r="F11" s="176"/>
      <c r="G11" s="176"/>
      <c r="H11" s="176"/>
      <c r="I11" s="176"/>
      <c r="J11" s="176"/>
      <c r="K11" s="176"/>
      <c r="L11" s="176"/>
      <c r="M11" s="176"/>
    </row>
    <row r="12" ht="18.75" customHeight="1">
      <c r="A12" s="258"/>
      <c r="B12" s="180" t="s">
        <v>144</v>
      </c>
      <c r="C12" s="259">
        <f t="shared" ref="C12:M12" si="2">SUM(C2:C11)</f>
        <v>2106.5</v>
      </c>
      <c r="D12" s="260">
        <f t="shared" si="2"/>
        <v>0</v>
      </c>
      <c r="E12" s="182">
        <f t="shared" si="2"/>
        <v>200</v>
      </c>
      <c r="F12" s="261">
        <f t="shared" si="2"/>
        <v>0</v>
      </c>
      <c r="G12" s="261">
        <f t="shared" si="2"/>
        <v>256.5</v>
      </c>
      <c r="H12" s="261">
        <f t="shared" si="2"/>
        <v>950</v>
      </c>
      <c r="I12" s="182">
        <f t="shared" si="2"/>
        <v>0</v>
      </c>
      <c r="J12" s="182">
        <f t="shared" si="2"/>
        <v>150</v>
      </c>
      <c r="K12" s="182">
        <f t="shared" si="2"/>
        <v>300</v>
      </c>
      <c r="L12" s="182">
        <f t="shared" si="2"/>
        <v>250</v>
      </c>
      <c r="M12" s="182">
        <f t="shared" si="2"/>
        <v>0</v>
      </c>
    </row>
    <row r="13" ht="18.75" customHeight="1">
      <c r="A13" s="248" t="s">
        <v>334</v>
      </c>
      <c r="B13" s="174" t="s">
        <v>164</v>
      </c>
      <c r="C13" s="249">
        <f t="shared" ref="C13:C22" si="3">SUM(E13:M13)</f>
        <v>60</v>
      </c>
      <c r="D13" s="250"/>
      <c r="E13" s="176">
        <v>60.0</v>
      </c>
      <c r="F13" s="176"/>
      <c r="G13" s="176"/>
      <c r="H13" s="176"/>
      <c r="I13" s="176"/>
      <c r="J13" s="176"/>
      <c r="K13" s="176"/>
      <c r="L13" s="176"/>
      <c r="M13" s="176"/>
    </row>
    <row r="14" ht="18.75" customHeight="1">
      <c r="A14" s="252"/>
      <c r="B14" s="174" t="s">
        <v>155</v>
      </c>
      <c r="C14" s="249">
        <f t="shared" si="3"/>
        <v>100</v>
      </c>
      <c r="D14" s="250"/>
      <c r="E14" s="176">
        <v>50.0</v>
      </c>
      <c r="F14" s="176"/>
      <c r="G14" s="176"/>
      <c r="H14" s="176">
        <v>50.0</v>
      </c>
      <c r="I14" s="176"/>
      <c r="J14" s="176"/>
      <c r="K14" s="176"/>
      <c r="L14" s="176"/>
      <c r="M14" s="176"/>
    </row>
    <row r="15" ht="18.75" customHeight="1">
      <c r="A15" s="252"/>
      <c r="B15" s="174" t="s">
        <v>163</v>
      </c>
      <c r="C15" s="249">
        <f t="shared" si="3"/>
        <v>450</v>
      </c>
      <c r="D15" s="250"/>
      <c r="E15" s="176"/>
      <c r="F15" s="176"/>
      <c r="G15" s="176"/>
      <c r="H15" s="176">
        <v>400.0</v>
      </c>
      <c r="I15" s="176"/>
      <c r="J15" s="176">
        <v>50.0</v>
      </c>
      <c r="K15" s="176"/>
      <c r="L15" s="176"/>
      <c r="M15" s="176"/>
    </row>
    <row r="16" ht="18.75" customHeight="1">
      <c r="A16" s="252"/>
      <c r="B16" s="174" t="s">
        <v>161</v>
      </c>
      <c r="C16" s="249">
        <f t="shared" si="3"/>
        <v>600</v>
      </c>
      <c r="D16" s="250"/>
      <c r="E16" s="176">
        <v>50.0</v>
      </c>
      <c r="F16" s="176">
        <v>200.0</v>
      </c>
      <c r="G16" s="176"/>
      <c r="H16" s="176">
        <v>250.0</v>
      </c>
      <c r="I16" s="176"/>
      <c r="J16" s="176"/>
      <c r="K16" s="176"/>
      <c r="L16" s="176">
        <v>100.0</v>
      </c>
      <c r="M16" s="176"/>
    </row>
    <row r="17" ht="18.75" customHeight="1">
      <c r="A17" s="252"/>
      <c r="B17" s="253" t="s">
        <v>159</v>
      </c>
      <c r="C17" s="254">
        <f t="shared" si="3"/>
        <v>50</v>
      </c>
      <c r="D17" s="255"/>
      <c r="E17" s="257"/>
      <c r="F17" s="257"/>
      <c r="G17" s="257"/>
      <c r="H17" s="257"/>
      <c r="I17" s="257"/>
      <c r="J17" s="257">
        <v>50.0</v>
      </c>
      <c r="K17" s="257"/>
      <c r="L17" s="257"/>
      <c r="M17" s="257"/>
    </row>
    <row r="18" ht="18.75" customHeight="1">
      <c r="A18" s="252"/>
      <c r="B18" s="174" t="s">
        <v>246</v>
      </c>
      <c r="C18" s="249">
        <f t="shared" si="3"/>
        <v>50</v>
      </c>
      <c r="D18" s="250"/>
      <c r="E18" s="176">
        <v>50.0</v>
      </c>
      <c r="F18" s="176"/>
      <c r="G18" s="176"/>
      <c r="H18" s="176"/>
      <c r="I18" s="176"/>
      <c r="J18" s="176"/>
      <c r="K18" s="176"/>
      <c r="L18" s="176"/>
      <c r="M18" s="176"/>
    </row>
    <row r="19" ht="18.75" customHeight="1">
      <c r="A19" s="252"/>
      <c r="B19" s="174" t="s">
        <v>247</v>
      </c>
      <c r="C19" s="249">
        <f t="shared" si="3"/>
        <v>0</v>
      </c>
      <c r="D19" s="250"/>
      <c r="E19" s="176"/>
      <c r="F19" s="176"/>
      <c r="G19" s="176"/>
      <c r="H19" s="176"/>
      <c r="I19" s="176"/>
      <c r="J19" s="176"/>
      <c r="K19" s="176"/>
      <c r="L19" s="176"/>
      <c r="M19" s="176"/>
    </row>
    <row r="20" ht="18.75" customHeight="1">
      <c r="A20" s="252"/>
      <c r="B20" s="174" t="s">
        <v>249</v>
      </c>
      <c r="C20" s="249">
        <f t="shared" si="3"/>
        <v>50</v>
      </c>
      <c r="D20" s="250"/>
      <c r="E20" s="176">
        <v>50.0</v>
      </c>
      <c r="F20" s="176"/>
      <c r="G20" s="176"/>
      <c r="H20" s="176"/>
      <c r="I20" s="176"/>
      <c r="J20" s="176"/>
      <c r="K20" s="176"/>
      <c r="L20" s="176"/>
      <c r="M20" s="176"/>
    </row>
    <row r="21" ht="18.75" customHeight="1">
      <c r="A21" s="252"/>
      <c r="B21" s="174" t="s">
        <v>250</v>
      </c>
      <c r="C21" s="249">
        <f t="shared" si="3"/>
        <v>0</v>
      </c>
      <c r="D21" s="250"/>
      <c r="E21" s="176"/>
      <c r="F21" s="176"/>
      <c r="G21" s="176"/>
      <c r="H21" s="176"/>
      <c r="I21" s="176"/>
      <c r="J21" s="176"/>
      <c r="K21" s="176"/>
      <c r="L21" s="176"/>
      <c r="M21" s="176"/>
    </row>
    <row r="22" ht="18.75" customHeight="1">
      <c r="A22" s="252"/>
      <c r="B22" s="174" t="s">
        <v>251</v>
      </c>
      <c r="C22" s="249">
        <f t="shared" si="3"/>
        <v>0</v>
      </c>
      <c r="D22" s="250"/>
      <c r="E22" s="176"/>
      <c r="F22" s="176"/>
      <c r="G22" s="176"/>
      <c r="H22" s="176"/>
      <c r="I22" s="176"/>
      <c r="J22" s="176"/>
      <c r="K22" s="176"/>
      <c r="L22" s="176"/>
      <c r="M22" s="176"/>
    </row>
    <row r="23" ht="18.75" customHeight="1">
      <c r="A23" s="258"/>
      <c r="B23" s="180" t="s">
        <v>144</v>
      </c>
      <c r="C23" s="259">
        <f t="shared" ref="C23:M23" si="4">SUM(C13:C22)</f>
        <v>1360</v>
      </c>
      <c r="D23" s="260">
        <f t="shared" si="4"/>
        <v>0</v>
      </c>
      <c r="E23" s="182">
        <f t="shared" si="4"/>
        <v>260</v>
      </c>
      <c r="F23" s="261">
        <f t="shared" si="4"/>
        <v>200</v>
      </c>
      <c r="G23" s="261">
        <f t="shared" si="4"/>
        <v>0</v>
      </c>
      <c r="H23" s="182">
        <f t="shared" si="4"/>
        <v>700</v>
      </c>
      <c r="I23" s="182">
        <f t="shared" si="4"/>
        <v>0</v>
      </c>
      <c r="J23" s="182">
        <f t="shared" si="4"/>
        <v>100</v>
      </c>
      <c r="K23" s="182">
        <f t="shared" si="4"/>
        <v>0</v>
      </c>
      <c r="L23" s="182">
        <f t="shared" si="4"/>
        <v>100</v>
      </c>
      <c r="M23" s="182">
        <f t="shared" si="4"/>
        <v>0</v>
      </c>
    </row>
    <row r="24" ht="18.75" customHeight="1">
      <c r="A24" s="248" t="s">
        <v>314</v>
      </c>
      <c r="B24" s="174" t="s">
        <v>164</v>
      </c>
      <c r="C24" s="249">
        <f t="shared" ref="C24:C33" si="5">SUM(E24:M24)</f>
        <v>100</v>
      </c>
      <c r="D24" s="250"/>
      <c r="E24" s="176"/>
      <c r="F24" s="176"/>
      <c r="G24" s="176"/>
      <c r="H24" s="176">
        <v>50.0</v>
      </c>
      <c r="I24" s="176"/>
      <c r="J24" s="176"/>
      <c r="K24" s="176"/>
      <c r="L24" s="176">
        <v>50.0</v>
      </c>
      <c r="M24" s="176"/>
    </row>
    <row r="25" ht="18.75" customHeight="1">
      <c r="A25" s="252"/>
      <c r="B25" s="174" t="s">
        <v>155</v>
      </c>
      <c r="C25" s="249">
        <f t="shared" si="5"/>
        <v>100</v>
      </c>
      <c r="D25" s="250"/>
      <c r="E25" s="176">
        <v>50.0</v>
      </c>
      <c r="F25" s="176"/>
      <c r="G25" s="176"/>
      <c r="H25" s="176">
        <v>50.0</v>
      </c>
      <c r="I25" s="176"/>
      <c r="J25" s="176"/>
      <c r="K25" s="176"/>
      <c r="L25" s="176"/>
      <c r="M25" s="176"/>
    </row>
    <row r="26" ht="18.75" customHeight="1">
      <c r="A26" s="252"/>
      <c r="B26" s="174" t="s">
        <v>163</v>
      </c>
      <c r="C26" s="249">
        <f t="shared" si="5"/>
        <v>230</v>
      </c>
      <c r="D26" s="250"/>
      <c r="E26" s="176">
        <v>180.0</v>
      </c>
      <c r="F26" s="176"/>
      <c r="G26" s="176"/>
      <c r="H26" s="176" t="s">
        <v>335</v>
      </c>
      <c r="I26" s="176"/>
      <c r="J26" s="176">
        <v>50.0</v>
      </c>
      <c r="K26" s="176"/>
      <c r="L26" s="176"/>
      <c r="M26" s="176"/>
    </row>
    <row r="27" ht="18.75" customHeight="1">
      <c r="A27" s="252"/>
      <c r="B27" s="174" t="s">
        <v>161</v>
      </c>
      <c r="C27" s="249">
        <f t="shared" si="5"/>
        <v>180</v>
      </c>
      <c r="D27" s="250"/>
      <c r="E27" s="176">
        <v>30.0</v>
      </c>
      <c r="F27" s="176"/>
      <c r="G27" s="176"/>
      <c r="H27" s="176">
        <v>100.0</v>
      </c>
      <c r="I27" s="176"/>
      <c r="J27" s="176">
        <v>50.0</v>
      </c>
      <c r="K27" s="176"/>
      <c r="L27" s="176"/>
      <c r="M27" s="176"/>
    </row>
    <row r="28" ht="18.75" customHeight="1">
      <c r="A28" s="252"/>
      <c r="B28" s="253" t="s">
        <v>159</v>
      </c>
      <c r="C28" s="254">
        <f t="shared" si="5"/>
        <v>0</v>
      </c>
      <c r="D28" s="255"/>
      <c r="E28" s="257"/>
      <c r="F28" s="257"/>
      <c r="G28" s="257"/>
      <c r="H28" s="257"/>
      <c r="I28" s="257"/>
      <c r="J28" s="257"/>
      <c r="K28" s="257"/>
      <c r="L28" s="257"/>
      <c r="M28" s="257"/>
    </row>
    <row r="29" ht="18.75" customHeight="1">
      <c r="A29" s="252"/>
      <c r="B29" s="174" t="s">
        <v>246</v>
      </c>
      <c r="C29" s="249">
        <f t="shared" si="5"/>
        <v>0</v>
      </c>
      <c r="D29" s="250"/>
      <c r="E29" s="176" t="s">
        <v>335</v>
      </c>
      <c r="F29" s="176"/>
      <c r="G29" s="176"/>
      <c r="H29" s="176"/>
      <c r="I29" s="176"/>
      <c r="J29" s="176"/>
      <c r="K29" s="176"/>
      <c r="L29" s="176"/>
      <c r="M29" s="176"/>
    </row>
    <row r="30" ht="18.75" customHeight="1">
      <c r="A30" s="252"/>
      <c r="B30" s="174" t="s">
        <v>247</v>
      </c>
      <c r="C30" s="249">
        <f t="shared" si="5"/>
        <v>0</v>
      </c>
      <c r="D30" s="250"/>
      <c r="E30" s="176"/>
      <c r="F30" s="176"/>
      <c r="G30" s="176"/>
      <c r="H30" s="176"/>
      <c r="I30" s="176"/>
      <c r="J30" s="176"/>
      <c r="K30" s="176"/>
      <c r="L30" s="176"/>
      <c r="M30" s="176"/>
    </row>
    <row r="31" ht="18.75" customHeight="1">
      <c r="A31" s="252"/>
      <c r="B31" s="174" t="s">
        <v>249</v>
      </c>
      <c r="C31" s="249">
        <f t="shared" si="5"/>
        <v>0</v>
      </c>
      <c r="D31" s="250"/>
      <c r="E31" s="176"/>
      <c r="F31" s="176"/>
      <c r="G31" s="176"/>
      <c r="H31" s="176"/>
      <c r="I31" s="176"/>
      <c r="J31" s="176"/>
      <c r="K31" s="176"/>
      <c r="L31" s="176"/>
      <c r="M31" s="176"/>
    </row>
    <row r="32" ht="18.75" customHeight="1">
      <c r="A32" s="252"/>
      <c r="B32" s="174" t="s">
        <v>250</v>
      </c>
      <c r="C32" s="249">
        <f t="shared" si="5"/>
        <v>50</v>
      </c>
      <c r="D32" s="250"/>
      <c r="E32" s="176">
        <v>50.0</v>
      </c>
      <c r="F32" s="176"/>
      <c r="G32" s="176"/>
      <c r="H32" s="176"/>
      <c r="I32" s="176"/>
      <c r="J32" s="176"/>
      <c r="K32" s="176"/>
      <c r="L32" s="176"/>
      <c r="M32" s="176"/>
    </row>
    <row r="33" ht="18.75" customHeight="1">
      <c r="A33" s="252"/>
      <c r="B33" s="174" t="s">
        <v>251</v>
      </c>
      <c r="C33" s="249">
        <f t="shared" si="5"/>
        <v>0</v>
      </c>
      <c r="D33" s="250"/>
      <c r="E33" s="176"/>
      <c r="F33" s="176"/>
      <c r="G33" s="176"/>
      <c r="H33" s="176"/>
      <c r="I33" s="176"/>
      <c r="J33" s="176"/>
      <c r="K33" s="176"/>
      <c r="L33" s="176"/>
      <c r="M33" s="176"/>
    </row>
    <row r="34" ht="18.75" customHeight="1">
      <c r="A34" s="258"/>
      <c r="B34" s="180" t="s">
        <v>144</v>
      </c>
      <c r="C34" s="259">
        <f t="shared" ref="C34:M34" si="6">SUM(C24:C33)</f>
        <v>660</v>
      </c>
      <c r="D34" s="260">
        <f t="shared" si="6"/>
        <v>0</v>
      </c>
      <c r="E34" s="182">
        <f t="shared" si="6"/>
        <v>310</v>
      </c>
      <c r="F34" s="261">
        <f t="shared" si="6"/>
        <v>0</v>
      </c>
      <c r="G34" s="261">
        <f t="shared" si="6"/>
        <v>0</v>
      </c>
      <c r="H34" s="261">
        <f t="shared" si="6"/>
        <v>200</v>
      </c>
      <c r="I34" s="182">
        <f t="shared" si="6"/>
        <v>0</v>
      </c>
      <c r="J34" s="182">
        <f t="shared" si="6"/>
        <v>100</v>
      </c>
      <c r="K34" s="182">
        <f t="shared" si="6"/>
        <v>0</v>
      </c>
      <c r="L34" s="182">
        <f t="shared" si="6"/>
        <v>50</v>
      </c>
      <c r="M34" s="182">
        <f t="shared" si="6"/>
        <v>0</v>
      </c>
    </row>
    <row r="35" ht="18.75" customHeight="1">
      <c r="A35" s="248" t="s">
        <v>315</v>
      </c>
      <c r="B35" s="174" t="s">
        <v>164</v>
      </c>
      <c r="C35" s="249">
        <f t="shared" ref="C35:C44" si="7">SUM(E35:M35)</f>
        <v>150</v>
      </c>
      <c r="D35" s="250"/>
      <c r="E35" s="176"/>
      <c r="F35" s="176"/>
      <c r="G35" s="176"/>
      <c r="H35" s="176">
        <v>150.0</v>
      </c>
      <c r="I35" s="176"/>
      <c r="J35" s="176"/>
      <c r="K35" s="176"/>
      <c r="L35" s="176"/>
      <c r="M35" s="176"/>
    </row>
    <row r="36" ht="18.75" customHeight="1">
      <c r="A36" s="252"/>
      <c r="B36" s="174" t="s">
        <v>155</v>
      </c>
      <c r="C36" s="249">
        <f t="shared" si="7"/>
        <v>30</v>
      </c>
      <c r="D36" s="250"/>
      <c r="E36" s="176"/>
      <c r="F36" s="176"/>
      <c r="G36" s="176"/>
      <c r="H36" s="176"/>
      <c r="I36" s="176"/>
      <c r="J36" s="176">
        <v>30.0</v>
      </c>
      <c r="K36" s="176"/>
      <c r="L36" s="176"/>
      <c r="M36" s="176"/>
    </row>
    <row r="37" ht="18.75" customHeight="1">
      <c r="A37" s="252"/>
      <c r="B37" s="174" t="s">
        <v>163</v>
      </c>
      <c r="C37" s="249">
        <f t="shared" si="7"/>
        <v>50</v>
      </c>
      <c r="D37" s="250"/>
      <c r="E37" s="176"/>
      <c r="F37" s="176"/>
      <c r="G37" s="176"/>
      <c r="H37" s="176"/>
      <c r="I37" s="176"/>
      <c r="J37" s="176">
        <v>50.0</v>
      </c>
      <c r="K37" s="176"/>
      <c r="L37" s="176"/>
      <c r="M37" s="176"/>
    </row>
    <row r="38" ht="18.75" customHeight="1">
      <c r="A38" s="252"/>
      <c r="B38" s="174" t="s">
        <v>161</v>
      </c>
      <c r="C38" s="249">
        <f t="shared" si="7"/>
        <v>0</v>
      </c>
      <c r="D38" s="250"/>
      <c r="E38" s="176"/>
      <c r="F38" s="176"/>
      <c r="G38" s="176"/>
      <c r="H38" s="176"/>
      <c r="I38" s="176"/>
      <c r="J38" s="176"/>
      <c r="K38" s="176"/>
      <c r="L38" s="176"/>
      <c r="M38" s="176"/>
    </row>
    <row r="39" ht="18.75" customHeight="1">
      <c r="A39" s="252"/>
      <c r="B39" s="253" t="s">
        <v>159</v>
      </c>
      <c r="C39" s="254">
        <f t="shared" si="7"/>
        <v>0</v>
      </c>
      <c r="D39" s="255"/>
      <c r="E39" s="257"/>
      <c r="F39" s="257"/>
      <c r="G39" s="257"/>
      <c r="H39" s="257"/>
      <c r="I39" s="257"/>
      <c r="J39" s="257"/>
      <c r="K39" s="257"/>
      <c r="L39" s="257"/>
      <c r="M39" s="257"/>
    </row>
    <row r="40" ht="18.75" customHeight="1">
      <c r="A40" s="252"/>
      <c r="B40" s="174" t="s">
        <v>246</v>
      </c>
      <c r="C40" s="249">
        <f t="shared" si="7"/>
        <v>0</v>
      </c>
      <c r="D40" s="250"/>
      <c r="E40" s="176"/>
      <c r="F40" s="176"/>
      <c r="G40" s="176"/>
      <c r="H40" s="176"/>
      <c r="I40" s="176"/>
      <c r="J40" s="176"/>
      <c r="K40" s="176"/>
      <c r="L40" s="176"/>
      <c r="M40" s="176"/>
    </row>
    <row r="41" ht="18.75" customHeight="1">
      <c r="A41" s="252"/>
      <c r="B41" s="174" t="s">
        <v>247</v>
      </c>
      <c r="C41" s="249">
        <f t="shared" si="7"/>
        <v>100</v>
      </c>
      <c r="D41" s="250"/>
      <c r="E41" s="176">
        <v>100.0</v>
      </c>
      <c r="F41" s="176"/>
      <c r="G41" s="176"/>
      <c r="H41" s="176"/>
      <c r="I41" s="176"/>
      <c r="J41" s="176"/>
      <c r="K41" s="176"/>
      <c r="L41" s="176"/>
      <c r="M41" s="176"/>
    </row>
    <row r="42" ht="18.75" customHeight="1">
      <c r="A42" s="252"/>
      <c r="B42" s="174" t="s">
        <v>249</v>
      </c>
      <c r="C42" s="249">
        <f t="shared" si="7"/>
        <v>0</v>
      </c>
      <c r="D42" s="250"/>
      <c r="E42" s="176"/>
      <c r="F42" s="176"/>
      <c r="G42" s="176"/>
      <c r="H42" s="176"/>
      <c r="I42" s="176"/>
      <c r="J42" s="176"/>
      <c r="K42" s="176"/>
      <c r="L42" s="176"/>
      <c r="M42" s="176"/>
    </row>
    <row r="43" ht="18.75" customHeight="1">
      <c r="A43" s="252"/>
      <c r="B43" s="174" t="s">
        <v>250</v>
      </c>
      <c r="C43" s="249">
        <f t="shared" si="7"/>
        <v>100</v>
      </c>
      <c r="D43" s="250"/>
      <c r="E43" s="176">
        <v>100.0</v>
      </c>
      <c r="F43" s="176"/>
      <c r="G43" s="176"/>
      <c r="H43" s="176"/>
      <c r="I43" s="176"/>
      <c r="J43" s="176"/>
      <c r="K43" s="176"/>
      <c r="L43" s="176"/>
      <c r="M43" s="176"/>
    </row>
    <row r="44" ht="18.75" customHeight="1">
      <c r="A44" s="252"/>
      <c r="B44" s="174" t="s">
        <v>251</v>
      </c>
      <c r="C44" s="249">
        <f t="shared" si="7"/>
        <v>0</v>
      </c>
      <c r="D44" s="250"/>
      <c r="E44" s="176"/>
      <c r="F44" s="176"/>
      <c r="G44" s="176"/>
      <c r="H44" s="176"/>
      <c r="I44" s="176"/>
      <c r="J44" s="176"/>
      <c r="K44" s="176"/>
      <c r="L44" s="176"/>
      <c r="M44" s="176"/>
    </row>
    <row r="45" ht="18.75" customHeight="1">
      <c r="A45" s="258"/>
      <c r="B45" s="180" t="s">
        <v>144</v>
      </c>
      <c r="C45" s="259">
        <f t="shared" ref="C45:M45" si="8">SUM(C35:C44)</f>
        <v>430</v>
      </c>
      <c r="D45" s="260">
        <f t="shared" si="8"/>
        <v>0</v>
      </c>
      <c r="E45" s="182">
        <f t="shared" si="8"/>
        <v>200</v>
      </c>
      <c r="F45" s="261">
        <f t="shared" si="8"/>
        <v>0</v>
      </c>
      <c r="G45" s="261">
        <f t="shared" si="8"/>
        <v>0</v>
      </c>
      <c r="H45" s="261">
        <f t="shared" si="8"/>
        <v>150</v>
      </c>
      <c r="I45" s="182">
        <f t="shared" si="8"/>
        <v>0</v>
      </c>
      <c r="J45" s="182">
        <f t="shared" si="8"/>
        <v>80</v>
      </c>
      <c r="K45" s="182">
        <f t="shared" si="8"/>
        <v>0</v>
      </c>
      <c r="L45" s="182">
        <f t="shared" si="8"/>
        <v>0</v>
      </c>
      <c r="M45" s="182">
        <f t="shared" si="8"/>
        <v>0</v>
      </c>
    </row>
    <row r="46" ht="18.75" customHeight="1">
      <c r="A46" s="248" t="s">
        <v>316</v>
      </c>
      <c r="B46" s="174" t="s">
        <v>164</v>
      </c>
      <c r="C46" s="249">
        <f t="shared" ref="C46:C55" si="9">SUM(E46:M46)</f>
        <v>236.65</v>
      </c>
      <c r="D46" s="250"/>
      <c r="E46" s="176">
        <v>100.0</v>
      </c>
      <c r="F46" s="176"/>
      <c r="G46" s="176"/>
      <c r="H46" s="176"/>
      <c r="I46" s="176">
        <v>106.65</v>
      </c>
      <c r="J46" s="176">
        <v>30.0</v>
      </c>
      <c r="K46" s="176"/>
      <c r="L46" s="176"/>
      <c r="M46" s="176"/>
    </row>
    <row r="47" ht="18.75" customHeight="1">
      <c r="A47" s="252"/>
      <c r="B47" s="174" t="s">
        <v>155</v>
      </c>
      <c r="C47" s="249">
        <f t="shared" si="9"/>
        <v>0</v>
      </c>
      <c r="D47" s="250"/>
      <c r="E47" s="176"/>
      <c r="F47" s="176"/>
      <c r="G47" s="176"/>
      <c r="H47" s="176"/>
      <c r="I47" s="176"/>
      <c r="J47" s="176"/>
      <c r="K47" s="176"/>
      <c r="L47" s="176"/>
      <c r="M47" s="176"/>
    </row>
    <row r="48" ht="18.75" customHeight="1">
      <c r="A48" s="252"/>
      <c r="B48" s="174" t="s">
        <v>163</v>
      </c>
      <c r="C48" s="249">
        <f t="shared" si="9"/>
        <v>402.7</v>
      </c>
      <c r="D48" s="250"/>
      <c r="E48" s="176">
        <v>50.0</v>
      </c>
      <c r="F48" s="176"/>
      <c r="G48" s="176"/>
      <c r="H48" s="176">
        <v>350.0</v>
      </c>
      <c r="I48" s="176">
        <v>2.7</v>
      </c>
      <c r="J48" s="176"/>
      <c r="K48" s="176"/>
      <c r="L48" s="176"/>
      <c r="M48" s="176"/>
    </row>
    <row r="49" ht="18.75" customHeight="1">
      <c r="A49" s="252"/>
      <c r="B49" s="174" t="s">
        <v>161</v>
      </c>
      <c r="C49" s="249">
        <f t="shared" si="9"/>
        <v>350</v>
      </c>
      <c r="D49" s="250"/>
      <c r="E49" s="176">
        <v>50.0</v>
      </c>
      <c r="F49" s="176"/>
      <c r="G49" s="176"/>
      <c r="H49" s="176">
        <v>250.0</v>
      </c>
      <c r="I49" s="176"/>
      <c r="J49" s="176">
        <v>50.0</v>
      </c>
      <c r="K49" s="176"/>
      <c r="L49" s="176"/>
      <c r="M49" s="176"/>
    </row>
    <row r="50" ht="18.75" customHeight="1">
      <c r="A50" s="252"/>
      <c r="B50" s="253" t="s">
        <v>159</v>
      </c>
      <c r="C50" s="254">
        <f t="shared" si="9"/>
        <v>2.7</v>
      </c>
      <c r="D50" s="255"/>
      <c r="E50" s="257"/>
      <c r="F50" s="257"/>
      <c r="G50" s="257"/>
      <c r="H50" s="257"/>
      <c r="I50" s="257">
        <v>2.7</v>
      </c>
      <c r="J50" s="257"/>
      <c r="K50" s="257"/>
      <c r="L50" s="257"/>
      <c r="M50" s="257"/>
    </row>
    <row r="51" ht="18.75" customHeight="1">
      <c r="A51" s="252"/>
      <c r="B51" s="174" t="s">
        <v>246</v>
      </c>
      <c r="C51" s="249">
        <f t="shared" si="9"/>
        <v>0</v>
      </c>
      <c r="D51" s="250"/>
      <c r="E51" s="176"/>
      <c r="F51" s="176"/>
      <c r="G51" s="176"/>
      <c r="H51" s="176"/>
      <c r="I51" s="176"/>
      <c r="J51" s="176"/>
      <c r="K51" s="176"/>
      <c r="L51" s="176"/>
      <c r="M51" s="176"/>
    </row>
    <row r="52" ht="18.75" customHeight="1">
      <c r="A52" s="252"/>
      <c r="B52" s="174" t="s">
        <v>247</v>
      </c>
      <c r="C52" s="249">
        <f t="shared" si="9"/>
        <v>0</v>
      </c>
      <c r="D52" s="250"/>
      <c r="E52" s="176"/>
      <c r="F52" s="176"/>
      <c r="G52" s="176"/>
      <c r="H52" s="176"/>
      <c r="I52" s="176"/>
      <c r="J52" s="176"/>
      <c r="K52" s="176"/>
      <c r="L52" s="176"/>
      <c r="M52" s="176"/>
    </row>
    <row r="53" ht="18.75" customHeight="1">
      <c r="A53" s="252"/>
      <c r="B53" s="174" t="s">
        <v>249</v>
      </c>
      <c r="C53" s="249">
        <f t="shared" si="9"/>
        <v>0</v>
      </c>
      <c r="D53" s="250"/>
      <c r="E53" s="176"/>
      <c r="F53" s="176"/>
      <c r="G53" s="176"/>
      <c r="H53" s="176"/>
      <c r="I53" s="176"/>
      <c r="J53" s="176"/>
      <c r="K53" s="176"/>
      <c r="L53" s="176"/>
      <c r="M53" s="176"/>
    </row>
    <row r="54" ht="18.75" customHeight="1">
      <c r="A54" s="252"/>
      <c r="B54" s="174" t="s">
        <v>250</v>
      </c>
      <c r="C54" s="249">
        <f t="shared" si="9"/>
        <v>0</v>
      </c>
      <c r="D54" s="250"/>
      <c r="E54" s="176"/>
      <c r="F54" s="176"/>
      <c r="G54" s="176"/>
      <c r="H54" s="176"/>
      <c r="I54" s="176"/>
      <c r="J54" s="176"/>
      <c r="K54" s="176"/>
      <c r="L54" s="176"/>
      <c r="M54" s="176"/>
    </row>
    <row r="55" ht="18.75" customHeight="1">
      <c r="A55" s="252"/>
      <c r="B55" s="174" t="s">
        <v>251</v>
      </c>
      <c r="C55" s="249">
        <f t="shared" si="9"/>
        <v>0</v>
      </c>
      <c r="D55" s="250"/>
      <c r="E55" s="176"/>
      <c r="F55" s="176"/>
      <c r="G55" s="176"/>
      <c r="H55" s="176"/>
      <c r="I55" s="176"/>
      <c r="J55" s="176"/>
      <c r="K55" s="176"/>
      <c r="L55" s="176"/>
      <c r="M55" s="176"/>
    </row>
    <row r="56" ht="18.75" customHeight="1">
      <c r="A56" s="258"/>
      <c r="B56" s="180" t="s">
        <v>144</v>
      </c>
      <c r="C56" s="259">
        <f t="shared" ref="C56:M56" si="10">SUM(C46:C55)</f>
        <v>992.05</v>
      </c>
      <c r="D56" s="260">
        <f t="shared" si="10"/>
        <v>0</v>
      </c>
      <c r="E56" s="182">
        <f t="shared" si="10"/>
        <v>200</v>
      </c>
      <c r="F56" s="261">
        <f t="shared" si="10"/>
        <v>0</v>
      </c>
      <c r="G56" s="261">
        <f t="shared" si="10"/>
        <v>0</v>
      </c>
      <c r="H56" s="261">
        <f t="shared" si="10"/>
        <v>600</v>
      </c>
      <c r="I56" s="182">
        <f t="shared" si="10"/>
        <v>112.05</v>
      </c>
      <c r="J56" s="182">
        <f t="shared" si="10"/>
        <v>80</v>
      </c>
      <c r="K56" s="182">
        <f t="shared" si="10"/>
        <v>0</v>
      </c>
      <c r="L56" s="182">
        <f t="shared" si="10"/>
        <v>0</v>
      </c>
      <c r="M56" s="182">
        <f t="shared" si="10"/>
        <v>0</v>
      </c>
    </row>
    <row r="57" ht="18.75" customHeight="1">
      <c r="A57" s="248" t="s">
        <v>317</v>
      </c>
      <c r="B57" s="174" t="s">
        <v>164</v>
      </c>
      <c r="C57" s="249">
        <f t="shared" ref="C57:C66" si="11">SUM(E57:M57)</f>
        <v>2.7</v>
      </c>
      <c r="D57" s="250"/>
      <c r="E57" s="176"/>
      <c r="F57" s="176"/>
      <c r="G57" s="176"/>
      <c r="H57" s="176"/>
      <c r="I57" s="176">
        <v>2.7</v>
      </c>
      <c r="J57" s="176"/>
      <c r="K57" s="176"/>
      <c r="L57" s="176"/>
      <c r="M57" s="176"/>
    </row>
    <row r="58" ht="18.75" customHeight="1">
      <c r="A58" s="252"/>
      <c r="B58" s="174" t="s">
        <v>155</v>
      </c>
      <c r="C58" s="249">
        <f t="shared" si="11"/>
        <v>362.7</v>
      </c>
      <c r="D58" s="250"/>
      <c r="E58" s="176">
        <v>310.0</v>
      </c>
      <c r="F58" s="176"/>
      <c r="G58" s="176"/>
      <c r="H58" s="176">
        <v>50.0</v>
      </c>
      <c r="I58" s="176">
        <v>2.7</v>
      </c>
      <c r="J58" s="176"/>
      <c r="K58" s="176"/>
      <c r="L58" s="176"/>
      <c r="M58" s="176"/>
    </row>
    <row r="59" ht="18.75" customHeight="1">
      <c r="A59" s="252"/>
      <c r="B59" s="174" t="s">
        <v>163</v>
      </c>
      <c r="C59" s="249">
        <f t="shared" si="11"/>
        <v>700</v>
      </c>
      <c r="D59" s="250"/>
      <c r="E59" s="176"/>
      <c r="F59" s="176"/>
      <c r="G59" s="176"/>
      <c r="H59" s="176">
        <v>550.0</v>
      </c>
      <c r="I59" s="176"/>
      <c r="J59" s="176">
        <v>150.0</v>
      </c>
      <c r="K59" s="176"/>
      <c r="L59" s="176"/>
      <c r="M59" s="176"/>
    </row>
    <row r="60" ht="18.75" customHeight="1">
      <c r="A60" s="252"/>
      <c r="B60" s="174" t="s">
        <v>161</v>
      </c>
      <c r="C60" s="249">
        <f t="shared" si="11"/>
        <v>250</v>
      </c>
      <c r="D60" s="250"/>
      <c r="E60" s="176">
        <v>250.0</v>
      </c>
      <c r="F60" s="176"/>
      <c r="G60" s="176"/>
      <c r="H60" s="176"/>
      <c r="I60" s="176"/>
      <c r="J60" s="176"/>
      <c r="K60" s="176"/>
      <c r="L60" s="176"/>
      <c r="M60" s="176"/>
    </row>
    <row r="61" ht="18.75" customHeight="1">
      <c r="A61" s="252"/>
      <c r="B61" s="253" t="s">
        <v>159</v>
      </c>
      <c r="C61" s="254">
        <f t="shared" si="11"/>
        <v>0</v>
      </c>
      <c r="D61" s="255"/>
      <c r="E61" s="257"/>
      <c r="F61" s="257"/>
      <c r="G61" s="257"/>
      <c r="H61" s="257"/>
      <c r="I61" s="257"/>
      <c r="J61" s="257"/>
      <c r="K61" s="257"/>
      <c r="L61" s="257"/>
      <c r="M61" s="257"/>
    </row>
    <row r="62" ht="18.75" customHeight="1">
      <c r="A62" s="252"/>
      <c r="B62" s="174" t="s">
        <v>246</v>
      </c>
      <c r="C62" s="249">
        <f t="shared" si="11"/>
        <v>200</v>
      </c>
      <c r="D62" s="250"/>
      <c r="E62" s="176">
        <v>200.0</v>
      </c>
      <c r="F62" s="176"/>
      <c r="G62" s="176"/>
      <c r="H62" s="176"/>
      <c r="I62" s="176"/>
      <c r="J62" s="176"/>
      <c r="K62" s="176"/>
      <c r="L62" s="176"/>
      <c r="M62" s="176"/>
    </row>
    <row r="63" ht="18.75" customHeight="1">
      <c r="A63" s="252"/>
      <c r="B63" s="174" t="s">
        <v>247</v>
      </c>
      <c r="C63" s="249">
        <f t="shared" si="11"/>
        <v>0</v>
      </c>
      <c r="D63" s="250"/>
      <c r="E63" s="176"/>
      <c r="F63" s="176"/>
      <c r="G63" s="176"/>
      <c r="H63" s="176"/>
      <c r="I63" s="176"/>
      <c r="J63" s="176"/>
      <c r="K63" s="176"/>
      <c r="L63" s="176"/>
      <c r="M63" s="176"/>
    </row>
    <row r="64" ht="18.75" customHeight="1">
      <c r="A64" s="252"/>
      <c r="B64" s="174" t="s">
        <v>249</v>
      </c>
      <c r="C64" s="249">
        <f t="shared" si="11"/>
        <v>0</v>
      </c>
      <c r="D64" s="250"/>
      <c r="E64" s="176"/>
      <c r="F64" s="176"/>
      <c r="G64" s="176"/>
      <c r="H64" s="176"/>
      <c r="I64" s="176"/>
      <c r="J64" s="176"/>
      <c r="K64" s="176"/>
      <c r="L64" s="176"/>
      <c r="M64" s="176"/>
    </row>
    <row r="65" ht="18.75" customHeight="1">
      <c r="A65" s="252"/>
      <c r="B65" s="174" t="s">
        <v>250</v>
      </c>
      <c r="C65" s="249">
        <f t="shared" si="11"/>
        <v>0</v>
      </c>
      <c r="D65" s="250"/>
      <c r="E65" s="176"/>
      <c r="F65" s="176"/>
      <c r="G65" s="176"/>
      <c r="H65" s="176"/>
      <c r="I65" s="176"/>
      <c r="J65" s="176"/>
      <c r="K65" s="176"/>
      <c r="L65" s="176"/>
      <c r="M65" s="176"/>
    </row>
    <row r="66" ht="18.75" customHeight="1">
      <c r="A66" s="252"/>
      <c r="B66" s="174" t="s">
        <v>251</v>
      </c>
      <c r="C66" s="249">
        <f t="shared" si="11"/>
        <v>0</v>
      </c>
      <c r="D66" s="250"/>
      <c r="E66" s="176"/>
      <c r="F66" s="176"/>
      <c r="G66" s="176"/>
      <c r="H66" s="176"/>
      <c r="I66" s="176"/>
      <c r="J66" s="176"/>
      <c r="K66" s="176"/>
      <c r="L66" s="176"/>
      <c r="M66" s="176"/>
    </row>
    <row r="67" ht="18.75" customHeight="1">
      <c r="A67" s="258"/>
      <c r="B67" s="180" t="s">
        <v>144</v>
      </c>
      <c r="C67" s="259">
        <f t="shared" ref="C67:M67" si="12">SUM(C57:C66)</f>
        <v>1515.4</v>
      </c>
      <c r="D67" s="260">
        <f t="shared" si="12"/>
        <v>0</v>
      </c>
      <c r="E67" s="182">
        <f t="shared" si="12"/>
        <v>760</v>
      </c>
      <c r="F67" s="261">
        <f t="shared" si="12"/>
        <v>0</v>
      </c>
      <c r="G67" s="261">
        <f t="shared" si="12"/>
        <v>0</v>
      </c>
      <c r="H67" s="261">
        <f t="shared" si="12"/>
        <v>600</v>
      </c>
      <c r="I67" s="182">
        <f t="shared" si="12"/>
        <v>5.4</v>
      </c>
      <c r="J67" s="182">
        <f t="shared" si="12"/>
        <v>150</v>
      </c>
      <c r="K67" s="182">
        <f t="shared" si="12"/>
        <v>0</v>
      </c>
      <c r="L67" s="182">
        <f t="shared" si="12"/>
        <v>0</v>
      </c>
      <c r="M67" s="182">
        <f t="shared" si="12"/>
        <v>0</v>
      </c>
    </row>
    <row r="68" ht="18.75" customHeight="1">
      <c r="A68" s="248" t="s">
        <v>318</v>
      </c>
      <c r="B68" s="174" t="s">
        <v>164</v>
      </c>
      <c r="C68" s="249">
        <f t="shared" ref="C68:C77" si="13">SUM(E68:M68)</f>
        <v>150</v>
      </c>
      <c r="D68" s="250"/>
      <c r="E68" s="176"/>
      <c r="F68" s="176"/>
      <c r="G68" s="176"/>
      <c r="H68" s="176">
        <v>150.0</v>
      </c>
      <c r="I68" s="176"/>
      <c r="J68" s="176"/>
      <c r="K68" s="176"/>
      <c r="L68" s="176"/>
      <c r="M68" s="176"/>
    </row>
    <row r="69" ht="18.75" customHeight="1">
      <c r="A69" s="252"/>
      <c r="B69" s="174" t="s">
        <v>155</v>
      </c>
      <c r="C69" s="249">
        <f t="shared" si="13"/>
        <v>250</v>
      </c>
      <c r="D69" s="250"/>
      <c r="E69" s="176">
        <v>150.0</v>
      </c>
      <c r="F69" s="176"/>
      <c r="G69" s="176"/>
      <c r="H69" s="176"/>
      <c r="I69" s="176"/>
      <c r="J69" s="176">
        <v>100.0</v>
      </c>
      <c r="K69" s="176"/>
      <c r="L69" s="176"/>
      <c r="M69" s="176"/>
    </row>
    <row r="70" ht="18.75" customHeight="1">
      <c r="A70" s="252"/>
      <c r="B70" s="174" t="s">
        <v>163</v>
      </c>
      <c r="C70" s="249">
        <f t="shared" si="13"/>
        <v>550</v>
      </c>
      <c r="D70" s="250"/>
      <c r="E70" s="176">
        <v>400.0</v>
      </c>
      <c r="F70" s="176"/>
      <c r="G70" s="176"/>
      <c r="H70" s="176"/>
      <c r="I70" s="176"/>
      <c r="J70" s="176">
        <v>50.0</v>
      </c>
      <c r="K70" s="176">
        <v>100.0</v>
      </c>
      <c r="L70" s="176"/>
      <c r="M70" s="176"/>
    </row>
    <row r="71" ht="18.75" customHeight="1">
      <c r="A71" s="252"/>
      <c r="B71" s="174" t="s">
        <v>161</v>
      </c>
      <c r="C71" s="249">
        <f t="shared" si="13"/>
        <v>0</v>
      </c>
      <c r="D71" s="250"/>
      <c r="E71" s="176"/>
      <c r="F71" s="176"/>
      <c r="G71" s="176"/>
      <c r="H71" s="176"/>
      <c r="I71" s="176"/>
      <c r="J71" s="176"/>
      <c r="K71" s="176"/>
      <c r="L71" s="176"/>
      <c r="M71" s="176"/>
    </row>
    <row r="72" ht="18.75" customHeight="1">
      <c r="A72" s="252"/>
      <c r="B72" s="253" t="s">
        <v>159</v>
      </c>
      <c r="C72" s="254">
        <f t="shared" si="13"/>
        <v>0</v>
      </c>
      <c r="D72" s="255"/>
      <c r="E72" s="257"/>
      <c r="F72" s="257"/>
      <c r="G72" s="257"/>
      <c r="H72" s="257"/>
      <c r="I72" s="257"/>
      <c r="J72" s="257"/>
      <c r="K72" s="257"/>
      <c r="L72" s="257"/>
      <c r="M72" s="257"/>
    </row>
    <row r="73" ht="18.75" customHeight="1">
      <c r="A73" s="252"/>
      <c r="B73" s="174" t="s">
        <v>246</v>
      </c>
      <c r="C73" s="249">
        <f t="shared" si="13"/>
        <v>0</v>
      </c>
      <c r="D73" s="250"/>
      <c r="E73" s="176"/>
      <c r="F73" s="176"/>
      <c r="G73" s="176"/>
      <c r="H73" s="176"/>
      <c r="I73" s="176"/>
      <c r="J73" s="176"/>
      <c r="K73" s="176"/>
      <c r="L73" s="176"/>
      <c r="M73" s="176"/>
    </row>
    <row r="74" ht="18.75" customHeight="1">
      <c r="A74" s="252"/>
      <c r="B74" s="174" t="s">
        <v>247</v>
      </c>
      <c r="C74" s="249">
        <f t="shared" si="13"/>
        <v>100</v>
      </c>
      <c r="D74" s="250"/>
      <c r="E74" s="176">
        <v>100.0</v>
      </c>
      <c r="F74" s="176"/>
      <c r="G74" s="176"/>
      <c r="H74" s="176"/>
      <c r="I74" s="176"/>
      <c r="J74" s="176"/>
      <c r="K74" s="176"/>
      <c r="L74" s="176"/>
      <c r="M74" s="176"/>
    </row>
    <row r="75" ht="18.75" customHeight="1">
      <c r="A75" s="252"/>
      <c r="B75" s="174" t="s">
        <v>249</v>
      </c>
      <c r="C75" s="249">
        <f t="shared" si="13"/>
        <v>0</v>
      </c>
      <c r="D75" s="250"/>
      <c r="E75" s="176"/>
      <c r="F75" s="176"/>
      <c r="G75" s="176"/>
      <c r="H75" s="176"/>
      <c r="I75" s="176"/>
      <c r="J75" s="176"/>
      <c r="K75" s="176"/>
      <c r="L75" s="176"/>
      <c r="M75" s="176"/>
    </row>
    <row r="76" ht="18.75" customHeight="1">
      <c r="A76" s="252"/>
      <c r="B76" s="174" t="s">
        <v>250</v>
      </c>
      <c r="C76" s="249">
        <f t="shared" si="13"/>
        <v>100</v>
      </c>
      <c r="D76" s="250"/>
      <c r="E76" s="176">
        <v>100.0</v>
      </c>
      <c r="F76" s="176"/>
      <c r="G76" s="176"/>
      <c r="H76" s="176"/>
      <c r="I76" s="176"/>
      <c r="J76" s="176"/>
      <c r="K76" s="176"/>
      <c r="L76" s="176"/>
      <c r="M76" s="176"/>
    </row>
    <row r="77" ht="18.75" customHeight="1">
      <c r="A77" s="252"/>
      <c r="B77" s="174" t="s">
        <v>251</v>
      </c>
      <c r="C77" s="249">
        <f t="shared" si="13"/>
        <v>0</v>
      </c>
      <c r="D77" s="250"/>
      <c r="E77" s="176"/>
      <c r="F77" s="176"/>
      <c r="G77" s="176"/>
      <c r="H77" s="176"/>
      <c r="I77" s="176"/>
      <c r="J77" s="176"/>
      <c r="K77" s="176"/>
      <c r="L77" s="176"/>
      <c r="M77" s="176"/>
    </row>
    <row r="78" ht="18.75" customHeight="1">
      <c r="A78" s="258"/>
      <c r="B78" s="180" t="s">
        <v>144</v>
      </c>
      <c r="C78" s="259">
        <f t="shared" ref="C78:M78" si="14">SUM(C68:C77)</f>
        <v>1150</v>
      </c>
      <c r="D78" s="260">
        <f t="shared" si="14"/>
        <v>0</v>
      </c>
      <c r="E78" s="182">
        <f t="shared" si="14"/>
        <v>750</v>
      </c>
      <c r="F78" s="261">
        <f t="shared" si="14"/>
        <v>0</v>
      </c>
      <c r="G78" s="261">
        <f t="shared" si="14"/>
        <v>0</v>
      </c>
      <c r="H78" s="261">
        <f t="shared" si="14"/>
        <v>150</v>
      </c>
      <c r="I78" s="182">
        <f t="shared" si="14"/>
        <v>0</v>
      </c>
      <c r="J78" s="182">
        <f t="shared" si="14"/>
        <v>150</v>
      </c>
      <c r="K78" s="182">
        <f t="shared" si="14"/>
        <v>100</v>
      </c>
      <c r="L78" s="182">
        <f t="shared" si="14"/>
        <v>0</v>
      </c>
      <c r="M78" s="182">
        <f t="shared" si="14"/>
        <v>0</v>
      </c>
    </row>
    <row r="79" ht="18.75" customHeight="1">
      <c r="A79" s="248" t="s">
        <v>319</v>
      </c>
      <c r="B79" s="174" t="s">
        <v>164</v>
      </c>
      <c r="C79" s="249">
        <f t="shared" ref="C79:C88" si="15">SUM(E79:M79)</f>
        <v>50</v>
      </c>
      <c r="D79" s="250"/>
      <c r="E79" s="176"/>
      <c r="F79" s="176"/>
      <c r="G79" s="176"/>
      <c r="H79" s="176">
        <v>50.0</v>
      </c>
      <c r="I79" s="176"/>
      <c r="J79" s="176"/>
      <c r="K79" s="176"/>
      <c r="L79" s="176"/>
      <c r="M79" s="176"/>
    </row>
    <row r="80" ht="18.75" customHeight="1">
      <c r="A80" s="252"/>
      <c r="B80" s="174" t="s">
        <v>155</v>
      </c>
      <c r="C80" s="249">
        <f t="shared" si="15"/>
        <v>0</v>
      </c>
      <c r="D80" s="250"/>
      <c r="E80" s="176"/>
      <c r="F80" s="176"/>
      <c r="G80" s="176"/>
      <c r="H80" s="176"/>
      <c r="I80" s="176"/>
      <c r="J80" s="176"/>
      <c r="K80" s="176"/>
      <c r="L80" s="176"/>
      <c r="M80" s="176"/>
    </row>
    <row r="81" ht="18.75" customHeight="1">
      <c r="A81" s="252"/>
      <c r="B81" s="174" t="s">
        <v>163</v>
      </c>
      <c r="C81" s="249">
        <f t="shared" si="15"/>
        <v>50</v>
      </c>
      <c r="D81" s="250"/>
      <c r="E81" s="176"/>
      <c r="F81" s="176"/>
      <c r="G81" s="176"/>
      <c r="H81" s="176">
        <v>50.0</v>
      </c>
      <c r="I81" s="176"/>
      <c r="J81" s="176"/>
      <c r="K81" s="176"/>
      <c r="L81" s="176"/>
      <c r="M81" s="176"/>
    </row>
    <row r="82" ht="18.75" customHeight="1">
      <c r="A82" s="252"/>
      <c r="B82" s="174" t="s">
        <v>161</v>
      </c>
      <c r="C82" s="249">
        <f t="shared" si="15"/>
        <v>0</v>
      </c>
      <c r="D82" s="250"/>
      <c r="E82" s="176"/>
      <c r="F82" s="176"/>
      <c r="G82" s="176"/>
      <c r="H82" s="176"/>
      <c r="I82" s="176"/>
      <c r="J82" s="176"/>
      <c r="K82" s="176"/>
      <c r="L82" s="176"/>
      <c r="M82" s="176"/>
    </row>
    <row r="83" ht="18.75" customHeight="1">
      <c r="A83" s="252"/>
      <c r="B83" s="253" t="s">
        <v>159</v>
      </c>
      <c r="C83" s="254">
        <f t="shared" si="15"/>
        <v>0</v>
      </c>
      <c r="D83" s="255"/>
      <c r="E83" s="257"/>
      <c r="F83" s="257"/>
      <c r="G83" s="257"/>
      <c r="H83" s="257"/>
      <c r="I83" s="257"/>
      <c r="J83" s="257"/>
      <c r="K83" s="257"/>
      <c r="L83" s="257"/>
      <c r="M83" s="257"/>
    </row>
    <row r="84" ht="18.75" customHeight="1">
      <c r="A84" s="252"/>
      <c r="B84" s="174" t="s">
        <v>246</v>
      </c>
      <c r="C84" s="249">
        <f t="shared" si="15"/>
        <v>200</v>
      </c>
      <c r="D84" s="250"/>
      <c r="E84" s="262">
        <v>200.0</v>
      </c>
      <c r="F84" s="176"/>
      <c r="G84" s="176"/>
      <c r="H84" s="176"/>
      <c r="I84" s="176"/>
      <c r="J84" s="176"/>
      <c r="K84" s="176"/>
      <c r="L84" s="176"/>
      <c r="M84" s="176"/>
    </row>
    <row r="85" ht="18.75" customHeight="1">
      <c r="A85" s="252"/>
      <c r="B85" s="174" t="s">
        <v>247</v>
      </c>
      <c r="C85" s="249">
        <f t="shared" si="15"/>
        <v>0</v>
      </c>
      <c r="D85" s="250"/>
      <c r="E85" s="176"/>
      <c r="F85" s="176"/>
      <c r="G85" s="176"/>
      <c r="H85" s="176"/>
      <c r="I85" s="176"/>
      <c r="J85" s="176"/>
      <c r="K85" s="176"/>
      <c r="L85" s="176"/>
      <c r="M85" s="176"/>
    </row>
    <row r="86" ht="18.75" customHeight="1">
      <c r="A86" s="252"/>
      <c r="B86" s="174" t="s">
        <v>249</v>
      </c>
      <c r="C86" s="249">
        <f t="shared" si="15"/>
        <v>0</v>
      </c>
      <c r="D86" s="250"/>
      <c r="E86" s="176"/>
      <c r="F86" s="176"/>
      <c r="G86" s="176"/>
      <c r="H86" s="176"/>
      <c r="I86" s="176"/>
      <c r="J86" s="176"/>
      <c r="K86" s="176"/>
      <c r="L86" s="176"/>
      <c r="M86" s="176"/>
    </row>
    <row r="87" ht="18.75" customHeight="1">
      <c r="A87" s="252"/>
      <c r="B87" s="174" t="s">
        <v>250</v>
      </c>
      <c r="C87" s="249">
        <f t="shared" si="15"/>
        <v>0</v>
      </c>
      <c r="D87" s="250"/>
      <c r="E87" s="176"/>
      <c r="F87" s="176"/>
      <c r="G87" s="176"/>
      <c r="H87" s="176"/>
      <c r="I87" s="176"/>
      <c r="J87" s="176"/>
      <c r="K87" s="176"/>
      <c r="L87" s="176"/>
      <c r="M87" s="176"/>
    </row>
    <row r="88" ht="18.75" customHeight="1">
      <c r="A88" s="252"/>
      <c r="B88" s="174" t="s">
        <v>251</v>
      </c>
      <c r="C88" s="249">
        <f t="shared" si="15"/>
        <v>0</v>
      </c>
      <c r="D88" s="250"/>
      <c r="E88" s="176"/>
      <c r="F88" s="176"/>
      <c r="G88" s="176"/>
      <c r="H88" s="176"/>
      <c r="I88" s="176"/>
      <c r="J88" s="176"/>
      <c r="K88" s="176"/>
      <c r="L88" s="176"/>
      <c r="M88" s="176"/>
    </row>
    <row r="89" ht="18.75" customHeight="1">
      <c r="A89" s="258"/>
      <c r="B89" s="180" t="s">
        <v>144</v>
      </c>
      <c r="C89" s="259">
        <f t="shared" ref="C89:M89" si="16">SUM(C79:C88)</f>
        <v>300</v>
      </c>
      <c r="D89" s="260">
        <f t="shared" si="16"/>
        <v>0</v>
      </c>
      <c r="E89" s="182">
        <f t="shared" si="16"/>
        <v>200</v>
      </c>
      <c r="F89" s="261">
        <f t="shared" si="16"/>
        <v>0</v>
      </c>
      <c r="G89" s="261">
        <f t="shared" si="16"/>
        <v>0</v>
      </c>
      <c r="H89" s="261">
        <f t="shared" si="16"/>
        <v>100</v>
      </c>
      <c r="I89" s="182">
        <f t="shared" si="16"/>
        <v>0</v>
      </c>
      <c r="J89" s="182">
        <f t="shared" si="16"/>
        <v>0</v>
      </c>
      <c r="K89" s="182">
        <f t="shared" si="16"/>
        <v>0</v>
      </c>
      <c r="L89" s="182">
        <f t="shared" si="16"/>
        <v>0</v>
      </c>
      <c r="M89" s="182">
        <f t="shared" si="16"/>
        <v>0</v>
      </c>
    </row>
    <row r="90" ht="18.75" customHeight="1">
      <c r="A90" s="248" t="s">
        <v>336</v>
      </c>
      <c r="B90" s="174" t="s">
        <v>164</v>
      </c>
      <c r="C90" s="249">
        <f t="shared" ref="C90:C99" si="17">SUM(E90:M90)</f>
        <v>100</v>
      </c>
      <c r="D90" s="250"/>
      <c r="E90" s="176">
        <v>100.0</v>
      </c>
      <c r="F90" s="176"/>
      <c r="G90" s="176"/>
      <c r="H90" s="176"/>
      <c r="I90" s="176"/>
      <c r="J90" s="176"/>
      <c r="K90" s="176"/>
      <c r="L90" s="176"/>
      <c r="M90" s="176"/>
    </row>
    <row r="91" ht="18.75" customHeight="1">
      <c r="A91" s="252"/>
      <c r="B91" s="174" t="s">
        <v>155</v>
      </c>
      <c r="C91" s="249">
        <f t="shared" si="17"/>
        <v>50</v>
      </c>
      <c r="D91" s="250"/>
      <c r="E91" s="176">
        <v>50.0</v>
      </c>
      <c r="F91" s="176"/>
      <c r="G91" s="176"/>
      <c r="H91" s="176"/>
      <c r="I91" s="176"/>
      <c r="J91" s="176"/>
      <c r="K91" s="176"/>
      <c r="L91" s="176"/>
      <c r="M91" s="176"/>
    </row>
    <row r="92" ht="18.75" customHeight="1">
      <c r="A92" s="252"/>
      <c r="B92" s="174" t="s">
        <v>163</v>
      </c>
      <c r="C92" s="249">
        <f t="shared" si="17"/>
        <v>0</v>
      </c>
      <c r="D92" s="250"/>
      <c r="E92" s="176"/>
      <c r="F92" s="176"/>
      <c r="G92" s="176"/>
      <c r="H92" s="176"/>
      <c r="I92" s="176"/>
      <c r="J92" s="176"/>
      <c r="K92" s="176"/>
      <c r="L92" s="176"/>
      <c r="M92" s="176"/>
    </row>
    <row r="93" ht="18.75" customHeight="1">
      <c r="A93" s="252"/>
      <c r="B93" s="174" t="s">
        <v>161</v>
      </c>
      <c r="C93" s="249">
        <f t="shared" si="17"/>
        <v>0</v>
      </c>
      <c r="D93" s="250"/>
      <c r="E93" s="176"/>
      <c r="F93" s="176"/>
      <c r="G93" s="176"/>
      <c r="H93" s="176"/>
      <c r="I93" s="176"/>
      <c r="J93" s="176"/>
      <c r="K93" s="176"/>
      <c r="L93" s="176"/>
      <c r="M93" s="176"/>
    </row>
    <row r="94" ht="18.75" customHeight="1">
      <c r="A94" s="252"/>
      <c r="B94" s="253" t="s">
        <v>159</v>
      </c>
      <c r="C94" s="254">
        <f t="shared" si="17"/>
        <v>0</v>
      </c>
      <c r="D94" s="255"/>
      <c r="E94" s="257"/>
      <c r="F94" s="257"/>
      <c r="G94" s="257"/>
      <c r="H94" s="257"/>
      <c r="I94" s="257"/>
      <c r="J94" s="257"/>
      <c r="K94" s="257"/>
      <c r="L94" s="257"/>
      <c r="M94" s="257"/>
    </row>
    <row r="95" ht="18.75" customHeight="1">
      <c r="A95" s="252"/>
      <c r="B95" s="174" t="s">
        <v>246</v>
      </c>
      <c r="C95" s="249">
        <f t="shared" si="17"/>
        <v>0</v>
      </c>
      <c r="D95" s="250"/>
      <c r="E95" s="176"/>
      <c r="F95" s="176"/>
      <c r="G95" s="176"/>
      <c r="H95" s="176"/>
      <c r="I95" s="176"/>
      <c r="J95" s="176"/>
      <c r="K95" s="176"/>
      <c r="L95" s="176"/>
      <c r="M95" s="176"/>
    </row>
    <row r="96" ht="18.75" customHeight="1">
      <c r="A96" s="252"/>
      <c r="B96" s="174" t="s">
        <v>247</v>
      </c>
      <c r="C96" s="249">
        <f t="shared" si="17"/>
        <v>0</v>
      </c>
      <c r="D96" s="250"/>
      <c r="E96" s="176"/>
      <c r="F96" s="176"/>
      <c r="G96" s="176"/>
      <c r="H96" s="176"/>
      <c r="I96" s="176"/>
      <c r="J96" s="176"/>
      <c r="K96" s="176"/>
      <c r="L96" s="176"/>
      <c r="M96" s="176"/>
    </row>
    <row r="97" ht="18.75" customHeight="1">
      <c r="A97" s="252"/>
      <c r="B97" s="174" t="s">
        <v>249</v>
      </c>
      <c r="C97" s="249">
        <f t="shared" si="17"/>
        <v>100</v>
      </c>
      <c r="D97" s="250"/>
      <c r="E97" s="176">
        <v>100.0</v>
      </c>
      <c r="F97" s="176"/>
      <c r="G97" s="176"/>
      <c r="H97" s="176"/>
      <c r="I97" s="176"/>
      <c r="J97" s="176"/>
      <c r="K97" s="176"/>
      <c r="L97" s="176"/>
      <c r="M97" s="176"/>
    </row>
    <row r="98" ht="18.75" customHeight="1">
      <c r="A98" s="252"/>
      <c r="B98" s="174" t="s">
        <v>250</v>
      </c>
      <c r="C98" s="249">
        <f t="shared" si="17"/>
        <v>50</v>
      </c>
      <c r="D98" s="250"/>
      <c r="E98" s="176">
        <v>50.0</v>
      </c>
      <c r="F98" s="176"/>
      <c r="G98" s="176"/>
      <c r="H98" s="176"/>
      <c r="I98" s="176"/>
      <c r="J98" s="176"/>
      <c r="K98" s="176"/>
      <c r="L98" s="176"/>
      <c r="M98" s="176"/>
    </row>
    <row r="99" ht="18.75" customHeight="1">
      <c r="A99" s="252"/>
      <c r="B99" s="174" t="s">
        <v>251</v>
      </c>
      <c r="C99" s="249">
        <f t="shared" si="17"/>
        <v>0</v>
      </c>
      <c r="D99" s="250"/>
      <c r="E99" s="176"/>
      <c r="F99" s="176"/>
      <c r="G99" s="176"/>
      <c r="H99" s="176"/>
      <c r="I99" s="176"/>
      <c r="J99" s="176"/>
      <c r="K99" s="176"/>
      <c r="L99" s="176"/>
      <c r="M99" s="176"/>
    </row>
    <row r="100" ht="18.75" customHeight="1">
      <c r="A100" s="258"/>
      <c r="B100" s="180" t="s">
        <v>144</v>
      </c>
      <c r="C100" s="259">
        <f t="shared" ref="C100:M100" si="18">SUM(C90:C99)</f>
        <v>300</v>
      </c>
      <c r="D100" s="260">
        <f t="shared" si="18"/>
        <v>0</v>
      </c>
      <c r="E100" s="182">
        <f t="shared" si="18"/>
        <v>300</v>
      </c>
      <c r="F100" s="261">
        <f t="shared" si="18"/>
        <v>0</v>
      </c>
      <c r="G100" s="261">
        <f t="shared" si="18"/>
        <v>0</v>
      </c>
      <c r="H100" s="261">
        <f t="shared" si="18"/>
        <v>0</v>
      </c>
      <c r="I100" s="182">
        <f t="shared" si="18"/>
        <v>0</v>
      </c>
      <c r="J100" s="182">
        <f t="shared" si="18"/>
        <v>0</v>
      </c>
      <c r="K100" s="182">
        <f t="shared" si="18"/>
        <v>0</v>
      </c>
      <c r="L100" s="182">
        <f t="shared" si="18"/>
        <v>0</v>
      </c>
      <c r="M100" s="182">
        <f t="shared" si="18"/>
        <v>0</v>
      </c>
    </row>
    <row r="101" ht="18.75" customHeight="1">
      <c r="A101" s="248" t="s">
        <v>321</v>
      </c>
      <c r="B101" s="174" t="s">
        <v>164</v>
      </c>
      <c r="C101" s="249">
        <f t="shared" ref="C101:C110" si="19">SUM(E101:M101)</f>
        <v>0</v>
      </c>
      <c r="D101" s="250"/>
      <c r="E101" s="176"/>
      <c r="F101" s="176"/>
      <c r="G101" s="176"/>
      <c r="H101" s="176"/>
      <c r="I101" s="176"/>
      <c r="J101" s="176"/>
      <c r="K101" s="176"/>
      <c r="L101" s="176"/>
      <c r="M101" s="176"/>
    </row>
    <row r="102" ht="18.75" customHeight="1">
      <c r="A102" s="252"/>
      <c r="B102" s="174" t="s">
        <v>155</v>
      </c>
      <c r="C102" s="249">
        <f t="shared" si="19"/>
        <v>0</v>
      </c>
      <c r="D102" s="250"/>
      <c r="E102" s="176"/>
      <c r="F102" s="176"/>
      <c r="G102" s="176"/>
      <c r="H102" s="176"/>
      <c r="I102" s="176"/>
      <c r="J102" s="176"/>
      <c r="K102" s="176"/>
      <c r="L102" s="176"/>
      <c r="M102" s="176"/>
    </row>
    <row r="103" ht="18.75" customHeight="1">
      <c r="A103" s="252"/>
      <c r="B103" s="174" t="s">
        <v>163</v>
      </c>
      <c r="C103" s="249">
        <f t="shared" si="19"/>
        <v>0</v>
      </c>
      <c r="D103" s="250"/>
      <c r="E103" s="176"/>
      <c r="F103" s="176"/>
      <c r="G103" s="176"/>
      <c r="H103" s="176"/>
      <c r="I103" s="176"/>
      <c r="J103" s="176"/>
      <c r="K103" s="176"/>
      <c r="L103" s="176"/>
      <c r="M103" s="176"/>
    </row>
    <row r="104" ht="18.75" customHeight="1">
      <c r="A104" s="252"/>
      <c r="B104" s="174" t="s">
        <v>161</v>
      </c>
      <c r="C104" s="249">
        <f t="shared" si="19"/>
        <v>0</v>
      </c>
      <c r="D104" s="250"/>
      <c r="E104" s="176"/>
      <c r="F104" s="176"/>
      <c r="G104" s="176"/>
      <c r="H104" s="176"/>
      <c r="I104" s="176"/>
      <c r="J104" s="176"/>
      <c r="K104" s="176"/>
      <c r="L104" s="176"/>
      <c r="M104" s="176"/>
    </row>
    <row r="105" ht="18.75" customHeight="1">
      <c r="A105" s="252"/>
      <c r="B105" s="253" t="s">
        <v>159</v>
      </c>
      <c r="C105" s="254">
        <f t="shared" si="19"/>
        <v>0</v>
      </c>
      <c r="D105" s="255"/>
      <c r="E105" s="257"/>
      <c r="F105" s="257"/>
      <c r="G105" s="257"/>
      <c r="H105" s="257"/>
      <c r="I105" s="257"/>
      <c r="J105" s="257"/>
      <c r="K105" s="257"/>
      <c r="L105" s="257"/>
      <c r="M105" s="257"/>
    </row>
    <row r="106" ht="18.75" customHeight="1">
      <c r="A106" s="252"/>
      <c r="B106" s="174" t="s">
        <v>246</v>
      </c>
      <c r="C106" s="249">
        <f t="shared" si="19"/>
        <v>0</v>
      </c>
      <c r="D106" s="250"/>
      <c r="E106" s="176"/>
      <c r="F106" s="176"/>
      <c r="G106" s="176"/>
      <c r="H106" s="176"/>
      <c r="I106" s="176"/>
      <c r="J106" s="176"/>
      <c r="K106" s="176"/>
      <c r="L106" s="176"/>
      <c r="M106" s="176"/>
    </row>
    <row r="107" ht="18.75" customHeight="1">
      <c r="A107" s="252"/>
      <c r="B107" s="174" t="s">
        <v>247</v>
      </c>
      <c r="C107" s="249">
        <f t="shared" si="19"/>
        <v>0</v>
      </c>
      <c r="D107" s="250"/>
      <c r="E107" s="176"/>
      <c r="F107" s="176"/>
      <c r="G107" s="176"/>
      <c r="H107" s="176"/>
      <c r="I107" s="176"/>
      <c r="J107" s="176"/>
      <c r="K107" s="176"/>
      <c r="L107" s="176"/>
      <c r="M107" s="176"/>
    </row>
    <row r="108" ht="18.75" customHeight="1">
      <c r="A108" s="252"/>
      <c r="B108" s="174" t="s">
        <v>249</v>
      </c>
      <c r="C108" s="249">
        <f t="shared" si="19"/>
        <v>0</v>
      </c>
      <c r="D108" s="250"/>
      <c r="E108" s="176"/>
      <c r="F108" s="176"/>
      <c r="G108" s="176"/>
      <c r="H108" s="176"/>
      <c r="I108" s="176"/>
      <c r="J108" s="176"/>
      <c r="K108" s="176"/>
      <c r="L108" s="176"/>
      <c r="M108" s="176"/>
    </row>
    <row r="109" ht="18.75" customHeight="1">
      <c r="A109" s="252"/>
      <c r="B109" s="174" t="s">
        <v>250</v>
      </c>
      <c r="C109" s="249">
        <f t="shared" si="19"/>
        <v>0</v>
      </c>
      <c r="D109" s="250"/>
      <c r="E109" s="176"/>
      <c r="F109" s="176"/>
      <c r="G109" s="176"/>
      <c r="H109" s="176"/>
      <c r="I109" s="176"/>
      <c r="J109" s="176"/>
      <c r="K109" s="176"/>
      <c r="L109" s="176"/>
      <c r="M109" s="176"/>
    </row>
    <row r="110" ht="18.75" customHeight="1">
      <c r="A110" s="252"/>
      <c r="B110" s="174" t="s">
        <v>251</v>
      </c>
      <c r="C110" s="249">
        <f t="shared" si="19"/>
        <v>0</v>
      </c>
      <c r="D110" s="250"/>
      <c r="E110" s="176"/>
      <c r="F110" s="176"/>
      <c r="G110" s="176"/>
      <c r="H110" s="176"/>
      <c r="I110" s="176"/>
      <c r="J110" s="176"/>
      <c r="K110" s="176"/>
      <c r="L110" s="176"/>
      <c r="M110" s="176"/>
    </row>
    <row r="111" ht="18.75" customHeight="1">
      <c r="A111" s="258"/>
      <c r="B111" s="180" t="s">
        <v>144</v>
      </c>
      <c r="C111" s="259">
        <f t="shared" ref="C111:M111" si="20">SUM(C101:C110)</f>
        <v>0</v>
      </c>
      <c r="D111" s="260">
        <f t="shared" si="20"/>
        <v>0</v>
      </c>
      <c r="E111" s="182">
        <f t="shared" si="20"/>
        <v>0</v>
      </c>
      <c r="F111" s="261">
        <f t="shared" si="20"/>
        <v>0</v>
      </c>
      <c r="G111" s="261">
        <f t="shared" si="20"/>
        <v>0</v>
      </c>
      <c r="H111" s="261">
        <f t="shared" si="20"/>
        <v>0</v>
      </c>
      <c r="I111" s="182">
        <f t="shared" si="20"/>
        <v>0</v>
      </c>
      <c r="J111" s="182">
        <f t="shared" si="20"/>
        <v>0</v>
      </c>
      <c r="K111" s="182">
        <f t="shared" si="20"/>
        <v>0</v>
      </c>
      <c r="L111" s="182">
        <f t="shared" si="20"/>
        <v>0</v>
      </c>
      <c r="M111" s="182">
        <f t="shared" si="20"/>
        <v>0</v>
      </c>
    </row>
    <row r="112" ht="18.75" customHeight="1">
      <c r="A112" s="248" t="s">
        <v>322</v>
      </c>
      <c r="B112" s="174" t="s">
        <v>164</v>
      </c>
      <c r="C112" s="249">
        <f t="shared" ref="C112:C121" si="21">SUM(E112:M112)</f>
        <v>14.4</v>
      </c>
      <c r="D112" s="250"/>
      <c r="E112" s="176"/>
      <c r="F112" s="176"/>
      <c r="G112" s="176"/>
      <c r="H112" s="176"/>
      <c r="I112" s="176"/>
      <c r="J112" s="176"/>
      <c r="K112" s="176"/>
      <c r="L112" s="176"/>
      <c r="M112" s="176">
        <v>14.4</v>
      </c>
    </row>
    <row r="113" ht="18.75" customHeight="1">
      <c r="A113" s="252"/>
      <c r="B113" s="174" t="s">
        <v>155</v>
      </c>
      <c r="C113" s="249">
        <f t="shared" si="21"/>
        <v>0</v>
      </c>
      <c r="D113" s="250"/>
      <c r="E113" s="176"/>
      <c r="F113" s="176"/>
      <c r="G113" s="176"/>
      <c r="H113" s="176"/>
      <c r="I113" s="176"/>
      <c r="J113" s="176"/>
      <c r="K113" s="176"/>
      <c r="L113" s="176"/>
      <c r="M113" s="176"/>
    </row>
    <row r="114" ht="18.75" customHeight="1">
      <c r="A114" s="252"/>
      <c r="B114" s="174" t="s">
        <v>163</v>
      </c>
      <c r="C114" s="249">
        <f t="shared" si="21"/>
        <v>12</v>
      </c>
      <c r="D114" s="250"/>
      <c r="E114" s="176"/>
      <c r="F114" s="176"/>
      <c r="G114" s="176"/>
      <c r="H114" s="176"/>
      <c r="I114" s="176"/>
      <c r="J114" s="176"/>
      <c r="K114" s="176"/>
      <c r="L114" s="176"/>
      <c r="M114" s="176">
        <v>12.0</v>
      </c>
    </row>
    <row r="115" ht="18.75" customHeight="1">
      <c r="A115" s="252"/>
      <c r="B115" s="174" t="s">
        <v>161</v>
      </c>
      <c r="C115" s="249">
        <f t="shared" si="21"/>
        <v>0</v>
      </c>
      <c r="D115" s="250"/>
      <c r="E115" s="176"/>
      <c r="F115" s="176"/>
      <c r="G115" s="176"/>
      <c r="H115" s="176"/>
      <c r="I115" s="176"/>
      <c r="J115" s="176"/>
      <c r="K115" s="176"/>
      <c r="L115" s="176"/>
      <c r="M115" s="176"/>
    </row>
    <row r="116" ht="18.75" customHeight="1">
      <c r="A116" s="252"/>
      <c r="B116" s="253" t="s">
        <v>159</v>
      </c>
      <c r="C116" s="254">
        <f t="shared" si="21"/>
        <v>7.2</v>
      </c>
      <c r="D116" s="255"/>
      <c r="E116" s="257"/>
      <c r="F116" s="257"/>
      <c r="G116" s="257"/>
      <c r="H116" s="257"/>
      <c r="I116" s="257"/>
      <c r="J116" s="257"/>
      <c r="K116" s="257"/>
      <c r="L116" s="257"/>
      <c r="M116" s="257">
        <v>7.2</v>
      </c>
    </row>
    <row r="117" ht="18.75" customHeight="1">
      <c r="A117" s="252"/>
      <c r="B117" s="174" t="s">
        <v>246</v>
      </c>
      <c r="C117" s="249">
        <f t="shared" si="21"/>
        <v>0</v>
      </c>
      <c r="D117" s="250"/>
      <c r="E117" s="176"/>
      <c r="F117" s="176"/>
      <c r="G117" s="176"/>
      <c r="H117" s="176"/>
      <c r="I117" s="176"/>
      <c r="J117" s="176"/>
      <c r="K117" s="176"/>
      <c r="L117" s="176"/>
      <c r="M117" s="176"/>
    </row>
    <row r="118" ht="18.75" customHeight="1">
      <c r="A118" s="252"/>
      <c r="B118" s="174" t="s">
        <v>247</v>
      </c>
      <c r="C118" s="249">
        <f t="shared" si="21"/>
        <v>0</v>
      </c>
      <c r="D118" s="250"/>
      <c r="E118" s="176"/>
      <c r="F118" s="176"/>
      <c r="G118" s="176"/>
      <c r="H118" s="176"/>
      <c r="I118" s="176"/>
      <c r="J118" s="176"/>
      <c r="K118" s="176"/>
      <c r="L118" s="176"/>
      <c r="M118" s="176"/>
    </row>
    <row r="119" ht="18.75" customHeight="1">
      <c r="A119" s="252"/>
      <c r="B119" s="174" t="s">
        <v>249</v>
      </c>
      <c r="C119" s="249">
        <f t="shared" si="21"/>
        <v>0</v>
      </c>
      <c r="D119" s="250"/>
      <c r="E119" s="176"/>
      <c r="F119" s="176"/>
      <c r="G119" s="176"/>
      <c r="H119" s="176"/>
      <c r="I119" s="176"/>
      <c r="J119" s="176"/>
      <c r="K119" s="176"/>
      <c r="L119" s="176"/>
      <c r="M119" s="176"/>
    </row>
    <row r="120" ht="18.75" customHeight="1">
      <c r="A120" s="252"/>
      <c r="B120" s="174" t="s">
        <v>250</v>
      </c>
      <c r="C120" s="249">
        <f t="shared" si="21"/>
        <v>0</v>
      </c>
      <c r="D120" s="250"/>
      <c r="E120" s="176"/>
      <c r="F120" s="176"/>
      <c r="G120" s="176"/>
      <c r="H120" s="176"/>
      <c r="I120" s="176"/>
      <c r="J120" s="176"/>
      <c r="K120" s="176"/>
      <c r="L120" s="176"/>
      <c r="M120" s="176"/>
    </row>
    <row r="121" ht="18.75" customHeight="1">
      <c r="A121" s="252"/>
      <c r="B121" s="174" t="s">
        <v>251</v>
      </c>
      <c r="C121" s="249">
        <f t="shared" si="21"/>
        <v>0</v>
      </c>
      <c r="D121" s="250"/>
      <c r="E121" s="176"/>
      <c r="F121" s="176"/>
      <c r="G121" s="176"/>
      <c r="H121" s="176"/>
      <c r="I121" s="176"/>
      <c r="J121" s="176"/>
      <c r="K121" s="176"/>
      <c r="L121" s="176"/>
      <c r="M121" s="176"/>
    </row>
    <row r="122" ht="18.75" customHeight="1">
      <c r="A122" s="258"/>
      <c r="B122" s="180" t="s">
        <v>144</v>
      </c>
      <c r="C122" s="259">
        <f t="shared" ref="C122:M122" si="22">SUM(C112:C121)</f>
        <v>33.6</v>
      </c>
      <c r="D122" s="260">
        <f t="shared" si="22"/>
        <v>0</v>
      </c>
      <c r="E122" s="182">
        <f t="shared" si="22"/>
        <v>0</v>
      </c>
      <c r="F122" s="261">
        <f t="shared" si="22"/>
        <v>0</v>
      </c>
      <c r="G122" s="261">
        <f t="shared" si="22"/>
        <v>0</v>
      </c>
      <c r="H122" s="261">
        <f t="shared" si="22"/>
        <v>0</v>
      </c>
      <c r="I122" s="182">
        <f t="shared" si="22"/>
        <v>0</v>
      </c>
      <c r="J122" s="182">
        <f t="shared" si="22"/>
        <v>0</v>
      </c>
      <c r="K122" s="182">
        <f t="shared" si="22"/>
        <v>0</v>
      </c>
      <c r="L122" s="182">
        <f t="shared" si="22"/>
        <v>0</v>
      </c>
      <c r="M122" s="182">
        <f t="shared" si="22"/>
        <v>33.6</v>
      </c>
    </row>
    <row r="123" ht="18.75" customHeight="1">
      <c r="A123" s="248" t="s">
        <v>323</v>
      </c>
      <c r="B123" s="174" t="s">
        <v>164</v>
      </c>
      <c r="C123" s="249">
        <f t="shared" ref="C123:C132" si="23">SUM(E123:M123)</f>
        <v>0</v>
      </c>
      <c r="D123" s="250"/>
      <c r="E123" s="176"/>
      <c r="F123" s="176"/>
      <c r="G123" s="176"/>
      <c r="H123" s="176"/>
      <c r="I123" s="176"/>
      <c r="J123" s="176"/>
      <c r="K123" s="176"/>
      <c r="L123" s="176"/>
      <c r="M123" s="176"/>
    </row>
    <row r="124" ht="18.75" customHeight="1">
      <c r="A124" s="252"/>
      <c r="B124" s="174" t="s">
        <v>155</v>
      </c>
      <c r="C124" s="249">
        <f t="shared" si="23"/>
        <v>0</v>
      </c>
      <c r="D124" s="250"/>
      <c r="E124" s="176"/>
      <c r="F124" s="176"/>
      <c r="G124" s="176"/>
      <c r="H124" s="176"/>
      <c r="I124" s="176"/>
      <c r="J124" s="176"/>
      <c r="K124" s="176"/>
      <c r="L124" s="176"/>
      <c r="M124" s="176"/>
    </row>
    <row r="125" ht="18.75" customHeight="1">
      <c r="A125" s="252"/>
      <c r="B125" s="174" t="s">
        <v>163</v>
      </c>
      <c r="C125" s="249">
        <f t="shared" si="23"/>
        <v>0</v>
      </c>
      <c r="D125" s="250"/>
      <c r="E125" s="176"/>
      <c r="F125" s="176"/>
      <c r="G125" s="176"/>
      <c r="H125" s="176"/>
      <c r="I125" s="176"/>
      <c r="J125" s="176"/>
      <c r="K125" s="176"/>
      <c r="L125" s="176"/>
      <c r="M125" s="176"/>
    </row>
    <row r="126" ht="18.75" customHeight="1">
      <c r="A126" s="252"/>
      <c r="B126" s="174" t="s">
        <v>161</v>
      </c>
      <c r="C126" s="249">
        <f t="shared" si="23"/>
        <v>0</v>
      </c>
      <c r="D126" s="250"/>
      <c r="E126" s="176"/>
      <c r="F126" s="176"/>
      <c r="G126" s="176"/>
      <c r="H126" s="176"/>
      <c r="I126" s="176"/>
      <c r="J126" s="176"/>
      <c r="K126" s="176"/>
      <c r="L126" s="176"/>
      <c r="M126" s="176"/>
    </row>
    <row r="127" ht="18.75" customHeight="1">
      <c r="A127" s="252"/>
      <c r="B127" s="253" t="s">
        <v>159</v>
      </c>
      <c r="C127" s="254">
        <f t="shared" si="23"/>
        <v>0</v>
      </c>
      <c r="D127" s="255"/>
      <c r="E127" s="257"/>
      <c r="F127" s="257"/>
      <c r="G127" s="257"/>
      <c r="H127" s="257"/>
      <c r="I127" s="257"/>
      <c r="J127" s="257"/>
      <c r="K127" s="257"/>
      <c r="L127" s="257"/>
      <c r="M127" s="257"/>
    </row>
    <row r="128" ht="18.75" customHeight="1">
      <c r="A128" s="252"/>
      <c r="B128" s="174" t="s">
        <v>246</v>
      </c>
      <c r="C128" s="249">
        <f t="shared" si="23"/>
        <v>100</v>
      </c>
      <c r="D128" s="250"/>
      <c r="E128" s="176"/>
      <c r="F128" s="176"/>
      <c r="G128" s="176"/>
      <c r="H128" s="176">
        <v>100.0</v>
      </c>
      <c r="I128" s="176"/>
      <c r="J128" s="176"/>
      <c r="K128" s="176"/>
      <c r="L128" s="176"/>
      <c r="M128" s="176"/>
    </row>
    <row r="129" ht="18.75" customHeight="1">
      <c r="A129" s="252"/>
      <c r="B129" s="174" t="s">
        <v>247</v>
      </c>
      <c r="C129" s="249">
        <f t="shared" si="23"/>
        <v>100</v>
      </c>
      <c r="D129" s="250"/>
      <c r="E129" s="176"/>
      <c r="F129" s="176"/>
      <c r="G129" s="176"/>
      <c r="H129" s="176">
        <v>100.0</v>
      </c>
      <c r="I129" s="176"/>
      <c r="J129" s="176"/>
      <c r="K129" s="176"/>
      <c r="L129" s="176"/>
      <c r="M129" s="176"/>
    </row>
    <row r="130" ht="18.75" customHeight="1">
      <c r="A130" s="252"/>
      <c r="B130" s="174" t="s">
        <v>249</v>
      </c>
      <c r="C130" s="249">
        <f t="shared" si="23"/>
        <v>0</v>
      </c>
      <c r="D130" s="250"/>
      <c r="E130" s="176"/>
      <c r="F130" s="176"/>
      <c r="G130" s="176"/>
      <c r="H130" s="176"/>
      <c r="I130" s="176"/>
      <c r="J130" s="176"/>
      <c r="K130" s="176"/>
      <c r="L130" s="176"/>
      <c r="M130" s="176"/>
    </row>
    <row r="131" ht="18.75" customHeight="1">
      <c r="A131" s="252"/>
      <c r="B131" s="174" t="s">
        <v>250</v>
      </c>
      <c r="C131" s="249">
        <f t="shared" si="23"/>
        <v>0</v>
      </c>
      <c r="D131" s="250"/>
      <c r="E131" s="176"/>
      <c r="F131" s="176"/>
      <c r="G131" s="176"/>
      <c r="H131" s="176"/>
      <c r="I131" s="176"/>
      <c r="J131" s="176"/>
      <c r="K131" s="176"/>
      <c r="L131" s="176"/>
      <c r="M131" s="176"/>
    </row>
    <row r="132" ht="18.75" customHeight="1">
      <c r="A132" s="252"/>
      <c r="B132" s="174" t="s">
        <v>251</v>
      </c>
      <c r="C132" s="249">
        <f t="shared" si="23"/>
        <v>0</v>
      </c>
      <c r="D132" s="250"/>
      <c r="E132" s="176"/>
      <c r="F132" s="176"/>
      <c r="G132" s="176"/>
      <c r="H132" s="176"/>
      <c r="I132" s="176"/>
      <c r="J132" s="176"/>
      <c r="K132" s="176"/>
      <c r="L132" s="176"/>
      <c r="M132" s="176"/>
    </row>
    <row r="133" ht="18.75" customHeight="1">
      <c r="A133" s="258"/>
      <c r="B133" s="180" t="s">
        <v>144</v>
      </c>
      <c r="C133" s="259">
        <f t="shared" ref="C133:M133" si="24">SUM(C123:C132)</f>
        <v>200</v>
      </c>
      <c r="D133" s="260">
        <f t="shared" si="24"/>
        <v>0</v>
      </c>
      <c r="E133" s="182">
        <f t="shared" si="24"/>
        <v>0</v>
      </c>
      <c r="F133" s="261">
        <f t="shared" si="24"/>
        <v>0</v>
      </c>
      <c r="G133" s="261">
        <f t="shared" si="24"/>
        <v>0</v>
      </c>
      <c r="H133" s="261">
        <f t="shared" si="24"/>
        <v>200</v>
      </c>
      <c r="I133" s="261">
        <f t="shared" si="24"/>
        <v>0</v>
      </c>
      <c r="J133" s="182">
        <f t="shared" si="24"/>
        <v>0</v>
      </c>
      <c r="K133" s="182">
        <f t="shared" si="24"/>
        <v>0</v>
      </c>
      <c r="L133" s="182">
        <f t="shared" si="24"/>
        <v>0</v>
      </c>
      <c r="M133" s="182">
        <f t="shared" si="24"/>
        <v>0</v>
      </c>
    </row>
  </sheetData>
  <mergeCells count="13">
    <mergeCell ref="A68:A78"/>
    <mergeCell ref="A79:A89"/>
    <mergeCell ref="A90:A100"/>
    <mergeCell ref="A101:A111"/>
    <mergeCell ref="A112:A122"/>
    <mergeCell ref="A123:A133"/>
    <mergeCell ref="A1:B1"/>
    <mergeCell ref="A2:A12"/>
    <mergeCell ref="A13:A23"/>
    <mergeCell ref="A24:A34"/>
    <mergeCell ref="A35:A45"/>
    <mergeCell ref="A46:A56"/>
    <mergeCell ref="A57:A67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1.63"/>
    <col customWidth="1" min="2" max="2" width="34.63"/>
    <col customWidth="1" min="3" max="10" width="10.5"/>
    <col customWidth="1" min="11" max="11" width="10.0"/>
    <col customWidth="1" min="12" max="12" width="10.13"/>
    <col customWidth="1" min="13" max="13" width="9.38"/>
    <col customWidth="1" min="14" max="14" width="10.13"/>
    <col customWidth="1" min="15" max="15" width="9.88"/>
  </cols>
  <sheetData>
    <row r="1" ht="6.0" customHeight="1">
      <c r="A1" s="263"/>
      <c r="B1" s="263"/>
    </row>
    <row r="2" ht="12.0" customHeight="1">
      <c r="A2" s="264"/>
      <c r="B2" s="265" t="s">
        <v>337</v>
      </c>
      <c r="C2" s="266" t="s">
        <v>263</v>
      </c>
      <c r="D2" s="266" t="s">
        <v>102</v>
      </c>
      <c r="E2" s="266" t="s">
        <v>103</v>
      </c>
      <c r="F2" s="266" t="s">
        <v>104</v>
      </c>
      <c r="G2" s="266" t="s">
        <v>105</v>
      </c>
      <c r="H2" s="266" t="s">
        <v>106</v>
      </c>
      <c r="I2" s="266" t="s">
        <v>107</v>
      </c>
      <c r="J2" s="266" t="s">
        <v>108</v>
      </c>
      <c r="K2" s="266" t="s">
        <v>109</v>
      </c>
      <c r="L2" s="266" t="s">
        <v>110</v>
      </c>
      <c r="M2" s="266" t="s">
        <v>111</v>
      </c>
      <c r="N2" s="266" t="s">
        <v>112</v>
      </c>
      <c r="O2" s="266" t="s">
        <v>101</v>
      </c>
    </row>
    <row r="3" ht="12.0" customHeight="1">
      <c r="B3" s="267" t="s">
        <v>338</v>
      </c>
      <c r="C3" s="268">
        <f t="shared" ref="C3:C5" si="1">SUM(D3:O3)</f>
        <v>152365.32</v>
      </c>
      <c r="D3" s="269">
        <f>Ingresos!AW13</f>
        <v>12294.6</v>
      </c>
      <c r="E3" s="269">
        <f>Ingresos!AW24</f>
        <v>10950</v>
      </c>
      <c r="F3" s="269">
        <f>Ingresos!AW35</f>
        <v>8400</v>
      </c>
      <c r="G3" s="269">
        <f>Ingresos!AW46</f>
        <v>17400</v>
      </c>
      <c r="H3" s="269">
        <f>Ingresos!$AW57</f>
        <v>13000</v>
      </c>
      <c r="I3" s="269">
        <f>Ingresos!$AW68</f>
        <v>10400</v>
      </c>
      <c r="J3" s="269">
        <f>Ingresos!$AW79</f>
        <v>9710.72</v>
      </c>
      <c r="K3" s="269">
        <f>Ingresos!$AW90</f>
        <v>20800</v>
      </c>
      <c r="L3" s="269">
        <f>Ingresos!$AW101</f>
        <v>11420</v>
      </c>
      <c r="M3" s="269">
        <f>Ingresos!$AW112</f>
        <v>12460</v>
      </c>
      <c r="N3" s="269">
        <f>Ingresos!$AW123</f>
        <v>12330</v>
      </c>
      <c r="O3" s="269">
        <f>Ingresos!$AW134</f>
        <v>13200</v>
      </c>
    </row>
    <row r="4" ht="12.0" customHeight="1">
      <c r="B4" s="267" t="s">
        <v>339</v>
      </c>
      <c r="C4" s="268">
        <f t="shared" si="1"/>
        <v>57750</v>
      </c>
      <c r="D4" s="269">
        <f>Ingresos!AX13</f>
        <v>4550</v>
      </c>
      <c r="E4" s="269">
        <f>Ingresos!AX24</f>
        <v>4550</v>
      </c>
      <c r="F4" s="269">
        <f>Ingresos!AX35</f>
        <v>4550</v>
      </c>
      <c r="G4" s="269">
        <f>Ingresos!AX46</f>
        <v>4900</v>
      </c>
      <c r="H4" s="269">
        <f>Ingresos!$AX57</f>
        <v>4900</v>
      </c>
      <c r="I4" s="269">
        <f>Ingresos!$AX68</f>
        <v>4900</v>
      </c>
      <c r="J4" s="269">
        <f>Ingresos!$AX79</f>
        <v>4900</v>
      </c>
      <c r="K4" s="269">
        <f>Ingresos!$AX90</f>
        <v>4900</v>
      </c>
      <c r="L4" s="269">
        <f>Ingresos!$AX101</f>
        <v>4900</v>
      </c>
      <c r="M4" s="269">
        <f>Ingresos!$AX112</f>
        <v>4900</v>
      </c>
      <c r="N4" s="269">
        <f>Ingresos!$AX123</f>
        <v>4900</v>
      </c>
      <c r="O4" s="269">
        <f>Ingresos!$AX134</f>
        <v>4900</v>
      </c>
    </row>
    <row r="5" ht="12.0" customHeight="1">
      <c r="B5" s="270" t="s">
        <v>340</v>
      </c>
      <c r="C5" s="271">
        <f t="shared" si="1"/>
        <v>210115.32</v>
      </c>
      <c r="D5" s="271">
        <f t="shared" ref="D5:O5" si="2">D3+D4</f>
        <v>16844.6</v>
      </c>
      <c r="E5" s="271">
        <f t="shared" si="2"/>
        <v>15500</v>
      </c>
      <c r="F5" s="271">
        <f t="shared" si="2"/>
        <v>12950</v>
      </c>
      <c r="G5" s="271">
        <f t="shared" si="2"/>
        <v>22300</v>
      </c>
      <c r="H5" s="271">
        <f t="shared" si="2"/>
        <v>17900</v>
      </c>
      <c r="I5" s="271">
        <f t="shared" si="2"/>
        <v>15300</v>
      </c>
      <c r="J5" s="271">
        <f t="shared" si="2"/>
        <v>14610.72</v>
      </c>
      <c r="K5" s="271">
        <f t="shared" si="2"/>
        <v>25700</v>
      </c>
      <c r="L5" s="271">
        <f t="shared" si="2"/>
        <v>16320</v>
      </c>
      <c r="M5" s="271">
        <f t="shared" si="2"/>
        <v>17360</v>
      </c>
      <c r="N5" s="271">
        <f t="shared" si="2"/>
        <v>17230</v>
      </c>
      <c r="O5" s="271">
        <f t="shared" si="2"/>
        <v>18100</v>
      </c>
    </row>
    <row r="6" ht="6.75" customHeight="1">
      <c r="B6" s="272"/>
    </row>
    <row r="7" ht="12.0" customHeight="1">
      <c r="B7" s="273" t="s">
        <v>341</v>
      </c>
      <c r="C7" s="274" t="s">
        <v>263</v>
      </c>
      <c r="D7" s="274" t="s">
        <v>102</v>
      </c>
      <c r="E7" s="274" t="s">
        <v>103</v>
      </c>
      <c r="F7" s="274" t="s">
        <v>104</v>
      </c>
      <c r="G7" s="274" t="s">
        <v>105</v>
      </c>
      <c r="H7" s="274" t="s">
        <v>106</v>
      </c>
      <c r="I7" s="274" t="s">
        <v>107</v>
      </c>
      <c r="J7" s="274" t="s">
        <v>108</v>
      </c>
      <c r="K7" s="274" t="s">
        <v>109</v>
      </c>
      <c r="L7" s="274" t="s">
        <v>110</v>
      </c>
      <c r="M7" s="274" t="s">
        <v>111</v>
      </c>
      <c r="N7" s="274" t="s">
        <v>112</v>
      </c>
      <c r="O7" s="274" t="s">
        <v>101</v>
      </c>
    </row>
    <row r="8" ht="12.0" customHeight="1">
      <c r="B8" s="275" t="s">
        <v>342</v>
      </c>
      <c r="C8" s="276">
        <f t="shared" ref="C8:C17" si="3">SUM(D8:O8)</f>
        <v>9752.5</v>
      </c>
      <c r="D8" s="277">
        <f>SUM(Ingresos!AG$10:AG$12)</f>
        <v>939</v>
      </c>
      <c r="E8" s="277">
        <f>SUM(Ingresos!AG$21:AG$23)</f>
        <v>1396</v>
      </c>
      <c r="F8" s="277">
        <f>SUM(Ingresos!AG$32:AG$34)</f>
        <v>1570</v>
      </c>
      <c r="G8" s="277">
        <f>SUM(Ingresos!AG$43:AG$45)</f>
        <v>1735</v>
      </c>
      <c r="H8" s="277">
        <f>SUM(Ingresos!$AG$54:$AG$56)</f>
        <v>1745</v>
      </c>
      <c r="I8" s="277">
        <f>SUM(Ingresos!$AG$65:$AG$67)</f>
        <v>1777.5</v>
      </c>
      <c r="J8" s="277">
        <f>SUM(Ingresos!$AG$76:$AG$78)</f>
        <v>0</v>
      </c>
      <c r="K8" s="277">
        <f>SUM(Ingresos!$AG$87:$AG$89)</f>
        <v>590</v>
      </c>
      <c r="L8" s="277">
        <f>SUM(Ingresos!$AG$98:$AG$100)</f>
        <v>0</v>
      </c>
      <c r="M8" s="277">
        <f>SUM(Ingresos!$AG$109:$AG$111)</f>
        <v>0</v>
      </c>
      <c r="N8" s="277">
        <f>SUM(Ingresos!$AG$120:$AG$122)</f>
        <v>0</v>
      </c>
      <c r="O8" s="277">
        <f>SUM(Ingresos!$AG$131:$AG$133)</f>
        <v>0</v>
      </c>
    </row>
    <row r="9" ht="12.0" customHeight="1">
      <c r="B9" s="275" t="s">
        <v>343</v>
      </c>
      <c r="C9" s="276">
        <f t="shared" si="3"/>
        <v>1120</v>
      </c>
      <c r="D9" s="277">
        <f>SUM(Ingresos!AH$10:AH$12)</f>
        <v>200</v>
      </c>
      <c r="E9" s="277">
        <f>SUM(Ingresos!AH$21:AH$23)</f>
        <v>220</v>
      </c>
      <c r="F9" s="277">
        <f>SUM(Ingresos!AH$32:AH$34)</f>
        <v>220</v>
      </c>
      <c r="G9" s="277">
        <f>SUM(Ingresos!AH$43:AH$45)</f>
        <v>240</v>
      </c>
      <c r="H9" s="277">
        <f>SUM(Ingresos!$AH$54:$AH$56)</f>
        <v>240</v>
      </c>
      <c r="I9" s="278"/>
      <c r="J9" s="278"/>
      <c r="K9" s="278"/>
      <c r="L9" s="278"/>
      <c r="M9" s="278"/>
      <c r="N9" s="278"/>
      <c r="O9" s="278"/>
    </row>
    <row r="10" ht="12.0" customHeight="1">
      <c r="B10" s="275" t="s">
        <v>344</v>
      </c>
      <c r="C10" s="276">
        <f t="shared" si="3"/>
        <v>234</v>
      </c>
      <c r="D10" s="277">
        <f>SUM(Ingresos!AI$10:AI$12)</f>
        <v>234</v>
      </c>
      <c r="E10" s="279"/>
      <c r="F10" s="279"/>
      <c r="G10" s="278"/>
      <c r="H10" s="278"/>
      <c r="I10" s="278"/>
      <c r="J10" s="278"/>
      <c r="K10" s="278"/>
      <c r="L10" s="278"/>
      <c r="M10" s="278"/>
      <c r="N10" s="278"/>
      <c r="O10" s="278"/>
    </row>
    <row r="11" ht="12.0" customHeight="1">
      <c r="B11" s="275" t="s">
        <v>345</v>
      </c>
      <c r="C11" s="276">
        <f t="shared" si="3"/>
        <v>160</v>
      </c>
      <c r="D11" s="277">
        <f>SUM(Ingresos!AJ$10:AJ$12)</f>
        <v>160</v>
      </c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</row>
    <row r="12" ht="12.0" customHeight="1">
      <c r="B12" s="275" t="s">
        <v>346</v>
      </c>
      <c r="C12" s="276">
        <f t="shared" si="3"/>
        <v>12382</v>
      </c>
      <c r="D12" s="278"/>
      <c r="E12" s="277">
        <f>SUM(Ingresos!AK$21:AK$23)</f>
        <v>1800</v>
      </c>
      <c r="F12" s="277">
        <f>SUM(Ingresos!AK$32:AK$34)</f>
        <v>1302</v>
      </c>
      <c r="G12" s="277">
        <f>SUM(Ingresos!AK$43:AK$45)</f>
        <v>0</v>
      </c>
      <c r="H12" s="277">
        <f>SUM(Ingresos!$AK$54:$AK$56)</f>
        <v>2400</v>
      </c>
      <c r="I12" s="277">
        <f>SUM(Ingresos!$AK$65:$AK$67)</f>
        <v>2400</v>
      </c>
      <c r="J12" s="277">
        <f>SUM(Ingresos!$AK$76:$AK$78)</f>
        <v>1380</v>
      </c>
      <c r="K12" s="277">
        <f>SUM(Ingresos!$AK$87:$AK$89)</f>
        <v>1190</v>
      </c>
      <c r="L12" s="277">
        <f>SUM(Ingresos!$AK$98:$AK$100)</f>
        <v>1260</v>
      </c>
      <c r="M12" s="277">
        <f>SUM(Ingresos!$AK$109:$AK$111)</f>
        <v>650</v>
      </c>
      <c r="N12" s="277">
        <f>SUM(Ingresos!$AK$120:$AK$122)</f>
        <v>0</v>
      </c>
      <c r="O12" s="277">
        <f>SUM(Ingresos!$AK$131:$AK$133)</f>
        <v>0</v>
      </c>
    </row>
    <row r="13" ht="12.0" customHeight="1">
      <c r="B13" s="275" t="s">
        <v>347</v>
      </c>
      <c r="C13" s="276">
        <f t="shared" si="3"/>
        <v>12231</v>
      </c>
      <c r="D13" s="277">
        <f>SUM(Ingresos!AL$10:AL$12)</f>
        <v>200</v>
      </c>
      <c r="E13" s="277">
        <f>SUM(Ingresos!AL$21:AL$23)</f>
        <v>660</v>
      </c>
      <c r="F13" s="277">
        <f>SUM(Ingresos!AL$32:AL$34)</f>
        <v>1200</v>
      </c>
      <c r="G13" s="277">
        <f>SUM(Ingresos!AL$43:AL$45)</f>
        <v>0</v>
      </c>
      <c r="H13" s="277">
        <f>SUM(Ingresos!$AL$54:$AL$56)</f>
        <v>2205</v>
      </c>
      <c r="I13" s="277">
        <f>SUM(Ingresos!$AL$65:$AL$67)</f>
        <v>0</v>
      </c>
      <c r="J13" s="277">
        <f>SUM(Ingresos!$AL$76:$AL$78)</f>
        <v>1050</v>
      </c>
      <c r="K13" s="277">
        <f>SUM(Ingresos!$AL$87:$AL$89)</f>
        <v>1603</v>
      </c>
      <c r="L13" s="277">
        <f>SUM(Ingresos!$AL$98:$AL$100)</f>
        <v>1603</v>
      </c>
      <c r="M13" s="277">
        <f>SUM(Ingresos!$AL$109:$AL$111)</f>
        <v>1645</v>
      </c>
      <c r="N13" s="277">
        <f>SUM(Ingresos!$AL$120:$AL$122)</f>
        <v>0</v>
      </c>
      <c r="O13" s="277">
        <f>SUM(Ingresos!$AL$131:$AL$133)</f>
        <v>2065</v>
      </c>
    </row>
    <row r="14" ht="12.0" customHeight="1">
      <c r="B14" s="275" t="s">
        <v>348</v>
      </c>
      <c r="C14" s="276">
        <f t="shared" si="3"/>
        <v>2260</v>
      </c>
      <c r="D14" s="278"/>
      <c r="E14" s="278"/>
      <c r="F14" s="278"/>
      <c r="G14" s="277">
        <f>SUM(Ingresos!AM$43:AM$45)</f>
        <v>324</v>
      </c>
      <c r="H14" s="277">
        <f>SUM(Ingresos!$AM$54:$AM$56)</f>
        <v>484</v>
      </c>
      <c r="I14" s="277">
        <f>SUM(Ingresos!$AM$65:$AM$67)</f>
        <v>684</v>
      </c>
      <c r="J14" s="277">
        <f>SUM(Ingresos!$AM$76:$AM$78)</f>
        <v>0</v>
      </c>
      <c r="K14" s="277">
        <f>SUM(Ingresos!$AM$87:$AM$89)</f>
        <v>0</v>
      </c>
      <c r="L14" s="277">
        <f>SUM(Ingresos!$AM$98:$AM$100)</f>
        <v>0</v>
      </c>
      <c r="M14" s="277">
        <f>SUM(Ingresos!$AM$109:$AM$111)</f>
        <v>768</v>
      </c>
      <c r="N14" s="277">
        <f>SUM(Ingresos!$AM$120:$AM$122)</f>
        <v>0</v>
      </c>
      <c r="O14" s="277">
        <f>SUM(Ingresos!$AM$131:$AM$133)</f>
        <v>0</v>
      </c>
    </row>
    <row r="15" ht="12.0" customHeight="1">
      <c r="B15" s="275" t="s">
        <v>209</v>
      </c>
      <c r="C15" s="276">
        <f t="shared" si="3"/>
        <v>5779</v>
      </c>
      <c r="D15" s="277">
        <f>SUM(Ingresos!AN$10:AN$12)</f>
        <v>549</v>
      </c>
      <c r="E15" s="277">
        <f>SUM(Ingresos!AN$21:AN$23)</f>
        <v>780</v>
      </c>
      <c r="F15" s="277">
        <f>SUM(Ingresos!AN$32:AN$34)</f>
        <v>660</v>
      </c>
      <c r="G15" s="277">
        <f>SUM(Ingresos!AN$43:AN$45)</f>
        <v>480</v>
      </c>
      <c r="H15" s="277">
        <f>SUM(Ingresos!$AN$54:$AN$56)</f>
        <v>540</v>
      </c>
      <c r="I15" s="277">
        <f>SUM(Ingresos!$AN$65:$AN$67)</f>
        <v>630</v>
      </c>
      <c r="J15" s="277">
        <f>SUM(Ingresos!$AN$76:$AN$78)</f>
        <v>0</v>
      </c>
      <c r="K15" s="277">
        <f>SUM(Ingresos!$AN$87:$AN$89)</f>
        <v>0</v>
      </c>
      <c r="L15" s="277">
        <f>SUM(Ingresos!$AN$98:$AN$100)</f>
        <v>630</v>
      </c>
      <c r="M15" s="277">
        <f>SUM(Ingresos!$AN$109:$AN$111)</f>
        <v>780</v>
      </c>
      <c r="N15" s="277">
        <f>SUM(Ingresos!$AN$120:$AN$122)</f>
        <v>560</v>
      </c>
      <c r="O15" s="277">
        <f>SUM(Ingresos!$AN$131:$AN$133)</f>
        <v>170</v>
      </c>
    </row>
    <row r="16" ht="12.0" customHeight="1">
      <c r="B16" s="270" t="s">
        <v>340</v>
      </c>
      <c r="C16" s="271">
        <f t="shared" si="3"/>
        <v>43918.5</v>
      </c>
      <c r="D16" s="271">
        <f t="shared" ref="D16:O16" si="4">SUM(D8:D15)</f>
        <v>2282</v>
      </c>
      <c r="E16" s="271">
        <f t="shared" si="4"/>
        <v>4856</v>
      </c>
      <c r="F16" s="271">
        <f t="shared" si="4"/>
        <v>4952</v>
      </c>
      <c r="G16" s="271">
        <f t="shared" si="4"/>
        <v>2779</v>
      </c>
      <c r="H16" s="271">
        <f t="shared" si="4"/>
        <v>7614</v>
      </c>
      <c r="I16" s="271">
        <f t="shared" si="4"/>
        <v>5491.5</v>
      </c>
      <c r="J16" s="271">
        <f t="shared" si="4"/>
        <v>2430</v>
      </c>
      <c r="K16" s="271">
        <f t="shared" si="4"/>
        <v>3383</v>
      </c>
      <c r="L16" s="271">
        <f t="shared" si="4"/>
        <v>3493</v>
      </c>
      <c r="M16" s="271">
        <f t="shared" si="4"/>
        <v>3843</v>
      </c>
      <c r="N16" s="271">
        <f t="shared" si="4"/>
        <v>560</v>
      </c>
      <c r="O16" s="271">
        <f t="shared" si="4"/>
        <v>2235</v>
      </c>
    </row>
    <row r="17" ht="12.0" customHeight="1">
      <c r="B17" s="280" t="s">
        <v>349</v>
      </c>
      <c r="C17" s="281">
        <f t="shared" si="3"/>
        <v>39878</v>
      </c>
      <c r="D17" s="282">
        <v>2064.0</v>
      </c>
      <c r="E17" s="283">
        <v>4937.0</v>
      </c>
      <c r="F17" s="283">
        <v>4139.0</v>
      </c>
      <c r="G17" s="283">
        <v>2723.0</v>
      </c>
      <c r="H17" s="283">
        <v>7318.0</v>
      </c>
      <c r="I17" s="283">
        <v>3051.0</v>
      </c>
      <c r="J17" s="283">
        <v>3556.0</v>
      </c>
      <c r="K17" s="283">
        <v>2718.0</v>
      </c>
      <c r="L17" s="283">
        <v>2319.0</v>
      </c>
      <c r="M17" s="283">
        <v>3540.0</v>
      </c>
      <c r="N17" s="283">
        <v>1526.0</v>
      </c>
      <c r="O17" s="283">
        <v>1987.0</v>
      </c>
    </row>
    <row r="18" ht="7.5" customHeight="1"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</row>
    <row r="19" ht="12.0" customHeight="1">
      <c r="B19" s="284" t="s">
        <v>350</v>
      </c>
      <c r="C19" s="285" t="s">
        <v>263</v>
      </c>
      <c r="D19" s="285" t="s">
        <v>102</v>
      </c>
      <c r="E19" s="285" t="s">
        <v>103</v>
      </c>
      <c r="F19" s="285" t="s">
        <v>104</v>
      </c>
      <c r="G19" s="285" t="s">
        <v>105</v>
      </c>
      <c r="H19" s="285" t="s">
        <v>106</v>
      </c>
      <c r="I19" s="285" t="s">
        <v>107</v>
      </c>
      <c r="J19" s="285" t="s">
        <v>108</v>
      </c>
      <c r="K19" s="285" t="s">
        <v>109</v>
      </c>
      <c r="L19" s="285" t="s">
        <v>110</v>
      </c>
      <c r="M19" s="285" t="s">
        <v>111</v>
      </c>
      <c r="N19" s="285" t="s">
        <v>112</v>
      </c>
      <c r="O19" s="285" t="s">
        <v>101</v>
      </c>
    </row>
    <row r="20" ht="12.0" customHeight="1">
      <c r="B20" s="275" t="s">
        <v>342</v>
      </c>
      <c r="C20" s="286">
        <f t="shared" ref="C20:C29" si="5">SUM(D20:O20)</f>
        <v>13550</v>
      </c>
      <c r="D20" s="277">
        <f>SUM(Ingresos!AG$8:AG$9)</f>
        <v>1136</v>
      </c>
      <c r="E20" s="277">
        <f>SUM(Ingresos!AG$19:AG$20)</f>
        <v>1467</v>
      </c>
      <c r="F20" s="277">
        <f>SUM(Ingresos!AG$30:AG$31)</f>
        <v>1309.5</v>
      </c>
      <c r="G20" s="277">
        <f>SUM(Ingresos!AG$41:AG$42)</f>
        <v>1645</v>
      </c>
      <c r="H20" s="277">
        <f>SUM(Ingresos!$AG$52:$AG$53)</f>
        <v>0</v>
      </c>
      <c r="I20" s="277">
        <f>SUM(Ingresos!$AG$63:$AG$64)</f>
        <v>1312.5</v>
      </c>
      <c r="J20" s="277">
        <f>SUM(Ingresos!$AG$74:$AG$75)</f>
        <v>0</v>
      </c>
      <c r="K20" s="277">
        <f>SUM(Ingresos!$AG$85:$AG$86)</f>
        <v>1300</v>
      </c>
      <c r="L20" s="277">
        <f>SUM(Ingresos!$AG$96:$AG$97)</f>
        <v>780</v>
      </c>
      <c r="M20" s="277">
        <f>SUM(Ingresos!$AG$107:$AG$108)</f>
        <v>850</v>
      </c>
      <c r="N20" s="277">
        <f>SUM(Ingresos!$AG$118:$AG$119)</f>
        <v>850</v>
      </c>
      <c r="O20" s="277">
        <f>SUM(Ingresos!$AG$129:$AG$130)</f>
        <v>2900</v>
      </c>
    </row>
    <row r="21" ht="12.0" customHeight="1">
      <c r="B21" s="275" t="s">
        <v>343</v>
      </c>
      <c r="C21" s="286">
        <f t="shared" si="5"/>
        <v>340</v>
      </c>
      <c r="D21" s="277">
        <f>SUM(Ingresos!AH$8:AH$9)</f>
        <v>20</v>
      </c>
      <c r="E21" s="277">
        <f>SUM(Ingresos!AH$19:AH$20)</f>
        <v>40</v>
      </c>
      <c r="F21" s="277">
        <f>SUM(Ingresos!AH$30:AH$31)</f>
        <v>40</v>
      </c>
      <c r="G21" s="277">
        <f>SUM(Ingresos!AH$41:AH$42)</f>
        <v>120</v>
      </c>
      <c r="H21" s="277">
        <f>SUM(Ingresos!$AH$52:$AH$53)</f>
        <v>120</v>
      </c>
      <c r="I21" s="278"/>
      <c r="J21" s="278"/>
      <c r="K21" s="278"/>
      <c r="L21" s="278"/>
      <c r="M21" s="278"/>
      <c r="N21" s="278"/>
      <c r="O21" s="278"/>
    </row>
    <row r="22" ht="12.0" customHeight="1">
      <c r="B22" s="275" t="s">
        <v>344</v>
      </c>
      <c r="C22" s="286">
        <f t="shared" si="5"/>
        <v>262.5</v>
      </c>
      <c r="D22" s="277">
        <f>SUM(Ingresos!AI$8:AI$9)</f>
        <v>262.5</v>
      </c>
      <c r="E22" s="279"/>
      <c r="F22" s="279"/>
      <c r="G22" s="278"/>
      <c r="H22" s="278"/>
      <c r="I22" s="278"/>
      <c r="J22" s="278"/>
      <c r="K22" s="278"/>
      <c r="L22" s="278"/>
      <c r="M22" s="278"/>
      <c r="N22" s="278"/>
      <c r="O22" s="278"/>
    </row>
    <row r="23" ht="12.0" customHeight="1">
      <c r="B23" s="275" t="s">
        <v>345</v>
      </c>
      <c r="C23" s="286">
        <f t="shared" si="5"/>
        <v>60</v>
      </c>
      <c r="D23" s="277">
        <f>SUM(Ingresos!AJ$8:AJ$9)</f>
        <v>60</v>
      </c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</row>
    <row r="24" ht="12.0" customHeight="1">
      <c r="B24" s="275" t="s">
        <v>351</v>
      </c>
      <c r="C24" s="286">
        <f t="shared" si="5"/>
        <v>10116</v>
      </c>
      <c r="D24" s="277">
        <f>SUM(Ingresos!AL$8:AL$9)</f>
        <v>100</v>
      </c>
      <c r="E24" s="277">
        <f>SUM(Ingresos!AL$19:AL$20)</f>
        <v>330</v>
      </c>
      <c r="F24" s="277">
        <f>SUM(Ingresos!AL$30:AL$31)</f>
        <v>800</v>
      </c>
      <c r="G24" s="277">
        <f>SUM(Ingresos!AL$41:AL$42)</f>
        <v>0</v>
      </c>
      <c r="H24" s="277">
        <f>SUM(Ingresos!$AL$52:$AL$53)</f>
        <v>903</v>
      </c>
      <c r="I24" s="277">
        <f>SUM(Ingresos!$AL$63:$AL$64)</f>
        <v>840</v>
      </c>
      <c r="J24" s="277">
        <f>SUM(Ingresos!$AL$74:$AL$75)</f>
        <v>720</v>
      </c>
      <c r="K24" s="277">
        <f>SUM(Ingresos!$AL$85:$AL$86)</f>
        <v>1176</v>
      </c>
      <c r="L24" s="277">
        <f>SUM(Ingresos!$AL$96:$AL$97)</f>
        <v>1176</v>
      </c>
      <c r="M24" s="277">
        <f>SUM(Ingresos!$AL$107:$AL$108)</f>
        <v>1376</v>
      </c>
      <c r="N24" s="277">
        <f>SUM(Ingresos!$AL$118:$AL$119)</f>
        <v>1470</v>
      </c>
      <c r="O24" s="277">
        <f>SUM(Ingresos!$AL$129:$AL$130)</f>
        <v>1225</v>
      </c>
    </row>
    <row r="25" ht="12.0" customHeight="1">
      <c r="B25" s="275" t="s">
        <v>346</v>
      </c>
      <c r="C25" s="286">
        <f t="shared" si="5"/>
        <v>7768</v>
      </c>
      <c r="D25" s="278"/>
      <c r="E25" s="269">
        <f>SUM(Ingresos!AK$19:AK$20)</f>
        <v>765</v>
      </c>
      <c r="F25" s="269">
        <f>SUM(Ingresos!AK$30:AK$31)</f>
        <v>849</v>
      </c>
      <c r="G25" s="277">
        <f>SUM(Ingresos!AK$41:AK$42)</f>
        <v>0</v>
      </c>
      <c r="H25" s="277">
        <f>SUM(Ingresos!$AK$52:$AK$53)</f>
        <v>1065</v>
      </c>
      <c r="I25" s="277">
        <f>SUM(Ingresos!$AK$63:$AK$64)</f>
        <v>1065</v>
      </c>
      <c r="J25" s="277">
        <f>SUM(Ingresos!$AK$74:$AK$75)</f>
        <v>360</v>
      </c>
      <c r="K25" s="277">
        <f>SUM(Ingresos!$AK$85:$AK$86)</f>
        <v>884</v>
      </c>
      <c r="L25" s="277">
        <f>SUM(Ingresos!$AK$96:$AK$97)</f>
        <v>810</v>
      </c>
      <c r="M25" s="277">
        <f>SUM(Ingresos!$AK$107:$AK$108)</f>
        <v>1050</v>
      </c>
      <c r="N25" s="277">
        <f>SUM(Ingresos!$AK$118:$AK$119)</f>
        <v>460</v>
      </c>
      <c r="O25" s="277">
        <f>SUM(Ingresos!$AK$129:$AK$130)</f>
        <v>460</v>
      </c>
    </row>
    <row r="26" ht="12.0" customHeight="1">
      <c r="B26" s="275" t="s">
        <v>231</v>
      </c>
      <c r="C26" s="286">
        <f t="shared" si="5"/>
        <v>2276</v>
      </c>
      <c r="D26" s="278"/>
      <c r="E26" s="278"/>
      <c r="F26" s="278"/>
      <c r="G26" s="277">
        <f>SUM(Ingresos!AM$41:AM$42)</f>
        <v>0</v>
      </c>
      <c r="H26" s="277">
        <f>SUM(Ingresos!$AM$52:$AM$53)</f>
        <v>320</v>
      </c>
      <c r="I26" s="277">
        <f>SUM(Ingresos!$AM$63:$AM$64)</f>
        <v>0</v>
      </c>
      <c r="J26" s="277">
        <f>SUM(Ingresos!$AM$74:$AM$75)</f>
        <v>365</v>
      </c>
      <c r="K26" s="277">
        <f>SUM(Ingresos!$AM$85:$AM$86)</f>
        <v>365</v>
      </c>
      <c r="L26" s="277">
        <f>SUM(Ingresos!$AM$96:$AM$97)</f>
        <v>365</v>
      </c>
      <c r="M26" s="277">
        <f>SUM(Ingresos!$AM$107:$AM$108)</f>
        <v>385</v>
      </c>
      <c r="N26" s="277">
        <f>SUM(Ingresos!$AM$118:$AM$119)</f>
        <v>476</v>
      </c>
      <c r="O26" s="277">
        <f>SUM(Ingresos!$AM$129:$AM$130)</f>
        <v>0</v>
      </c>
    </row>
    <row r="27" ht="12.0" customHeight="1">
      <c r="B27" s="275" t="s">
        <v>209</v>
      </c>
      <c r="C27" s="286">
        <f t="shared" si="5"/>
        <v>2736</v>
      </c>
      <c r="D27" s="277">
        <f>SUM(Ingresos!AN$8:AN$9)</f>
        <v>159</v>
      </c>
      <c r="E27" s="277">
        <f>SUM(Ingresos!AN$19:AN$20)</f>
        <v>243</v>
      </c>
      <c r="F27" s="277">
        <f>SUM(Ingresos!AN$30:AN$31)</f>
        <v>228</v>
      </c>
      <c r="G27" s="277">
        <f>SUM(Ingresos!AN$41:AN$42)</f>
        <v>390</v>
      </c>
      <c r="H27" s="277">
        <f>SUM(Ingresos!$AN$52:$AN$53)</f>
        <v>200</v>
      </c>
      <c r="I27" s="277">
        <f>SUM(Ingresos!$AN$63:$AN$64)</f>
        <v>0</v>
      </c>
      <c r="J27" s="277">
        <f>SUM(Ingresos!$AN$74:$AN$75)</f>
        <v>0</v>
      </c>
      <c r="K27" s="277">
        <f>SUM(Ingresos!$AN$85:$AN$86)</f>
        <v>0</v>
      </c>
      <c r="L27" s="277">
        <f>SUM(Ingresos!$AN$96:$AN$97)</f>
        <v>510</v>
      </c>
      <c r="M27" s="277">
        <f>SUM(Ingresos!$AN$107:$AN$108)</f>
        <v>660</v>
      </c>
      <c r="N27" s="277">
        <f>SUM(Ingresos!$AN$118:$AN$119)</f>
        <v>346</v>
      </c>
      <c r="O27" s="277">
        <f>SUM(Ingresos!$AN$129:$AN$130)</f>
        <v>0</v>
      </c>
    </row>
    <row r="28" ht="12.0" customHeight="1">
      <c r="B28" s="270" t="s">
        <v>340</v>
      </c>
      <c r="C28" s="271">
        <f t="shared" si="5"/>
        <v>37108.5</v>
      </c>
      <c r="D28" s="271">
        <f t="shared" ref="D28:O28" si="6">SUM(D20:D27)</f>
        <v>1737.5</v>
      </c>
      <c r="E28" s="271">
        <f t="shared" si="6"/>
        <v>2845</v>
      </c>
      <c r="F28" s="271">
        <f t="shared" si="6"/>
        <v>3226.5</v>
      </c>
      <c r="G28" s="271">
        <f t="shared" si="6"/>
        <v>2155</v>
      </c>
      <c r="H28" s="271">
        <f t="shared" si="6"/>
        <v>2608</v>
      </c>
      <c r="I28" s="271">
        <f t="shared" si="6"/>
        <v>3217.5</v>
      </c>
      <c r="J28" s="271">
        <f t="shared" si="6"/>
        <v>1445</v>
      </c>
      <c r="K28" s="271">
        <f t="shared" si="6"/>
        <v>3725</v>
      </c>
      <c r="L28" s="271">
        <f t="shared" si="6"/>
        <v>3641</v>
      </c>
      <c r="M28" s="271">
        <f t="shared" si="6"/>
        <v>4321</v>
      </c>
      <c r="N28" s="271">
        <f t="shared" si="6"/>
        <v>3602</v>
      </c>
      <c r="O28" s="271">
        <f t="shared" si="6"/>
        <v>4585</v>
      </c>
    </row>
    <row r="29" ht="12.0" customHeight="1">
      <c r="A29" s="264"/>
      <c r="B29" s="287" t="s">
        <v>349</v>
      </c>
      <c r="C29" s="281">
        <f t="shared" si="5"/>
        <v>33641</v>
      </c>
      <c r="D29" s="282">
        <v>1724.0</v>
      </c>
      <c r="E29" s="282">
        <v>3118.0</v>
      </c>
      <c r="F29" s="282">
        <v>3782.0</v>
      </c>
      <c r="G29" s="282">
        <v>2951.0</v>
      </c>
      <c r="H29" s="282">
        <v>2208.0</v>
      </c>
      <c r="I29" s="282">
        <v>4160.0</v>
      </c>
      <c r="J29" s="282">
        <v>390.0</v>
      </c>
      <c r="K29" s="282">
        <v>3010.0</v>
      </c>
      <c r="L29" s="282">
        <v>2374.0</v>
      </c>
      <c r="M29" s="282">
        <v>4000.0</v>
      </c>
      <c r="N29" s="282">
        <v>3229.0</v>
      </c>
      <c r="O29" s="282">
        <v>2695.0</v>
      </c>
    </row>
    <row r="30" ht="7.5" customHeight="1">
      <c r="A30" s="263"/>
      <c r="B30" s="272"/>
      <c r="C30" s="272"/>
      <c r="D30" s="272"/>
      <c r="E30" s="272"/>
      <c r="F30" s="272"/>
      <c r="G30" s="272"/>
      <c r="H30" s="272"/>
      <c r="I30" s="272"/>
      <c r="J30" s="272"/>
      <c r="K30" s="272"/>
      <c r="L30" s="272"/>
      <c r="M30" s="272"/>
      <c r="N30" s="272"/>
      <c r="O30" s="272"/>
    </row>
    <row r="31" ht="12.0" customHeight="1">
      <c r="A31" s="263"/>
      <c r="B31" s="288" t="s">
        <v>352</v>
      </c>
      <c r="C31" s="289">
        <f t="shared" ref="C31:O31" si="7">C16+C28</f>
        <v>81027</v>
      </c>
      <c r="D31" s="289">
        <f t="shared" si="7"/>
        <v>4019.5</v>
      </c>
      <c r="E31" s="289">
        <f t="shared" si="7"/>
        <v>7701</v>
      </c>
      <c r="F31" s="289">
        <f t="shared" si="7"/>
        <v>8178.5</v>
      </c>
      <c r="G31" s="289">
        <f t="shared" si="7"/>
        <v>4934</v>
      </c>
      <c r="H31" s="289">
        <f t="shared" si="7"/>
        <v>10222</v>
      </c>
      <c r="I31" s="289">
        <f t="shared" si="7"/>
        <v>8709</v>
      </c>
      <c r="J31" s="289">
        <f t="shared" si="7"/>
        <v>3875</v>
      </c>
      <c r="K31" s="289">
        <f t="shared" si="7"/>
        <v>7108</v>
      </c>
      <c r="L31" s="289">
        <f t="shared" si="7"/>
        <v>7134</v>
      </c>
      <c r="M31" s="289">
        <f t="shared" si="7"/>
        <v>8164</v>
      </c>
      <c r="N31" s="289">
        <f t="shared" si="7"/>
        <v>4162</v>
      </c>
      <c r="O31" s="289">
        <f t="shared" si="7"/>
        <v>6820</v>
      </c>
    </row>
  </sheetData>
  <mergeCells count="3">
    <mergeCell ref="B1:O1"/>
    <mergeCell ref="A2:A28"/>
    <mergeCell ref="B6:O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1.38"/>
    <col customWidth="1" min="2" max="2" width="29.38"/>
    <col customWidth="1" min="3" max="3" width="10.5"/>
    <col customWidth="1" min="4" max="15" width="9.63"/>
  </cols>
  <sheetData>
    <row r="1" ht="6.0" customHeight="1">
      <c r="A1" s="290"/>
      <c r="B1" s="290"/>
    </row>
    <row r="2" ht="21.0" customHeight="1">
      <c r="B2" s="291" t="s">
        <v>353</v>
      </c>
      <c r="C2" s="292" t="s">
        <v>263</v>
      </c>
      <c r="D2" s="292" t="s">
        <v>102</v>
      </c>
      <c r="E2" s="292" t="s">
        <v>103</v>
      </c>
      <c r="F2" s="292" t="s">
        <v>104</v>
      </c>
      <c r="G2" s="292" t="s">
        <v>105</v>
      </c>
      <c r="H2" s="292" t="s">
        <v>106</v>
      </c>
      <c r="I2" s="292" t="s">
        <v>107</v>
      </c>
      <c r="J2" s="292" t="s">
        <v>108</v>
      </c>
      <c r="K2" s="292" t="s">
        <v>109</v>
      </c>
      <c r="L2" s="293" t="s">
        <v>110</v>
      </c>
      <c r="M2" s="292" t="s">
        <v>111</v>
      </c>
      <c r="N2" s="292" t="s">
        <v>112</v>
      </c>
      <c r="O2" s="292" t="s">
        <v>101</v>
      </c>
    </row>
    <row r="3" ht="21.0" customHeight="1">
      <c r="B3" s="294" t="s">
        <v>354</v>
      </c>
      <c r="C3" s="295">
        <f t="shared" ref="C3:C7" si="1">SUM(D3:O3)</f>
        <v>10230</v>
      </c>
      <c r="D3" s="296">
        <f>SUM(Ingresos!AD$3:AD$7)</f>
        <v>1230</v>
      </c>
      <c r="E3" s="296">
        <f>SUM(Ingresos!AD$14:AD$18)</f>
        <v>1185</v>
      </c>
      <c r="F3" s="296">
        <f>SUM(Ingresos!AD$25:AD$29)</f>
        <v>660</v>
      </c>
      <c r="G3" s="296">
        <f>SUM(Ingresos!AD$36:AD$40)</f>
        <v>855</v>
      </c>
      <c r="H3" s="296">
        <f>SUM(Ingresos!$AD$47:$AD$51)</f>
        <v>975</v>
      </c>
      <c r="I3" s="296">
        <f>SUM(Ingresos!$AD$58:$AD$62)</f>
        <v>540</v>
      </c>
      <c r="J3" s="296">
        <f>SUM(Ingresos!$AD$69:$AD$73)</f>
        <v>360</v>
      </c>
      <c r="K3" s="296">
        <f>SUM(Ingresos!$AD$80:$AD$84)</f>
        <v>780</v>
      </c>
      <c r="L3" s="296">
        <f>SUM(Ingresos!$AD$91:$AD$95)</f>
        <v>1440</v>
      </c>
      <c r="M3" s="296">
        <f>SUM(Ingresos!$AD$102:$AD$106)</f>
        <v>525</v>
      </c>
      <c r="N3" s="296">
        <f>SUM(Ingresos!$AD$113:$AD$117)</f>
        <v>360</v>
      </c>
      <c r="O3" s="296">
        <f>SUM(Ingresos!$AD$124:$AD$128)</f>
        <v>1320</v>
      </c>
    </row>
    <row r="4" ht="21.0" customHeight="1">
      <c r="B4" s="294" t="s">
        <v>355</v>
      </c>
      <c r="C4" s="295">
        <f t="shared" si="1"/>
        <v>7224</v>
      </c>
      <c r="D4" s="296">
        <f>SUM(Ingresos!AE$3:AE$7)</f>
        <v>630</v>
      </c>
      <c r="E4" s="296">
        <f>SUM(Ingresos!AE$14:AE$18)</f>
        <v>504</v>
      </c>
      <c r="F4" s="296">
        <f>SUM(Ingresos!AE$25:AE$29)</f>
        <v>644</v>
      </c>
      <c r="G4" s="296">
        <f>SUM(Ingresos!AE$36:AE$40)</f>
        <v>602</v>
      </c>
      <c r="H4" s="296">
        <f>SUM(Ingresos!$AE$47:$AE$51)</f>
        <v>812</v>
      </c>
      <c r="I4" s="296">
        <f>SUM(Ingresos!$AE$58:$AE$62)</f>
        <v>168</v>
      </c>
      <c r="J4" s="296">
        <f>SUM(Ingresos!$AE$69:$AE$73)</f>
        <v>28</v>
      </c>
      <c r="K4" s="296">
        <f>SUM(Ingresos!$AE$80:$AE$84)</f>
        <v>1022</v>
      </c>
      <c r="L4" s="296">
        <f>SUM(Ingresos!$AE$91:$AE$95)</f>
        <v>1092</v>
      </c>
      <c r="M4" s="296">
        <f>SUM(Ingresos!$AE$102:$AE$106)</f>
        <v>938</v>
      </c>
      <c r="N4" s="296">
        <f>SUM(Ingresos!$AE$113:$AE$117)</f>
        <v>14</v>
      </c>
      <c r="O4" s="296">
        <f>SUM(Ingresos!$AE$124:$AE$128)</f>
        <v>770</v>
      </c>
    </row>
    <row r="5" ht="21.0" customHeight="1">
      <c r="B5" s="294" t="s">
        <v>356</v>
      </c>
      <c r="C5" s="295">
        <f t="shared" si="1"/>
        <v>9585</v>
      </c>
      <c r="D5" s="296">
        <f>SUM(Ingresos!AF$3:AF$7)</f>
        <v>2190</v>
      </c>
      <c r="E5" s="296">
        <f>SUM(Ingresos!AF$14:AF$18)</f>
        <v>1005</v>
      </c>
      <c r="F5" s="296">
        <f>SUM(Ingresos!AF$25:AF$29)</f>
        <v>1440</v>
      </c>
      <c r="G5" s="296">
        <f>SUM(Ingresos!AF$36:AF$40)</f>
        <v>255</v>
      </c>
      <c r="H5" s="296">
        <f>SUM(Ingresos!$AF$47:$AF$51)</f>
        <v>390</v>
      </c>
      <c r="I5" s="296">
        <f>SUM(Ingresos!$AF$58:$AF$62)</f>
        <v>645</v>
      </c>
      <c r="J5" s="296">
        <f>SUM(Ingresos!$AF$69:$AF$73)</f>
        <v>420</v>
      </c>
      <c r="K5" s="296">
        <f>SUM(Ingresos!$AF$80:$AF$84)</f>
        <v>1395</v>
      </c>
      <c r="L5" s="296">
        <f>SUM(Ingresos!$AF$91:$AF$95)</f>
        <v>870</v>
      </c>
      <c r="M5" s="296">
        <f>SUM(Ingresos!$AF$102:$AF$106)</f>
        <v>150</v>
      </c>
      <c r="N5" s="296">
        <f>SUM(Ingresos!$AF$113:$AF$117)</f>
        <v>0</v>
      </c>
      <c r="O5" s="296">
        <f>SUM(Ingresos!$AF$124:$AF$128)</f>
        <v>825</v>
      </c>
    </row>
    <row r="6" ht="21.0" customHeight="1">
      <c r="B6" s="297" t="s">
        <v>340</v>
      </c>
      <c r="C6" s="298">
        <f t="shared" si="1"/>
        <v>27039</v>
      </c>
      <c r="D6" s="298">
        <f t="shared" ref="D6:O6" si="2">SUM(D3:D5)</f>
        <v>4050</v>
      </c>
      <c r="E6" s="298">
        <f t="shared" si="2"/>
        <v>2694</v>
      </c>
      <c r="F6" s="298">
        <f t="shared" si="2"/>
        <v>2744</v>
      </c>
      <c r="G6" s="298">
        <f t="shared" si="2"/>
        <v>1712</v>
      </c>
      <c r="H6" s="298">
        <f t="shared" si="2"/>
        <v>2177</v>
      </c>
      <c r="I6" s="298">
        <f t="shared" si="2"/>
        <v>1353</v>
      </c>
      <c r="J6" s="298">
        <f t="shared" si="2"/>
        <v>808</v>
      </c>
      <c r="K6" s="298">
        <f t="shared" si="2"/>
        <v>3197</v>
      </c>
      <c r="L6" s="298">
        <f t="shared" si="2"/>
        <v>3402</v>
      </c>
      <c r="M6" s="298">
        <f t="shared" si="2"/>
        <v>1613</v>
      </c>
      <c r="N6" s="298">
        <f t="shared" si="2"/>
        <v>374</v>
      </c>
      <c r="O6" s="298">
        <f t="shared" si="2"/>
        <v>2915</v>
      </c>
    </row>
    <row r="7" ht="21.0" customHeight="1">
      <c r="B7" s="299" t="s">
        <v>349</v>
      </c>
      <c r="C7" s="300">
        <f t="shared" si="1"/>
        <v>29033</v>
      </c>
      <c r="D7" s="301">
        <v>3689.0</v>
      </c>
      <c r="E7" s="301">
        <v>3126.0</v>
      </c>
      <c r="F7" s="301">
        <v>2559.0</v>
      </c>
      <c r="G7" s="301">
        <v>1616.0</v>
      </c>
      <c r="H7" s="301">
        <v>2534.0</v>
      </c>
      <c r="I7" s="301">
        <v>2000.0</v>
      </c>
      <c r="J7" s="301">
        <v>1900.0</v>
      </c>
      <c r="K7" s="301">
        <v>2760.0</v>
      </c>
      <c r="L7" s="301">
        <v>3966.0</v>
      </c>
      <c r="M7" s="301">
        <v>1716.0</v>
      </c>
      <c r="N7" s="301">
        <v>1401.0</v>
      </c>
      <c r="O7" s="301">
        <v>1766.0</v>
      </c>
    </row>
    <row r="8" ht="6.0" customHeight="1">
      <c r="B8" s="290"/>
    </row>
    <row r="9" ht="27.0" customHeight="1">
      <c r="B9" s="302" t="s">
        <v>357</v>
      </c>
      <c r="C9" s="303">
        <f>SUM(D9:O9)</f>
        <v>164515.5</v>
      </c>
      <c r="D9" s="304">
        <v>13474.5</v>
      </c>
      <c r="E9" s="304">
        <v>13731.0</v>
      </c>
      <c r="F9" s="304">
        <v>13731.0</v>
      </c>
      <c r="G9" s="304">
        <v>13731.0</v>
      </c>
      <c r="H9" s="304">
        <v>13731.0</v>
      </c>
      <c r="I9" s="304">
        <v>13731.0</v>
      </c>
      <c r="J9" s="304">
        <v>13731.0</v>
      </c>
      <c r="K9" s="304">
        <v>13731.0</v>
      </c>
      <c r="L9" s="304">
        <v>13731.0</v>
      </c>
      <c r="M9" s="304">
        <v>13731.0</v>
      </c>
      <c r="N9" s="304">
        <v>13731.0</v>
      </c>
      <c r="O9" s="304">
        <v>13731.0</v>
      </c>
    </row>
    <row r="10" ht="27.0" customHeight="1">
      <c r="B10" s="305" t="s">
        <v>358</v>
      </c>
      <c r="C10" s="306">
        <f t="shared" ref="C10:O10" si="3">C6+C9</f>
        <v>191554.5</v>
      </c>
      <c r="D10" s="306">
        <f t="shared" si="3"/>
        <v>17524.5</v>
      </c>
      <c r="E10" s="306">
        <f t="shared" si="3"/>
        <v>16425</v>
      </c>
      <c r="F10" s="306">
        <f t="shared" si="3"/>
        <v>16475</v>
      </c>
      <c r="G10" s="306">
        <f t="shared" si="3"/>
        <v>15443</v>
      </c>
      <c r="H10" s="306">
        <f t="shared" si="3"/>
        <v>15908</v>
      </c>
      <c r="I10" s="306">
        <f t="shared" si="3"/>
        <v>15084</v>
      </c>
      <c r="J10" s="306">
        <f t="shared" si="3"/>
        <v>14539</v>
      </c>
      <c r="K10" s="306">
        <f t="shared" si="3"/>
        <v>16928</v>
      </c>
      <c r="L10" s="306">
        <f t="shared" si="3"/>
        <v>17133</v>
      </c>
      <c r="M10" s="306">
        <f t="shared" si="3"/>
        <v>15344</v>
      </c>
      <c r="N10" s="306">
        <f t="shared" si="3"/>
        <v>14105</v>
      </c>
      <c r="O10" s="306">
        <f t="shared" si="3"/>
        <v>16646</v>
      </c>
    </row>
  </sheetData>
  <mergeCells count="3">
    <mergeCell ref="A1:A10"/>
    <mergeCell ref="B1:O1"/>
    <mergeCell ref="B8:O8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35.63"/>
    <col customWidth="1" min="2" max="13" width="8.88"/>
    <col customWidth="1" min="14" max="14" width="10.75"/>
    <col customWidth="1" min="15" max="15" width="9.13"/>
  </cols>
  <sheetData>
    <row r="1">
      <c r="A1" s="307" t="s">
        <v>359</v>
      </c>
      <c r="B1" s="308" t="s">
        <v>102</v>
      </c>
      <c r="C1" s="308" t="s">
        <v>103</v>
      </c>
      <c r="D1" s="308" t="s">
        <v>104</v>
      </c>
      <c r="E1" s="308" t="s">
        <v>105</v>
      </c>
      <c r="F1" s="308" t="s">
        <v>106</v>
      </c>
      <c r="G1" s="308" t="s">
        <v>107</v>
      </c>
      <c r="H1" s="308" t="s">
        <v>108</v>
      </c>
      <c r="I1" s="308" t="s">
        <v>109</v>
      </c>
      <c r="J1" s="308" t="s">
        <v>110</v>
      </c>
      <c r="K1" s="308" t="s">
        <v>111</v>
      </c>
      <c r="L1" s="308" t="s">
        <v>112</v>
      </c>
      <c r="M1" s="309" t="s">
        <v>101</v>
      </c>
      <c r="N1" s="310" t="s">
        <v>263</v>
      </c>
      <c r="O1" s="311" t="s">
        <v>360</v>
      </c>
    </row>
    <row r="2" ht="13.5" customHeight="1">
      <c r="A2" s="312" t="s">
        <v>361</v>
      </c>
      <c r="B2" s="313">
        <v>22646.0</v>
      </c>
      <c r="C2" s="313">
        <v>18605.0</v>
      </c>
      <c r="D2" s="313">
        <v>21158.0</v>
      </c>
      <c r="E2" s="313">
        <v>18393.0</v>
      </c>
      <c r="F2" s="313">
        <v>15076.0</v>
      </c>
      <c r="G2" s="313">
        <v>18876.75</v>
      </c>
      <c r="H2" s="313">
        <v>18380.0</v>
      </c>
      <c r="I2" s="313">
        <v>19841.0</v>
      </c>
      <c r="J2" s="313">
        <v>20051.12</v>
      </c>
      <c r="K2" s="313">
        <v>15538.0</v>
      </c>
      <c r="L2" s="313">
        <v>15970.0</v>
      </c>
      <c r="M2" s="313">
        <v>18141.0</v>
      </c>
      <c r="N2" s="314">
        <f t="shared" ref="N2:N12" si="1">SUM(B2:M2)</f>
        <v>222675.87</v>
      </c>
      <c r="O2" s="315">
        <f>SUM(B2:M2)/11</f>
        <v>20243.26091</v>
      </c>
    </row>
    <row r="3" ht="13.5" customHeight="1">
      <c r="A3" s="312" t="s">
        <v>362</v>
      </c>
      <c r="B3" s="313">
        <f>'PDV 2016'!D6</f>
        <v>4050</v>
      </c>
      <c r="C3" s="316">
        <f>'PDV 2016'!E6</f>
        <v>2694</v>
      </c>
      <c r="D3" s="316">
        <f>'PDV 2016'!F6</f>
        <v>2744</v>
      </c>
      <c r="E3" s="313">
        <f>'PDV 2016'!G6</f>
        <v>1712</v>
      </c>
      <c r="F3" s="316">
        <f>'PDV 2016'!H6</f>
        <v>2177</v>
      </c>
      <c r="G3" s="316">
        <f>'PDV 2016'!I6</f>
        <v>1353</v>
      </c>
      <c r="H3" s="316">
        <f>'PDV 2016'!J6</f>
        <v>808</v>
      </c>
      <c r="I3" s="316">
        <f>'PDV 2016'!K6</f>
        <v>3197</v>
      </c>
      <c r="J3" s="316">
        <f>'PDV 2016'!L6</f>
        <v>3402</v>
      </c>
      <c r="K3" s="316">
        <f>'PDV 2016'!M6</f>
        <v>1613</v>
      </c>
      <c r="L3" s="316">
        <f>'PDV 2016'!N6</f>
        <v>374</v>
      </c>
      <c r="M3" s="316">
        <f>'PDV 2016'!O6</f>
        <v>2915</v>
      </c>
      <c r="N3" s="314">
        <f t="shared" si="1"/>
        <v>27039</v>
      </c>
      <c r="O3" s="315">
        <f>SUM(B3:M3)/7</f>
        <v>3862.714286</v>
      </c>
    </row>
    <row r="4" ht="13.5" customHeight="1">
      <c r="A4" s="312" t="s">
        <v>363</v>
      </c>
      <c r="B4" s="313">
        <f>'PDV 2016'!D9</f>
        <v>13474.5</v>
      </c>
      <c r="C4" s="313">
        <f>'PDV 2016'!E9</f>
        <v>13731</v>
      </c>
      <c r="D4" s="313">
        <f>'PDV 2016'!F9</f>
        <v>13731</v>
      </c>
      <c r="E4" s="316">
        <f>'PDV 2016'!G9</f>
        <v>13731</v>
      </c>
      <c r="F4" s="316">
        <f>'PDV 2016'!H9</f>
        <v>13731</v>
      </c>
      <c r="G4" s="316">
        <f>'PDV 2016'!I9</f>
        <v>13731</v>
      </c>
      <c r="H4" s="316">
        <f>'PDV 2016'!J9</f>
        <v>13731</v>
      </c>
      <c r="I4" s="316">
        <f>'PDV 2016'!K9</f>
        <v>13731</v>
      </c>
      <c r="J4" s="316">
        <f>'PDV 2016'!L9</f>
        <v>13731</v>
      </c>
      <c r="K4" s="316">
        <f>'PDV 2016'!M9</f>
        <v>13731</v>
      </c>
      <c r="L4" s="316">
        <f>'PDV 2016'!N9</f>
        <v>13731</v>
      </c>
      <c r="M4" s="316">
        <f>'PDV 2016'!O9</f>
        <v>13731</v>
      </c>
      <c r="N4" s="314">
        <f t="shared" si="1"/>
        <v>164515.5</v>
      </c>
      <c r="O4" s="315">
        <f>SUM(B4:M4)/10</f>
        <v>16451.55</v>
      </c>
    </row>
    <row r="5">
      <c r="A5" s="317" t="s">
        <v>364</v>
      </c>
      <c r="B5" s="318">
        <f t="shared" ref="B5:M5" si="2">SUM(B2:B4)</f>
        <v>40170.5</v>
      </c>
      <c r="C5" s="318">
        <f t="shared" si="2"/>
        <v>35030</v>
      </c>
      <c r="D5" s="318">
        <f t="shared" si="2"/>
        <v>37633</v>
      </c>
      <c r="E5" s="318">
        <f t="shared" si="2"/>
        <v>33836</v>
      </c>
      <c r="F5" s="318">
        <f t="shared" si="2"/>
        <v>30984</v>
      </c>
      <c r="G5" s="318">
        <f t="shared" si="2"/>
        <v>33960.75</v>
      </c>
      <c r="H5" s="318">
        <f t="shared" si="2"/>
        <v>32919</v>
      </c>
      <c r="I5" s="318">
        <f t="shared" si="2"/>
        <v>36769</v>
      </c>
      <c r="J5" s="318">
        <f t="shared" si="2"/>
        <v>37184.12</v>
      </c>
      <c r="K5" s="318">
        <f t="shared" si="2"/>
        <v>30882</v>
      </c>
      <c r="L5" s="318">
        <f t="shared" si="2"/>
        <v>30075</v>
      </c>
      <c r="M5" s="318">
        <f t="shared" si="2"/>
        <v>34787</v>
      </c>
      <c r="N5" s="319">
        <f t="shared" si="1"/>
        <v>414230.37</v>
      </c>
      <c r="O5" s="320">
        <f>SUM(O2:O4)</f>
        <v>40557.52519</v>
      </c>
    </row>
    <row r="6" ht="13.5" customHeight="1">
      <c r="A6" s="321" t="s">
        <v>365</v>
      </c>
      <c r="B6" s="322">
        <f>Gastos!K37+Gastos!L37</f>
        <v>29498.27</v>
      </c>
      <c r="C6" s="322">
        <f>Gastos!O37+Gastos!P37</f>
        <v>28131.89</v>
      </c>
      <c r="D6" s="322">
        <f>Gastos!S37+Gastos!T37</f>
        <v>31315.39</v>
      </c>
      <c r="E6" s="322">
        <f>Gastos!W37+Gastos!X37</f>
        <v>30542.84</v>
      </c>
      <c r="F6" s="322">
        <f>Gastos!AA37+Gastos!AB37</f>
        <v>29884.07</v>
      </c>
      <c r="G6" s="322">
        <f>Gastos!AE37+Gastos!AF37</f>
        <v>29098.329</v>
      </c>
      <c r="H6" s="322">
        <f>Gastos!AI37+Gastos!AJ37</f>
        <v>46112.79</v>
      </c>
      <c r="I6" s="322">
        <f>Gastos!AM37+Gastos!AN37</f>
        <v>38693.11</v>
      </c>
      <c r="J6" s="322">
        <f>Gastos!AQ37+Gastos!AR37</f>
        <v>31636.9</v>
      </c>
      <c r="K6" s="322">
        <f>Gastos!AU37+Gastos!AV37</f>
        <v>29222.66</v>
      </c>
      <c r="L6" s="322">
        <f>Gastos!AY37+Gastos!AZ37</f>
        <v>41728.45</v>
      </c>
      <c r="M6" s="322">
        <f>Gastos!BC37+Gastos!BD37</f>
        <v>44706.69</v>
      </c>
      <c r="N6" s="323">
        <f t="shared" si="1"/>
        <v>410571.389</v>
      </c>
      <c r="O6" s="324">
        <f>SUM(B6:M6)/11</f>
        <v>37324.67173</v>
      </c>
    </row>
    <row r="7" ht="13.5" customHeight="1">
      <c r="A7" s="321" t="s">
        <v>366</v>
      </c>
      <c r="B7" s="325">
        <v>1332.5</v>
      </c>
      <c r="C7" s="325">
        <v>854.0</v>
      </c>
      <c r="D7" s="325">
        <v>686.0</v>
      </c>
      <c r="E7" s="325">
        <v>550.0</v>
      </c>
      <c r="F7" s="325">
        <v>686.0</v>
      </c>
      <c r="G7" s="325">
        <v>410.0</v>
      </c>
      <c r="H7" s="325">
        <v>320.0</v>
      </c>
      <c r="I7" s="325">
        <v>483.0</v>
      </c>
      <c r="J7" s="325">
        <v>483.0</v>
      </c>
      <c r="K7" s="325">
        <v>300.0</v>
      </c>
      <c r="L7" s="325">
        <v>300.0</v>
      </c>
      <c r="M7" s="325">
        <v>300.0</v>
      </c>
      <c r="N7" s="323">
        <f t="shared" si="1"/>
        <v>6704.5</v>
      </c>
      <c r="O7" s="324">
        <f>SUM(B7:M7)/10</f>
        <v>670.45</v>
      </c>
    </row>
    <row r="8" ht="13.5" customHeight="1">
      <c r="A8" s="326" t="s">
        <v>367</v>
      </c>
      <c r="B8" s="327">
        <f t="shared" ref="B8:M8" si="3">SUM(B6:B7)</f>
        <v>30830.77</v>
      </c>
      <c r="C8" s="327">
        <f t="shared" si="3"/>
        <v>28985.89</v>
      </c>
      <c r="D8" s="327">
        <f t="shared" si="3"/>
        <v>32001.39</v>
      </c>
      <c r="E8" s="327">
        <f t="shared" si="3"/>
        <v>31092.84</v>
      </c>
      <c r="F8" s="327">
        <f t="shared" si="3"/>
        <v>30570.07</v>
      </c>
      <c r="G8" s="327">
        <f t="shared" si="3"/>
        <v>29508.329</v>
      </c>
      <c r="H8" s="327">
        <f t="shared" si="3"/>
        <v>46432.79</v>
      </c>
      <c r="I8" s="327">
        <f t="shared" si="3"/>
        <v>39176.11</v>
      </c>
      <c r="J8" s="327">
        <f t="shared" si="3"/>
        <v>32119.9</v>
      </c>
      <c r="K8" s="327">
        <f t="shared" si="3"/>
        <v>29522.66</v>
      </c>
      <c r="L8" s="327">
        <f t="shared" si="3"/>
        <v>42028.45</v>
      </c>
      <c r="M8" s="327">
        <f t="shared" si="3"/>
        <v>45006.69</v>
      </c>
      <c r="N8" s="328">
        <f t="shared" si="1"/>
        <v>417275.889</v>
      </c>
      <c r="O8" s="329">
        <f>SUM(O6:O7)</f>
        <v>37995.12173</v>
      </c>
    </row>
    <row r="9" ht="13.5" customHeight="1">
      <c r="A9" s="330" t="s">
        <v>368</v>
      </c>
      <c r="B9" s="331">
        <f t="shared" ref="B9:M9" si="4">B5-B8</f>
        <v>9339.73</v>
      </c>
      <c r="C9" s="331">
        <f t="shared" si="4"/>
        <v>6044.11</v>
      </c>
      <c r="D9" s="331">
        <f t="shared" si="4"/>
        <v>5631.61</v>
      </c>
      <c r="E9" s="331">
        <f t="shared" si="4"/>
        <v>2743.16</v>
      </c>
      <c r="F9" s="331">
        <f t="shared" si="4"/>
        <v>413.93</v>
      </c>
      <c r="G9" s="331">
        <f t="shared" si="4"/>
        <v>4452.421</v>
      </c>
      <c r="H9" s="331">
        <f t="shared" si="4"/>
        <v>-13513.79</v>
      </c>
      <c r="I9" s="331">
        <f t="shared" si="4"/>
        <v>-2407.11</v>
      </c>
      <c r="J9" s="331">
        <f t="shared" si="4"/>
        <v>5064.22</v>
      </c>
      <c r="K9" s="331">
        <f t="shared" si="4"/>
        <v>1359.34</v>
      </c>
      <c r="L9" s="331">
        <f t="shared" si="4"/>
        <v>-11953.45</v>
      </c>
      <c r="M9" s="331">
        <f t="shared" si="4"/>
        <v>-10219.69</v>
      </c>
      <c r="N9" s="332">
        <f t="shared" si="1"/>
        <v>-3045.519</v>
      </c>
      <c r="O9" s="333">
        <f>SUM(B9:M9)/11</f>
        <v>-276.8653636</v>
      </c>
    </row>
    <row r="10" ht="13.5" customHeight="1">
      <c r="A10" s="321" t="s">
        <v>369</v>
      </c>
      <c r="B10" s="325">
        <f>(Gastos!M35-B7-B22)/2</f>
        <v>1172.95</v>
      </c>
      <c r="C10" s="325">
        <f>(Gastos!Q35-C7-C22)/2</f>
        <v>1328</v>
      </c>
      <c r="D10" s="325">
        <f>(Gastos!U35-D7-D22)/2</f>
        <v>2383.5</v>
      </c>
      <c r="E10" s="325">
        <f>(Gastos!Y35-E7-E22)/2</f>
        <v>663</v>
      </c>
      <c r="F10" s="325">
        <f>(Gastos!AC35-F7-F22)/2</f>
        <v>2411</v>
      </c>
      <c r="G10" s="325">
        <f>(Gastos!AG35-G7-G22)/2</f>
        <v>2609.25</v>
      </c>
      <c r="H10" s="325">
        <f>(Gastos!AK35-H7-H22)/2</f>
        <v>305.5</v>
      </c>
      <c r="I10" s="325">
        <f>(Gastos!AO35-I7-I22)/2</f>
        <v>634.5</v>
      </c>
      <c r="J10" s="325">
        <f>(Gastos!AS35-J7-J22)/2</f>
        <v>1002</v>
      </c>
      <c r="K10" s="325">
        <f>(Gastos!AW35-K7-K22)/2</f>
        <v>2708.5</v>
      </c>
      <c r="L10" s="325">
        <f>(Gastos!BA35-L7-L22)/2</f>
        <v>1415</v>
      </c>
      <c r="M10" s="325">
        <f>(Gastos!BE35-M7-M22)/2</f>
        <v>4006</v>
      </c>
      <c r="N10" s="323">
        <f t="shared" si="1"/>
        <v>20639.2</v>
      </c>
      <c r="O10" s="324">
        <f t="shared" ref="O10:O11" si="5">SUM(B10:M10)/10</f>
        <v>2063.92</v>
      </c>
    </row>
    <row r="11" ht="13.5" customHeight="1">
      <c r="A11" s="321" t="s">
        <v>370</v>
      </c>
      <c r="B11" s="325">
        <f>(Gastos!M16+Gastos!M17)/2</f>
        <v>615.07</v>
      </c>
      <c r="C11" s="325">
        <f>(Gastos!Q16+Gastos!Q17)/2</f>
        <v>613.07</v>
      </c>
      <c r="D11" s="325">
        <f>(Gastos!U16+Gastos!U17)/2</f>
        <v>613.07</v>
      </c>
      <c r="E11" s="325">
        <f>(Gastos!Y16+Gastos!Y17)/2</f>
        <v>613.07</v>
      </c>
      <c r="F11" s="325">
        <f>(Gastos!AC16+Gastos!AC17)/2</f>
        <v>613.07</v>
      </c>
      <c r="G11" s="325">
        <f>(Gastos!AG16+Gastos!AG17)/2</f>
        <v>613.07</v>
      </c>
      <c r="H11" s="325">
        <f>(Gastos!AK16+Gastos!AK17)/2</f>
        <v>613.07</v>
      </c>
      <c r="I11" s="325">
        <f>(Gastos!AO16+Gastos!AO17)/2</f>
        <v>589.415</v>
      </c>
      <c r="J11" s="325">
        <f>(Gastos!AS16+Gastos!AS17)/2</f>
        <v>589.415</v>
      </c>
      <c r="K11" s="325">
        <f>(Gastos!AW16+Gastos!AW17)/2</f>
        <v>589.415</v>
      </c>
      <c r="L11" s="325">
        <f>(Gastos!BA16+Gastos!BA17)/2</f>
        <v>589.415</v>
      </c>
      <c r="M11" s="325">
        <f>(Gastos!BE16+Gastos!BE17)/2</f>
        <v>588.33</v>
      </c>
      <c r="N11" s="323">
        <f t="shared" si="1"/>
        <v>7239.48</v>
      </c>
      <c r="O11" s="324">
        <f t="shared" si="5"/>
        <v>723.948</v>
      </c>
    </row>
    <row r="12">
      <c r="A12" s="330" t="s">
        <v>371</v>
      </c>
      <c r="B12" s="331">
        <f t="shared" ref="B12:M12" si="6">B9-B10-B11</f>
        <v>7551.71</v>
      </c>
      <c r="C12" s="331">
        <f t="shared" si="6"/>
        <v>4103.04</v>
      </c>
      <c r="D12" s="331">
        <f t="shared" si="6"/>
        <v>2635.04</v>
      </c>
      <c r="E12" s="331">
        <f t="shared" si="6"/>
        <v>1467.09</v>
      </c>
      <c r="F12" s="331">
        <f t="shared" si="6"/>
        <v>-2610.14</v>
      </c>
      <c r="G12" s="331">
        <f t="shared" si="6"/>
        <v>1230.101</v>
      </c>
      <c r="H12" s="331">
        <f t="shared" si="6"/>
        <v>-14432.36</v>
      </c>
      <c r="I12" s="331">
        <f t="shared" si="6"/>
        <v>-3631.025</v>
      </c>
      <c r="J12" s="331">
        <f t="shared" si="6"/>
        <v>3472.805</v>
      </c>
      <c r="K12" s="331">
        <f t="shared" si="6"/>
        <v>-1938.575</v>
      </c>
      <c r="L12" s="331">
        <f t="shared" si="6"/>
        <v>-13957.865</v>
      </c>
      <c r="M12" s="331">
        <f t="shared" si="6"/>
        <v>-14814.02</v>
      </c>
      <c r="N12" s="332">
        <f t="shared" si="1"/>
        <v>-30924.199</v>
      </c>
      <c r="O12" s="334">
        <f>SUM(O6:O11)</f>
        <v>78501.24609</v>
      </c>
    </row>
    <row r="13" ht="9.75" customHeight="1">
      <c r="A13" s="335"/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7"/>
      <c r="N13" s="337"/>
      <c r="O13" s="337"/>
    </row>
    <row r="14">
      <c r="A14" s="338" t="s">
        <v>372</v>
      </c>
      <c r="B14" s="339" t="s">
        <v>102</v>
      </c>
      <c r="C14" s="339" t="s">
        <v>103</v>
      </c>
      <c r="D14" s="339" t="s">
        <v>104</v>
      </c>
      <c r="E14" s="339" t="s">
        <v>105</v>
      </c>
      <c r="F14" s="339" t="s">
        <v>106</v>
      </c>
      <c r="G14" s="339" t="s">
        <v>107</v>
      </c>
      <c r="H14" s="339" t="s">
        <v>108</v>
      </c>
      <c r="I14" s="339" t="s">
        <v>109</v>
      </c>
      <c r="J14" s="339" t="s">
        <v>110</v>
      </c>
      <c r="K14" s="339" t="s">
        <v>111</v>
      </c>
      <c r="L14" s="339" t="s">
        <v>112</v>
      </c>
      <c r="M14" s="340" t="s">
        <v>101</v>
      </c>
      <c r="N14" s="341" t="s">
        <v>263</v>
      </c>
      <c r="O14" s="342" t="s">
        <v>360</v>
      </c>
    </row>
    <row r="15" ht="14.25" customHeight="1">
      <c r="A15" s="343" t="s">
        <v>373</v>
      </c>
      <c r="B15" s="344">
        <v>2948.0</v>
      </c>
      <c r="C15" s="344">
        <v>4861.0</v>
      </c>
      <c r="D15" s="344">
        <v>4449.0</v>
      </c>
      <c r="E15" s="344">
        <v>5554.0</v>
      </c>
      <c r="F15" s="344">
        <v>5580.0</v>
      </c>
      <c r="G15" s="344">
        <v>6386.0</v>
      </c>
      <c r="H15" s="344">
        <v>3152.0</v>
      </c>
      <c r="I15" s="344">
        <v>4307.0</v>
      </c>
      <c r="J15" s="344">
        <v>4602.0</v>
      </c>
      <c r="K15" s="344">
        <v>5627.0</v>
      </c>
      <c r="L15" s="344">
        <v>4479.0</v>
      </c>
      <c r="M15" s="344">
        <v>5062.0</v>
      </c>
      <c r="N15" s="345">
        <f t="shared" ref="N15:N27" si="7">SUM(B15:M15)</f>
        <v>57007</v>
      </c>
      <c r="O15" s="346">
        <f>SUM(B15:M15)/11</f>
        <v>5182.454545</v>
      </c>
    </row>
    <row r="16" ht="14.25" customHeight="1">
      <c r="A16" s="347" t="s">
        <v>374</v>
      </c>
      <c r="B16" s="348">
        <f>'FFVV 2016'!D3</f>
        <v>12294.6</v>
      </c>
      <c r="C16" s="348">
        <f>'FFVV 2016'!E3</f>
        <v>10950</v>
      </c>
      <c r="D16" s="348">
        <f>'FFVV 2016'!F3</f>
        <v>8400</v>
      </c>
      <c r="E16" s="348">
        <f>'FFVV 2016'!G3</f>
        <v>17400</v>
      </c>
      <c r="F16" s="348">
        <f>'FFVV 2016'!H3</f>
        <v>13000</v>
      </c>
      <c r="G16" s="348">
        <f>'FFVV 2016'!I3</f>
        <v>10400</v>
      </c>
      <c r="H16" s="348">
        <f>'FFVV 2016'!J3</f>
        <v>9710.72</v>
      </c>
      <c r="I16" s="348">
        <f>'FFVV 2016'!K3</f>
        <v>20800</v>
      </c>
      <c r="J16" s="348">
        <f>'FFVV 2016'!L3</f>
        <v>11420</v>
      </c>
      <c r="K16" s="348">
        <f>'FFVV 2016'!M3</f>
        <v>12460</v>
      </c>
      <c r="L16" s="348">
        <f>'FFVV 2016'!N3</f>
        <v>12330</v>
      </c>
      <c r="M16" s="348">
        <f>'FFVV 2016'!O3</f>
        <v>13200</v>
      </c>
      <c r="N16" s="345">
        <f t="shared" si="7"/>
        <v>152365.32</v>
      </c>
      <c r="O16" s="346">
        <f t="shared" ref="O16:O17" si="8">SUM(B16:M16)/10</f>
        <v>15236.532</v>
      </c>
    </row>
    <row r="17" ht="14.25" customHeight="1">
      <c r="A17" s="347" t="s">
        <v>375</v>
      </c>
      <c r="B17" s="344">
        <f>'FFVV 2016'!D4</f>
        <v>4550</v>
      </c>
      <c r="C17" s="344">
        <f>'FFVV 2016'!E4</f>
        <v>4550</v>
      </c>
      <c r="D17" s="344">
        <f>'FFVV 2016'!F4</f>
        <v>4550</v>
      </c>
      <c r="E17" s="344">
        <f>'FFVV 2016'!G4</f>
        <v>4900</v>
      </c>
      <c r="F17" s="344">
        <f>'FFVV 2016'!H4</f>
        <v>4900</v>
      </c>
      <c r="G17" s="344">
        <f>'FFVV 2016'!I4</f>
        <v>4900</v>
      </c>
      <c r="H17" s="344">
        <f>'FFVV 2016'!J4</f>
        <v>4900</v>
      </c>
      <c r="I17" s="344">
        <v>4900.0</v>
      </c>
      <c r="J17" s="344">
        <f>'FFVV 2016'!L4</f>
        <v>4900</v>
      </c>
      <c r="K17" s="344">
        <f>'FFVV 2016'!M4</f>
        <v>4900</v>
      </c>
      <c r="L17" s="344">
        <f>'FFVV 2016'!N4</f>
        <v>4900</v>
      </c>
      <c r="M17" s="344">
        <f>'FFVV 2016'!O4</f>
        <v>4900</v>
      </c>
      <c r="N17" s="345">
        <f t="shared" si="7"/>
        <v>57750</v>
      </c>
      <c r="O17" s="346">
        <f t="shared" si="8"/>
        <v>5775</v>
      </c>
    </row>
    <row r="18" ht="14.25" customHeight="1">
      <c r="A18" s="343" t="s">
        <v>376</v>
      </c>
      <c r="B18" s="344">
        <f>'FFVV 2016'!D16</f>
        <v>2282</v>
      </c>
      <c r="C18" s="344">
        <f>'FFVV 2016'!E16</f>
        <v>4856</v>
      </c>
      <c r="D18" s="344">
        <f>'FFVV 2016'!F16</f>
        <v>4952</v>
      </c>
      <c r="E18" s="344">
        <f>'FFVV 2016'!G16</f>
        <v>2779</v>
      </c>
      <c r="F18" s="344">
        <f>'FFVV 2016'!H16</f>
        <v>7614</v>
      </c>
      <c r="G18" s="344">
        <f>'FFVV 2016'!I16</f>
        <v>5491.5</v>
      </c>
      <c r="H18" s="344">
        <f>'FFVV 2016'!J16</f>
        <v>2430</v>
      </c>
      <c r="I18" s="344">
        <f>'FFVV 2016'!K16</f>
        <v>3383</v>
      </c>
      <c r="J18" s="344">
        <f>'FFVV 2016'!L16</f>
        <v>3493</v>
      </c>
      <c r="K18" s="344">
        <f>'FFVV 2016'!M16</f>
        <v>3843</v>
      </c>
      <c r="L18" s="344">
        <f>'FFVV 2016'!N16</f>
        <v>560</v>
      </c>
      <c r="M18" s="344">
        <f>'FFVV 2016'!O16</f>
        <v>2235</v>
      </c>
      <c r="N18" s="345">
        <f t="shared" si="7"/>
        <v>43918.5</v>
      </c>
      <c r="O18" s="346">
        <f t="shared" ref="O18:O19" si="9">SUM(B18:M18)/7</f>
        <v>6274.071429</v>
      </c>
    </row>
    <row r="19" ht="14.25" customHeight="1">
      <c r="A19" s="343" t="s">
        <v>377</v>
      </c>
      <c r="B19" s="344">
        <f>'FFVV 2016'!D28</f>
        <v>1737.5</v>
      </c>
      <c r="C19" s="344">
        <f>'FFVV 2016'!E28</f>
        <v>2845</v>
      </c>
      <c r="D19" s="344">
        <f>'FFVV 2016'!F28</f>
        <v>3226.5</v>
      </c>
      <c r="E19" s="344">
        <f>'FFVV 2016'!G28</f>
        <v>2155</v>
      </c>
      <c r="F19" s="344">
        <f>'FFVV 2016'!H28</f>
        <v>2608</v>
      </c>
      <c r="G19" s="344">
        <f>'FFVV 2016'!I28</f>
        <v>3217.5</v>
      </c>
      <c r="H19" s="344">
        <f>'FFVV 2016'!J28</f>
        <v>1445</v>
      </c>
      <c r="I19" s="344">
        <f>'FFVV 2016'!K28</f>
        <v>3725</v>
      </c>
      <c r="J19" s="344">
        <f>'FFVV 2016'!L28</f>
        <v>3641</v>
      </c>
      <c r="K19" s="344">
        <f>'FFVV 2016'!M28</f>
        <v>4321</v>
      </c>
      <c r="L19" s="344">
        <f>'FFVV 2016'!N28</f>
        <v>3602</v>
      </c>
      <c r="M19" s="344">
        <f>'FFVV 2016'!O28</f>
        <v>4585</v>
      </c>
      <c r="N19" s="345">
        <f t="shared" si="7"/>
        <v>37108.5</v>
      </c>
      <c r="O19" s="346">
        <f t="shared" si="9"/>
        <v>5301.214286</v>
      </c>
    </row>
    <row r="20">
      <c r="A20" s="349" t="s">
        <v>378</v>
      </c>
      <c r="B20" s="350">
        <f t="shared" ref="B20:M20" si="10">SUM(B15:B19)</f>
        <v>23812.1</v>
      </c>
      <c r="C20" s="350">
        <f t="shared" si="10"/>
        <v>28062</v>
      </c>
      <c r="D20" s="350">
        <f t="shared" si="10"/>
        <v>25577.5</v>
      </c>
      <c r="E20" s="350">
        <f t="shared" si="10"/>
        <v>32788</v>
      </c>
      <c r="F20" s="350">
        <f t="shared" si="10"/>
        <v>33702</v>
      </c>
      <c r="G20" s="350">
        <f t="shared" si="10"/>
        <v>30395</v>
      </c>
      <c r="H20" s="350">
        <f t="shared" si="10"/>
        <v>21637.72</v>
      </c>
      <c r="I20" s="350">
        <f t="shared" si="10"/>
        <v>37115</v>
      </c>
      <c r="J20" s="350">
        <f t="shared" si="10"/>
        <v>28056</v>
      </c>
      <c r="K20" s="350">
        <f t="shared" si="10"/>
        <v>31151</v>
      </c>
      <c r="L20" s="350">
        <f t="shared" si="10"/>
        <v>25871</v>
      </c>
      <c r="M20" s="350">
        <f t="shared" si="10"/>
        <v>29982</v>
      </c>
      <c r="N20" s="351">
        <f t="shared" si="7"/>
        <v>348149.32</v>
      </c>
      <c r="O20" s="352">
        <f>SUM(O15:O19)</f>
        <v>37769.27226</v>
      </c>
    </row>
    <row r="21" ht="14.25" customHeight="1">
      <c r="A21" s="321" t="s">
        <v>379</v>
      </c>
      <c r="B21" s="322">
        <f>Gastos!J37</f>
        <v>15586.45</v>
      </c>
      <c r="C21" s="322">
        <f>Gastos!N37</f>
        <v>15749.48</v>
      </c>
      <c r="D21" s="322">
        <f>Gastos!R37</f>
        <v>15792.94</v>
      </c>
      <c r="E21" s="322">
        <f>Gastos!V37</f>
        <v>20684.6</v>
      </c>
      <c r="F21" s="322">
        <f>Gastos!Z37</f>
        <v>18290.74</v>
      </c>
      <c r="G21" s="322">
        <f>Gastos!AD37</f>
        <v>18528.29</v>
      </c>
      <c r="H21" s="322">
        <f>Gastos!AH37</f>
        <v>30568.01</v>
      </c>
      <c r="I21" s="322">
        <f>Gastos!AL37</f>
        <v>20158.76</v>
      </c>
      <c r="J21" s="322">
        <f>Gastos!AP37</f>
        <v>19638.48</v>
      </c>
      <c r="K21" s="322">
        <f>Gastos!AT37</f>
        <v>20221.75</v>
      </c>
      <c r="L21" s="322">
        <f>Gastos!AX37</f>
        <v>27990.38</v>
      </c>
      <c r="M21" s="322">
        <f>Gastos!BB37</f>
        <v>28331.32</v>
      </c>
      <c r="N21" s="323">
        <f t="shared" si="7"/>
        <v>251541.2</v>
      </c>
      <c r="O21" s="324">
        <f>SUM(B21:M21)/11</f>
        <v>22867.38182</v>
      </c>
    </row>
    <row r="22" ht="14.25" customHeight="1">
      <c r="A22" s="321" t="s">
        <v>380</v>
      </c>
      <c r="B22" s="325">
        <v>2339.6</v>
      </c>
      <c r="C22" s="325">
        <v>2852.0</v>
      </c>
      <c r="D22" s="325">
        <v>2817.0</v>
      </c>
      <c r="E22" s="325">
        <v>2934.0</v>
      </c>
      <c r="F22" s="325">
        <v>2525.0</v>
      </c>
      <c r="G22" s="325">
        <v>1935.0</v>
      </c>
      <c r="H22" s="325">
        <v>2415.0</v>
      </c>
      <c r="I22" s="325">
        <v>1388.0</v>
      </c>
      <c r="J22" s="325">
        <v>1533.0</v>
      </c>
      <c r="K22" s="325">
        <v>2393.0</v>
      </c>
      <c r="L22" s="325">
        <v>930.0</v>
      </c>
      <c r="M22" s="325">
        <v>1471.0</v>
      </c>
      <c r="N22" s="323">
        <f t="shared" si="7"/>
        <v>25532.6</v>
      </c>
      <c r="O22" s="324">
        <f>SUM(B22:M22)/10</f>
        <v>2553.26</v>
      </c>
    </row>
    <row r="23" ht="14.25" customHeight="1">
      <c r="A23" s="326" t="s">
        <v>381</v>
      </c>
      <c r="B23" s="327">
        <f t="shared" ref="B23:M23" si="11">SUM(B21:B22)</f>
        <v>17926.05</v>
      </c>
      <c r="C23" s="327">
        <f t="shared" si="11"/>
        <v>18601.48</v>
      </c>
      <c r="D23" s="327">
        <f t="shared" si="11"/>
        <v>18609.94</v>
      </c>
      <c r="E23" s="327">
        <f t="shared" si="11"/>
        <v>23618.6</v>
      </c>
      <c r="F23" s="327">
        <f t="shared" si="11"/>
        <v>20815.74</v>
      </c>
      <c r="G23" s="327">
        <f t="shared" si="11"/>
        <v>20463.29</v>
      </c>
      <c r="H23" s="327">
        <f t="shared" si="11"/>
        <v>32983.01</v>
      </c>
      <c r="I23" s="327">
        <f t="shared" si="11"/>
        <v>21546.76</v>
      </c>
      <c r="J23" s="327">
        <f t="shared" si="11"/>
        <v>21171.48</v>
      </c>
      <c r="K23" s="327">
        <f t="shared" si="11"/>
        <v>22614.75</v>
      </c>
      <c r="L23" s="327">
        <f t="shared" si="11"/>
        <v>28920.38</v>
      </c>
      <c r="M23" s="327">
        <f t="shared" si="11"/>
        <v>29802.32</v>
      </c>
      <c r="N23" s="328">
        <f t="shared" si="7"/>
        <v>277073.8</v>
      </c>
      <c r="O23" s="329">
        <f>SUM(O21:O22)</f>
        <v>25420.64182</v>
      </c>
    </row>
    <row r="24" ht="14.25" customHeight="1">
      <c r="A24" s="330" t="s">
        <v>382</v>
      </c>
      <c r="B24" s="331">
        <f t="shared" ref="B24:M24" si="12">B20-B23</f>
        <v>5886.05</v>
      </c>
      <c r="C24" s="331">
        <f t="shared" si="12"/>
        <v>9460.52</v>
      </c>
      <c r="D24" s="331">
        <f t="shared" si="12"/>
        <v>6967.56</v>
      </c>
      <c r="E24" s="331">
        <f t="shared" si="12"/>
        <v>9169.4</v>
      </c>
      <c r="F24" s="331">
        <f t="shared" si="12"/>
        <v>12886.26</v>
      </c>
      <c r="G24" s="331">
        <f t="shared" si="12"/>
        <v>9931.71</v>
      </c>
      <c r="H24" s="331">
        <f t="shared" si="12"/>
        <v>-11345.29</v>
      </c>
      <c r="I24" s="331">
        <f t="shared" si="12"/>
        <v>15568.24</v>
      </c>
      <c r="J24" s="331">
        <f t="shared" si="12"/>
        <v>6884.52</v>
      </c>
      <c r="K24" s="331">
        <f t="shared" si="12"/>
        <v>8536.25</v>
      </c>
      <c r="L24" s="331">
        <f t="shared" si="12"/>
        <v>-3049.38</v>
      </c>
      <c r="M24" s="331">
        <f t="shared" si="12"/>
        <v>179.68</v>
      </c>
      <c r="N24" s="332">
        <f t="shared" si="7"/>
        <v>71075.52</v>
      </c>
      <c r="O24" s="333">
        <f t="shared" ref="O24:O26" si="13">SUM(B24:M24)/7</f>
        <v>10153.64571</v>
      </c>
    </row>
    <row r="25" ht="14.25" customHeight="1">
      <c r="A25" s="321" t="s">
        <v>369</v>
      </c>
      <c r="B25" s="325">
        <f>(Gastos!M35-B7-B22)/2</f>
        <v>1172.95</v>
      </c>
      <c r="C25" s="325">
        <f>(Gastos!Q35-C7-C22)/2</f>
        <v>1328</v>
      </c>
      <c r="D25" s="325">
        <f>(Gastos!U35-D7-D22)/2</f>
        <v>2383.5</v>
      </c>
      <c r="E25" s="325">
        <f>(Gastos!Y35-E7-E22)/2</f>
        <v>663</v>
      </c>
      <c r="F25" s="325">
        <f>(Gastos!AC35-F7-F22)/2</f>
        <v>2411</v>
      </c>
      <c r="G25" s="325">
        <f>(Gastos!AG35-G7-G22)/2</f>
        <v>2609.25</v>
      </c>
      <c r="H25" s="325">
        <f>(Gastos!AK35-H7-H22)/2</f>
        <v>305.5</v>
      </c>
      <c r="I25" s="325">
        <f>(Gastos!AO35-I7-I22)/2</f>
        <v>634.5</v>
      </c>
      <c r="J25" s="325">
        <f>(Gastos!AS35-J7-J22)/2</f>
        <v>1002</v>
      </c>
      <c r="K25" s="325">
        <f>(Gastos!AW35-K7-K22)/2</f>
        <v>2708.5</v>
      </c>
      <c r="L25" s="325">
        <f>(Gastos!BA35-L7-L22)/2</f>
        <v>1415</v>
      </c>
      <c r="M25" s="325">
        <f>(Gastos!BE35-M7-M22)/2</f>
        <v>4006</v>
      </c>
      <c r="N25" s="323">
        <f t="shared" si="7"/>
        <v>20639.2</v>
      </c>
      <c r="O25" s="324">
        <f t="shared" si="13"/>
        <v>2948.457143</v>
      </c>
    </row>
    <row r="26" ht="14.25" customHeight="1">
      <c r="A26" s="321" t="s">
        <v>370</v>
      </c>
      <c r="B26" s="325">
        <f>(Gastos!M16+Gastos!M17)/2</f>
        <v>615.07</v>
      </c>
      <c r="C26" s="325">
        <f>(Gastos!Q16+Gastos!Q17)/2</f>
        <v>613.07</v>
      </c>
      <c r="D26" s="325">
        <f>(Gastos!U16+Gastos!U17)/2</f>
        <v>613.07</v>
      </c>
      <c r="E26" s="325">
        <f>(Gastos!Y16+Gastos!Y17)/2</f>
        <v>613.07</v>
      </c>
      <c r="F26" s="325">
        <f>(Gastos!AC16+Gastos!AC17)/2</f>
        <v>613.07</v>
      </c>
      <c r="G26" s="325">
        <f>(Gastos!AG16+Gastos!AG17)/2</f>
        <v>613.07</v>
      </c>
      <c r="H26" s="325">
        <f>(Gastos!AK16+Gastos!AK17)/2</f>
        <v>613.07</v>
      </c>
      <c r="I26" s="325">
        <f>(Gastos!AO16+Gastos!AO17)/2</f>
        <v>589.415</v>
      </c>
      <c r="J26" s="325">
        <f>(Gastos!AS16+Gastos!AS17)/2</f>
        <v>589.415</v>
      </c>
      <c r="K26" s="325">
        <f>(Gastos!AW16+Gastos!AW17)/2</f>
        <v>589.415</v>
      </c>
      <c r="L26" s="325">
        <f>(Gastos!BA16+Gastos!BA17)/2</f>
        <v>589.415</v>
      </c>
      <c r="M26" s="325">
        <f>(Gastos!BE16+Gastos!BE17)/2</f>
        <v>588.33</v>
      </c>
      <c r="N26" s="323">
        <f t="shared" si="7"/>
        <v>7239.48</v>
      </c>
      <c r="O26" s="324">
        <f t="shared" si="13"/>
        <v>1034.211429</v>
      </c>
    </row>
    <row r="27">
      <c r="A27" s="330" t="s">
        <v>383</v>
      </c>
      <c r="B27" s="331">
        <f t="shared" ref="B27:M27" si="14">B24-B25-B26</f>
        <v>4098.03</v>
      </c>
      <c r="C27" s="331">
        <f t="shared" si="14"/>
        <v>7519.45</v>
      </c>
      <c r="D27" s="331">
        <f t="shared" si="14"/>
        <v>3970.99</v>
      </c>
      <c r="E27" s="331">
        <f t="shared" si="14"/>
        <v>7893.33</v>
      </c>
      <c r="F27" s="331">
        <f t="shared" si="14"/>
        <v>9862.19</v>
      </c>
      <c r="G27" s="331">
        <f t="shared" si="14"/>
        <v>6709.39</v>
      </c>
      <c r="H27" s="331">
        <f t="shared" si="14"/>
        <v>-12263.86</v>
      </c>
      <c r="I27" s="331">
        <f t="shared" si="14"/>
        <v>14344.325</v>
      </c>
      <c r="J27" s="331">
        <f t="shared" si="14"/>
        <v>5293.105</v>
      </c>
      <c r="K27" s="331">
        <f t="shared" si="14"/>
        <v>5238.335</v>
      </c>
      <c r="L27" s="331">
        <f t="shared" si="14"/>
        <v>-5053.795</v>
      </c>
      <c r="M27" s="331">
        <f t="shared" si="14"/>
        <v>-4414.65</v>
      </c>
      <c r="N27" s="332">
        <f t="shared" si="7"/>
        <v>43196.84</v>
      </c>
      <c r="O27" s="333">
        <f>SUM(B27:M27)/5</f>
        <v>8639.368</v>
      </c>
    </row>
    <row r="28" ht="6.0" customHeight="1">
      <c r="A28" s="353"/>
      <c r="O28" s="354"/>
    </row>
    <row r="29" ht="12.75" customHeight="1">
      <c r="A29" s="355" t="s">
        <v>384</v>
      </c>
      <c r="B29" s="356">
        <f t="shared" ref="B29:M29" si="15">B12</f>
        <v>7551.71</v>
      </c>
      <c r="C29" s="356">
        <f t="shared" si="15"/>
        <v>4103.04</v>
      </c>
      <c r="D29" s="356">
        <f t="shared" si="15"/>
        <v>2635.04</v>
      </c>
      <c r="E29" s="356">
        <f t="shared" si="15"/>
        <v>1467.09</v>
      </c>
      <c r="F29" s="356">
        <f t="shared" si="15"/>
        <v>-2610.14</v>
      </c>
      <c r="G29" s="356">
        <f t="shared" si="15"/>
        <v>1230.101</v>
      </c>
      <c r="H29" s="356">
        <f t="shared" si="15"/>
        <v>-14432.36</v>
      </c>
      <c r="I29" s="356">
        <f t="shared" si="15"/>
        <v>-3631.025</v>
      </c>
      <c r="J29" s="356">
        <f t="shared" si="15"/>
        <v>3472.805</v>
      </c>
      <c r="K29" s="356">
        <f t="shared" si="15"/>
        <v>-1938.575</v>
      </c>
      <c r="L29" s="356">
        <f t="shared" si="15"/>
        <v>-13957.865</v>
      </c>
      <c r="M29" s="356">
        <f t="shared" si="15"/>
        <v>-14814.02</v>
      </c>
      <c r="N29" s="357">
        <f t="shared" ref="N29:N31" si="17">SUM(B29:M29)</f>
        <v>-30924.199</v>
      </c>
      <c r="O29" s="358">
        <f t="shared" ref="O29:O31" si="18">SUM(B29:M29)/8</f>
        <v>-3865.524875</v>
      </c>
    </row>
    <row r="30" ht="12.75" customHeight="1">
      <c r="A30" s="359" t="s">
        <v>385</v>
      </c>
      <c r="B30" s="360">
        <f t="shared" ref="B30:M30" si="16">B27</f>
        <v>4098.03</v>
      </c>
      <c r="C30" s="360">
        <f t="shared" si="16"/>
        <v>7519.45</v>
      </c>
      <c r="D30" s="360">
        <f t="shared" si="16"/>
        <v>3970.99</v>
      </c>
      <c r="E30" s="360">
        <f t="shared" si="16"/>
        <v>7893.33</v>
      </c>
      <c r="F30" s="360">
        <f t="shared" si="16"/>
        <v>9862.19</v>
      </c>
      <c r="G30" s="360">
        <f t="shared" si="16"/>
        <v>6709.39</v>
      </c>
      <c r="H30" s="360">
        <f t="shared" si="16"/>
        <v>-12263.86</v>
      </c>
      <c r="I30" s="360">
        <f t="shared" si="16"/>
        <v>14344.325</v>
      </c>
      <c r="J30" s="360">
        <f t="shared" si="16"/>
        <v>5293.105</v>
      </c>
      <c r="K30" s="360">
        <f t="shared" si="16"/>
        <v>5238.335</v>
      </c>
      <c r="L30" s="360">
        <f t="shared" si="16"/>
        <v>-5053.795</v>
      </c>
      <c r="M30" s="360">
        <f t="shared" si="16"/>
        <v>-4414.65</v>
      </c>
      <c r="N30" s="361">
        <f t="shared" si="17"/>
        <v>43196.84</v>
      </c>
      <c r="O30" s="362">
        <f t="shared" si="18"/>
        <v>5399.605</v>
      </c>
    </row>
    <row r="31" ht="12.75" customHeight="1">
      <c r="A31" s="363" t="s">
        <v>386</v>
      </c>
      <c r="B31" s="364">
        <f t="shared" ref="B31:M31" si="19">B29+B30</f>
        <v>11649.74</v>
      </c>
      <c r="C31" s="364">
        <f t="shared" si="19"/>
        <v>11622.49</v>
      </c>
      <c r="D31" s="364">
        <f t="shared" si="19"/>
        <v>6606.03</v>
      </c>
      <c r="E31" s="364">
        <f t="shared" si="19"/>
        <v>9360.42</v>
      </c>
      <c r="F31" s="364">
        <f t="shared" si="19"/>
        <v>7252.05</v>
      </c>
      <c r="G31" s="364">
        <f t="shared" si="19"/>
        <v>7939.491</v>
      </c>
      <c r="H31" s="364">
        <f t="shared" si="19"/>
        <v>-26696.22</v>
      </c>
      <c r="I31" s="364">
        <f t="shared" si="19"/>
        <v>10713.3</v>
      </c>
      <c r="J31" s="364">
        <f t="shared" si="19"/>
        <v>8765.91</v>
      </c>
      <c r="K31" s="364">
        <f t="shared" si="19"/>
        <v>3299.76</v>
      </c>
      <c r="L31" s="364">
        <f t="shared" si="19"/>
        <v>-19011.66</v>
      </c>
      <c r="M31" s="364">
        <f t="shared" si="19"/>
        <v>-19228.67</v>
      </c>
      <c r="N31" s="365">
        <f t="shared" si="17"/>
        <v>12272.641</v>
      </c>
      <c r="O31" s="366">
        <f t="shared" si="18"/>
        <v>1534.080125</v>
      </c>
    </row>
    <row r="32" ht="6.0" customHeight="1">
      <c r="A32" s="353"/>
      <c r="O32" s="354"/>
    </row>
    <row r="33" ht="10.5" customHeight="1">
      <c r="A33" s="367" t="s">
        <v>387</v>
      </c>
      <c r="B33" s="368">
        <f t="shared" ref="B33:M33" si="20">B5+B20</f>
        <v>63982.6</v>
      </c>
      <c r="C33" s="368">
        <f t="shared" si="20"/>
        <v>63092</v>
      </c>
      <c r="D33" s="368">
        <f t="shared" si="20"/>
        <v>63210.5</v>
      </c>
      <c r="E33" s="368">
        <f t="shared" si="20"/>
        <v>66624</v>
      </c>
      <c r="F33" s="368">
        <f t="shared" si="20"/>
        <v>64686</v>
      </c>
      <c r="G33" s="368">
        <f t="shared" si="20"/>
        <v>64355.75</v>
      </c>
      <c r="H33" s="368">
        <f t="shared" si="20"/>
        <v>54556.72</v>
      </c>
      <c r="I33" s="368">
        <f t="shared" si="20"/>
        <v>73884</v>
      </c>
      <c r="J33" s="368">
        <f t="shared" si="20"/>
        <v>65240.12</v>
      </c>
      <c r="K33" s="368">
        <f t="shared" si="20"/>
        <v>62033</v>
      </c>
      <c r="L33" s="368">
        <f t="shared" si="20"/>
        <v>55946</v>
      </c>
      <c r="M33" s="368">
        <f t="shared" si="20"/>
        <v>64769</v>
      </c>
      <c r="N33" s="369">
        <f t="shared" ref="N33:N34" si="22">sum(B33:M33)</f>
        <v>762379.69</v>
      </c>
      <c r="O33" s="370">
        <f>N33/8</f>
        <v>95297.46125</v>
      </c>
    </row>
    <row r="34" ht="11.25" customHeight="1">
      <c r="A34" s="371" t="s">
        <v>388</v>
      </c>
      <c r="B34" s="372">
        <f t="shared" ref="B34:M34" si="21">B8+B23</f>
        <v>48756.82</v>
      </c>
      <c r="C34" s="372">
        <f t="shared" si="21"/>
        <v>47587.37</v>
      </c>
      <c r="D34" s="372">
        <f t="shared" si="21"/>
        <v>50611.33</v>
      </c>
      <c r="E34" s="372">
        <f t="shared" si="21"/>
        <v>54711.44</v>
      </c>
      <c r="F34" s="372">
        <f t="shared" si="21"/>
        <v>51385.81</v>
      </c>
      <c r="G34" s="372">
        <f t="shared" si="21"/>
        <v>49971.619</v>
      </c>
      <c r="H34" s="372">
        <f t="shared" si="21"/>
        <v>79415.8</v>
      </c>
      <c r="I34" s="372">
        <f t="shared" si="21"/>
        <v>60722.87</v>
      </c>
      <c r="J34" s="372">
        <f t="shared" si="21"/>
        <v>53291.38</v>
      </c>
      <c r="K34" s="372">
        <f t="shared" si="21"/>
        <v>52137.41</v>
      </c>
      <c r="L34" s="372">
        <f t="shared" si="21"/>
        <v>70948.83</v>
      </c>
      <c r="M34" s="372">
        <f t="shared" si="21"/>
        <v>74809.01</v>
      </c>
      <c r="N34" s="373">
        <f t="shared" si="22"/>
        <v>694349.689</v>
      </c>
      <c r="O34" s="374">
        <f>N34/6</f>
        <v>115724.9482</v>
      </c>
    </row>
    <row r="35" ht="11.25" customHeight="1">
      <c r="A35" s="375" t="s">
        <v>389</v>
      </c>
      <c r="B35" s="376">
        <f t="shared" ref="B35:O35" si="23">B33-B34</f>
        <v>15225.78</v>
      </c>
      <c r="C35" s="376">
        <f t="shared" si="23"/>
        <v>15504.63</v>
      </c>
      <c r="D35" s="376">
        <f t="shared" si="23"/>
        <v>12599.17</v>
      </c>
      <c r="E35" s="376">
        <f t="shared" si="23"/>
        <v>11912.56</v>
      </c>
      <c r="F35" s="376">
        <f t="shared" si="23"/>
        <v>13300.19</v>
      </c>
      <c r="G35" s="376">
        <f t="shared" si="23"/>
        <v>14384.131</v>
      </c>
      <c r="H35" s="376">
        <f t="shared" si="23"/>
        <v>-24859.08</v>
      </c>
      <c r="I35" s="376">
        <f t="shared" si="23"/>
        <v>13161.13</v>
      </c>
      <c r="J35" s="376">
        <f t="shared" si="23"/>
        <v>11948.74</v>
      </c>
      <c r="K35" s="376">
        <f t="shared" si="23"/>
        <v>9895.59</v>
      </c>
      <c r="L35" s="376">
        <f t="shared" si="23"/>
        <v>-15002.83</v>
      </c>
      <c r="M35" s="376">
        <f t="shared" si="23"/>
        <v>-10040.01</v>
      </c>
      <c r="N35" s="377">
        <f t="shared" si="23"/>
        <v>68030.001</v>
      </c>
      <c r="O35" s="376">
        <f t="shared" si="23"/>
        <v>-20427.48692</v>
      </c>
    </row>
    <row r="36" ht="7.5" customHeight="1">
      <c r="A36" s="378"/>
      <c r="B36" s="378"/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</row>
    <row r="37" ht="7.5" customHeight="1">
      <c r="A37" s="367" t="s">
        <v>390</v>
      </c>
      <c r="B37" s="368">
        <v>61608.7</v>
      </c>
      <c r="C37" s="368">
        <v>62380.0</v>
      </c>
      <c r="D37" s="368">
        <v>68345.0</v>
      </c>
      <c r="E37" s="368">
        <v>65874.2</v>
      </c>
      <c r="F37" s="368">
        <v>65465.0</v>
      </c>
      <c r="G37" s="368">
        <v>73782.0</v>
      </c>
      <c r="H37" s="368">
        <v>65780.0</v>
      </c>
      <c r="I37" s="368">
        <v>64139.0</v>
      </c>
      <c r="J37" s="368">
        <v>61848.9</v>
      </c>
      <c r="K37" s="368">
        <v>61005.7</v>
      </c>
      <c r="L37" s="368">
        <v>63257.9</v>
      </c>
      <c r="M37" s="368">
        <v>59917.0</v>
      </c>
      <c r="N37" s="368">
        <f t="shared" ref="N37:N38" si="24">SUM(B37:M37)</f>
        <v>773403.4</v>
      </c>
      <c r="O37" s="379">
        <f t="shared" ref="O37:O38" si="25">N37/12</f>
        <v>64450.28333</v>
      </c>
    </row>
    <row r="38" ht="7.5" customHeight="1">
      <c r="A38" s="371" t="s">
        <v>391</v>
      </c>
      <c r="B38" s="372">
        <v>51044.1</v>
      </c>
      <c r="C38" s="372">
        <v>55209.21</v>
      </c>
      <c r="D38" s="372">
        <v>58129.17</v>
      </c>
      <c r="E38" s="372">
        <v>59135.6</v>
      </c>
      <c r="F38" s="372">
        <v>56611.69</v>
      </c>
      <c r="G38" s="372">
        <v>72277.69</v>
      </c>
      <c r="H38" s="372">
        <v>85261.05</v>
      </c>
      <c r="I38" s="372">
        <v>52873.49</v>
      </c>
      <c r="J38" s="372">
        <v>53593.0</v>
      </c>
      <c r="K38" s="372">
        <v>54689.27</v>
      </c>
      <c r="L38" s="372">
        <v>53558.15</v>
      </c>
      <c r="M38" s="372">
        <v>77621.77</v>
      </c>
      <c r="N38" s="372">
        <f t="shared" si="24"/>
        <v>730004.19</v>
      </c>
      <c r="O38" s="380">
        <f t="shared" si="25"/>
        <v>60833.6825</v>
      </c>
    </row>
    <row r="39" ht="7.5" customHeight="1">
      <c r="A39" s="375" t="s">
        <v>392</v>
      </c>
      <c r="B39" s="376">
        <f t="shared" ref="B39:O39" si="26">B37-B38</f>
        <v>10564.6</v>
      </c>
      <c r="C39" s="376">
        <f t="shared" si="26"/>
        <v>7170.79</v>
      </c>
      <c r="D39" s="376">
        <f t="shared" si="26"/>
        <v>10215.83</v>
      </c>
      <c r="E39" s="376">
        <f t="shared" si="26"/>
        <v>6738.6</v>
      </c>
      <c r="F39" s="376">
        <f t="shared" si="26"/>
        <v>8853.31</v>
      </c>
      <c r="G39" s="376">
        <f t="shared" si="26"/>
        <v>1504.31</v>
      </c>
      <c r="H39" s="376">
        <f t="shared" si="26"/>
        <v>-19481.05</v>
      </c>
      <c r="I39" s="376">
        <f t="shared" si="26"/>
        <v>11265.51</v>
      </c>
      <c r="J39" s="376">
        <f t="shared" si="26"/>
        <v>8255.9</v>
      </c>
      <c r="K39" s="376">
        <f t="shared" si="26"/>
        <v>6316.43</v>
      </c>
      <c r="L39" s="376">
        <f t="shared" si="26"/>
        <v>9699.75</v>
      </c>
      <c r="M39" s="376">
        <f t="shared" si="26"/>
        <v>-17704.77</v>
      </c>
      <c r="N39" s="377">
        <f t="shared" si="26"/>
        <v>43399.21</v>
      </c>
      <c r="O39" s="376">
        <f t="shared" si="26"/>
        <v>3616.600833</v>
      </c>
    </row>
    <row r="40" ht="7.5" customHeight="1">
      <c r="A40" s="353"/>
      <c r="O40" s="354"/>
    </row>
    <row r="41" ht="11.25" customHeight="1">
      <c r="A41" s="367" t="s">
        <v>393</v>
      </c>
      <c r="B41" s="368">
        <v>69393.9</v>
      </c>
      <c r="C41" s="368">
        <v>63307.53</v>
      </c>
      <c r="D41" s="368">
        <v>66823.67</v>
      </c>
      <c r="E41" s="368">
        <v>58103.95</v>
      </c>
      <c r="F41" s="368">
        <v>53932.16</v>
      </c>
      <c r="G41" s="368">
        <v>69107.27</v>
      </c>
      <c r="H41" s="368">
        <v>72454.33</v>
      </c>
      <c r="I41" s="368">
        <v>54315.35</v>
      </c>
      <c r="J41" s="368">
        <v>53095.96</v>
      </c>
      <c r="K41" s="368">
        <v>62359.29</v>
      </c>
      <c r="L41" s="368">
        <v>56681.92</v>
      </c>
      <c r="M41" s="368">
        <v>78415.72</v>
      </c>
      <c r="N41" s="369">
        <f t="shared" ref="N41:N42" si="27">sum(B41:M41)</f>
        <v>757991.05</v>
      </c>
      <c r="O41" s="370">
        <f t="shared" ref="O41:O42" si="28">N41/12</f>
        <v>63165.92083</v>
      </c>
    </row>
    <row r="42" ht="11.25" customHeight="1">
      <c r="A42" s="371" t="s">
        <v>394</v>
      </c>
      <c r="B42" s="372">
        <v>51516.22</v>
      </c>
      <c r="C42" s="372">
        <v>50323.7</v>
      </c>
      <c r="D42" s="372">
        <v>67257.31</v>
      </c>
      <c r="E42" s="372">
        <v>52539.52</v>
      </c>
      <c r="F42" s="372">
        <v>58558.07</v>
      </c>
      <c r="G42" s="372">
        <v>61032.21</v>
      </c>
      <c r="H42" s="372">
        <v>77805.64</v>
      </c>
      <c r="I42" s="372">
        <v>52253.94</v>
      </c>
      <c r="J42" s="372">
        <v>55241.07</v>
      </c>
      <c r="K42" s="372">
        <v>51916.07</v>
      </c>
      <c r="L42" s="372">
        <v>54129.12</v>
      </c>
      <c r="M42" s="372">
        <v>75071.44</v>
      </c>
      <c r="N42" s="373">
        <f t="shared" si="27"/>
        <v>707644.31</v>
      </c>
      <c r="O42" s="374">
        <f t="shared" si="28"/>
        <v>58970.35917</v>
      </c>
    </row>
    <row r="43" ht="11.25" customHeight="1">
      <c r="A43" s="375" t="s">
        <v>395</v>
      </c>
      <c r="B43" s="376">
        <f t="shared" ref="B43:O43" si="29">B41-B42</f>
        <v>17877.68</v>
      </c>
      <c r="C43" s="376">
        <f t="shared" si="29"/>
        <v>12983.83</v>
      </c>
      <c r="D43" s="376">
        <f t="shared" si="29"/>
        <v>-433.64</v>
      </c>
      <c r="E43" s="376">
        <f t="shared" si="29"/>
        <v>5564.43</v>
      </c>
      <c r="F43" s="376">
        <f t="shared" si="29"/>
        <v>-4625.91</v>
      </c>
      <c r="G43" s="376">
        <f t="shared" si="29"/>
        <v>8075.06</v>
      </c>
      <c r="H43" s="376">
        <f t="shared" si="29"/>
        <v>-5351.31</v>
      </c>
      <c r="I43" s="376">
        <f t="shared" si="29"/>
        <v>2061.41</v>
      </c>
      <c r="J43" s="376">
        <f t="shared" si="29"/>
        <v>-2145.11</v>
      </c>
      <c r="K43" s="376">
        <f t="shared" si="29"/>
        <v>10443.22</v>
      </c>
      <c r="L43" s="376">
        <f t="shared" si="29"/>
        <v>2552.8</v>
      </c>
      <c r="M43" s="376">
        <f t="shared" si="29"/>
        <v>3344.28</v>
      </c>
      <c r="N43" s="377">
        <f t="shared" si="29"/>
        <v>50346.74</v>
      </c>
      <c r="O43" s="376">
        <f t="shared" si="29"/>
        <v>4195.561667</v>
      </c>
    </row>
  </sheetData>
  <mergeCells count="3">
    <mergeCell ref="A28:O28"/>
    <mergeCell ref="A32:O32"/>
    <mergeCell ref="A40:O4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5.13" defaultRowHeight="15.0"/>
  <cols>
    <col customWidth="1" min="1" max="1" width="24.5"/>
    <col customWidth="1" min="2" max="13" width="9.5"/>
    <col customWidth="1" min="14" max="14" width="11.38"/>
  </cols>
  <sheetData>
    <row r="1">
      <c r="A1" s="381"/>
      <c r="B1" s="382" t="s">
        <v>102</v>
      </c>
      <c r="C1" s="382" t="s">
        <v>103</v>
      </c>
      <c r="D1" s="382" t="s">
        <v>104</v>
      </c>
      <c r="E1" s="382" t="s">
        <v>105</v>
      </c>
      <c r="F1" s="382" t="s">
        <v>106</v>
      </c>
      <c r="G1" s="382" t="s">
        <v>107</v>
      </c>
      <c r="H1" s="382" t="s">
        <v>108</v>
      </c>
      <c r="I1" s="382" t="s">
        <v>109</v>
      </c>
      <c r="J1" s="382" t="s">
        <v>110</v>
      </c>
      <c r="K1" s="382" t="s">
        <v>111</v>
      </c>
      <c r="L1" s="382" t="s">
        <v>112</v>
      </c>
      <c r="M1" s="382" t="s">
        <v>101</v>
      </c>
      <c r="N1" s="383"/>
    </row>
    <row r="2">
      <c r="A2" s="384" t="s">
        <v>396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385"/>
    </row>
    <row r="3">
      <c r="A3" s="386" t="s">
        <v>397</v>
      </c>
      <c r="B3" s="387"/>
      <c r="C3" s="388"/>
      <c r="D3" s="388"/>
      <c r="E3" s="388"/>
      <c r="F3" s="388"/>
      <c r="G3" s="387"/>
      <c r="H3" s="387"/>
      <c r="I3" s="388"/>
      <c r="J3" s="388"/>
      <c r="K3" s="388"/>
      <c r="L3" s="388"/>
      <c r="M3" s="388"/>
      <c r="N3" s="385"/>
    </row>
    <row r="4">
      <c r="A4" s="386" t="s">
        <v>398</v>
      </c>
      <c r="B4" s="387"/>
      <c r="C4" s="388"/>
      <c r="D4" s="388"/>
      <c r="E4" s="388"/>
      <c r="F4" s="388"/>
      <c r="G4" s="387"/>
      <c r="H4" s="387"/>
      <c r="I4" s="388"/>
      <c r="J4" s="388"/>
      <c r="K4" s="388"/>
      <c r="L4" s="388"/>
      <c r="M4" s="388"/>
      <c r="N4" s="385"/>
    </row>
    <row r="5">
      <c r="A5" s="386" t="s">
        <v>338</v>
      </c>
      <c r="B5" s="387"/>
      <c r="C5" s="388"/>
      <c r="D5" s="388"/>
      <c r="E5" s="387"/>
      <c r="G5" s="387"/>
      <c r="H5" s="387"/>
      <c r="I5" s="388"/>
      <c r="J5" s="388"/>
      <c r="K5" s="388"/>
      <c r="L5" s="388"/>
      <c r="M5" s="388"/>
      <c r="N5" s="385"/>
    </row>
    <row r="6">
      <c r="A6" s="386" t="s">
        <v>399</v>
      </c>
      <c r="B6" s="388"/>
      <c r="C6" s="387"/>
      <c r="D6" s="388"/>
      <c r="E6" s="387"/>
      <c r="G6" s="387"/>
      <c r="H6" s="387"/>
      <c r="I6" s="388"/>
      <c r="J6" s="388"/>
      <c r="K6" s="388"/>
      <c r="L6" s="388"/>
      <c r="M6" s="388"/>
      <c r="N6" s="385"/>
    </row>
    <row r="7">
      <c r="A7" s="386" t="s">
        <v>400</v>
      </c>
      <c r="B7" s="388"/>
      <c r="C7" s="387"/>
      <c r="D7" s="388"/>
      <c r="E7" s="387"/>
      <c r="G7" s="387"/>
      <c r="H7" s="387"/>
      <c r="I7" s="388"/>
      <c r="J7" s="388"/>
      <c r="K7" s="388"/>
      <c r="L7" s="388"/>
      <c r="M7" s="388"/>
      <c r="N7" s="385"/>
    </row>
    <row r="8">
      <c r="A8" s="386" t="s">
        <v>401</v>
      </c>
      <c r="B8" s="388"/>
      <c r="C8" s="388"/>
      <c r="D8" s="388"/>
      <c r="E8" s="387"/>
      <c r="G8" s="387"/>
      <c r="H8" s="387"/>
      <c r="I8" s="388"/>
      <c r="J8" s="388"/>
      <c r="K8" s="388"/>
      <c r="L8" s="388"/>
      <c r="M8" s="388"/>
      <c r="N8" s="385"/>
    </row>
    <row r="9">
      <c r="A9" s="386" t="s">
        <v>402</v>
      </c>
      <c r="B9" s="388"/>
      <c r="C9" s="387"/>
      <c r="D9" s="388"/>
      <c r="E9" s="387"/>
      <c r="G9" s="387"/>
      <c r="H9" s="387"/>
      <c r="I9" s="388"/>
      <c r="J9" s="388"/>
      <c r="K9" s="388"/>
      <c r="L9" s="388"/>
      <c r="M9" s="388"/>
      <c r="N9" s="385"/>
    </row>
    <row r="10">
      <c r="A10" s="386" t="s">
        <v>403</v>
      </c>
      <c r="B10" s="388"/>
      <c r="C10" s="387"/>
      <c r="D10" s="388"/>
      <c r="E10" s="387"/>
      <c r="G10" s="387"/>
      <c r="H10" s="387"/>
      <c r="I10" s="388"/>
      <c r="J10" s="388"/>
      <c r="K10" s="388"/>
      <c r="L10" s="388"/>
      <c r="M10" s="388"/>
      <c r="N10" s="385"/>
    </row>
    <row r="11">
      <c r="A11" s="386" t="s">
        <v>404</v>
      </c>
      <c r="B11" s="388"/>
      <c r="C11" s="388"/>
      <c r="D11" s="388"/>
      <c r="E11" s="387"/>
      <c r="G11" s="387"/>
      <c r="H11" s="387"/>
      <c r="I11" s="388"/>
      <c r="J11" s="388"/>
      <c r="K11" s="388"/>
      <c r="L11" s="388"/>
      <c r="M11" s="388"/>
      <c r="N11" s="385"/>
    </row>
    <row r="12">
      <c r="A12" s="386" t="s">
        <v>405</v>
      </c>
      <c r="B12" s="388"/>
      <c r="C12" s="388"/>
      <c r="D12" s="388"/>
      <c r="E12" s="387"/>
      <c r="G12" s="387"/>
      <c r="H12" s="387"/>
      <c r="I12" s="388"/>
      <c r="J12" s="388"/>
      <c r="K12" s="388"/>
      <c r="L12" s="388"/>
      <c r="M12" s="388"/>
      <c r="N12" s="385"/>
    </row>
    <row r="13">
      <c r="A13" s="386" t="s">
        <v>406</v>
      </c>
      <c r="B13" s="388"/>
      <c r="C13" s="388"/>
      <c r="D13" s="388"/>
      <c r="E13" s="387"/>
      <c r="G13" s="387"/>
      <c r="H13" s="387"/>
      <c r="I13" s="388"/>
      <c r="J13" s="388"/>
      <c r="K13" s="388"/>
      <c r="L13" s="388"/>
      <c r="M13" s="388"/>
      <c r="N13" s="385"/>
    </row>
    <row r="14">
      <c r="A14" s="386" t="s">
        <v>407</v>
      </c>
      <c r="B14" s="388"/>
      <c r="C14" s="388"/>
      <c r="D14" s="388"/>
      <c r="E14" s="387"/>
      <c r="G14" s="387"/>
      <c r="H14" s="387"/>
      <c r="I14" s="388"/>
      <c r="J14" s="388"/>
      <c r="K14" s="388"/>
      <c r="L14" s="388"/>
      <c r="M14" s="388"/>
      <c r="N14" s="385"/>
    </row>
    <row r="15">
      <c r="A15" s="386" t="s">
        <v>408</v>
      </c>
      <c r="B15" s="388"/>
      <c r="C15" s="388"/>
      <c r="D15" s="388"/>
      <c r="E15" s="388"/>
      <c r="F15" s="388"/>
      <c r="G15" s="387"/>
      <c r="H15" s="387"/>
      <c r="I15" s="388"/>
      <c r="J15" s="388"/>
      <c r="K15" s="388"/>
      <c r="L15" s="388"/>
      <c r="M15" s="388"/>
      <c r="N15" s="385"/>
    </row>
    <row r="16">
      <c r="A16" s="386" t="s">
        <v>409</v>
      </c>
      <c r="B16" s="387"/>
      <c r="C16" s="388"/>
      <c r="D16" s="388"/>
      <c r="E16" s="388"/>
      <c r="F16" s="387"/>
      <c r="G16" s="387"/>
      <c r="H16" s="387"/>
      <c r="I16" s="388"/>
      <c r="J16" s="388"/>
      <c r="K16" s="388"/>
      <c r="L16" s="388"/>
      <c r="M16" s="388"/>
      <c r="N16" s="389"/>
    </row>
    <row r="17">
      <c r="A17" s="390" t="s">
        <v>144</v>
      </c>
      <c r="B17" s="391">
        <f t="shared" ref="B17:M17" si="1">SUM(B3:B16)</f>
        <v>0</v>
      </c>
      <c r="C17" s="391">
        <f t="shared" si="1"/>
        <v>0</v>
      </c>
      <c r="D17" s="391">
        <f t="shared" si="1"/>
        <v>0</v>
      </c>
      <c r="E17" s="391">
        <f t="shared" si="1"/>
        <v>0</v>
      </c>
      <c r="F17" s="391">
        <f t="shared" si="1"/>
        <v>0</v>
      </c>
      <c r="G17" s="391">
        <f t="shared" si="1"/>
        <v>0</v>
      </c>
      <c r="H17" s="391">
        <f t="shared" si="1"/>
        <v>0</v>
      </c>
      <c r="I17" s="391">
        <f t="shared" si="1"/>
        <v>0</v>
      </c>
      <c r="J17" s="391">
        <f t="shared" si="1"/>
        <v>0</v>
      </c>
      <c r="K17" s="391">
        <f t="shared" si="1"/>
        <v>0</v>
      </c>
      <c r="L17" s="391">
        <f t="shared" si="1"/>
        <v>0</v>
      </c>
      <c r="M17" s="391">
        <f t="shared" si="1"/>
        <v>0</v>
      </c>
      <c r="N17" s="392">
        <f>SUM(B17:M17)</f>
        <v>0</v>
      </c>
    </row>
    <row r="18">
      <c r="A18" s="393" t="s">
        <v>410</v>
      </c>
      <c r="B18" s="394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5"/>
    </row>
    <row r="19">
      <c r="A19" s="386" t="s">
        <v>411</v>
      </c>
      <c r="B19" s="387">
        <v>-27000.0</v>
      </c>
      <c r="C19" s="388"/>
      <c r="D19" s="388"/>
      <c r="E19" s="388"/>
      <c r="F19" s="388"/>
      <c r="G19" s="388"/>
      <c r="H19" s="388"/>
      <c r="I19" s="388"/>
      <c r="J19" s="388"/>
      <c r="K19" s="388"/>
      <c r="L19" s="388"/>
      <c r="M19" s="388"/>
      <c r="N19" s="389"/>
    </row>
    <row r="20">
      <c r="A20" s="396" t="s">
        <v>144</v>
      </c>
      <c r="B20" s="397">
        <f t="shared" ref="B20:M20" si="2">SUM(B19)</f>
        <v>-27000</v>
      </c>
      <c r="C20" s="397">
        <f t="shared" si="2"/>
        <v>0</v>
      </c>
      <c r="D20" s="397">
        <f t="shared" si="2"/>
        <v>0</v>
      </c>
      <c r="E20" s="397">
        <f t="shared" si="2"/>
        <v>0</v>
      </c>
      <c r="F20" s="397">
        <f t="shared" si="2"/>
        <v>0</v>
      </c>
      <c r="G20" s="397">
        <f t="shared" si="2"/>
        <v>0</v>
      </c>
      <c r="H20" s="397">
        <f t="shared" si="2"/>
        <v>0</v>
      </c>
      <c r="I20" s="397">
        <f t="shared" si="2"/>
        <v>0</v>
      </c>
      <c r="J20" s="397">
        <f t="shared" si="2"/>
        <v>0</v>
      </c>
      <c r="K20" s="397">
        <f t="shared" si="2"/>
        <v>0</v>
      </c>
      <c r="L20" s="397">
        <f t="shared" si="2"/>
        <v>0</v>
      </c>
      <c r="M20" s="397">
        <f t="shared" si="2"/>
        <v>0</v>
      </c>
      <c r="N20" s="398">
        <f>SUM(B20:M20)</f>
        <v>-27000</v>
      </c>
    </row>
    <row r="21">
      <c r="A21" s="399" t="s">
        <v>412</v>
      </c>
      <c r="B21" s="400"/>
      <c r="C21" s="400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395"/>
    </row>
    <row r="22">
      <c r="A22" s="386" t="s">
        <v>413</v>
      </c>
      <c r="B22" s="387"/>
      <c r="C22" s="388"/>
      <c r="D22" s="388"/>
      <c r="E22" s="388"/>
      <c r="F22" s="388"/>
      <c r="G22" s="388"/>
      <c r="H22" s="388"/>
      <c r="I22" s="388"/>
      <c r="J22" s="388"/>
      <c r="K22" s="388"/>
      <c r="L22" s="388"/>
      <c r="M22" s="388"/>
      <c r="N22" s="389"/>
    </row>
    <row r="23">
      <c r="A23" s="401" t="s">
        <v>144</v>
      </c>
      <c r="B23" s="402">
        <f t="shared" ref="B23:M23" si="3">SUM(B22)</f>
        <v>0</v>
      </c>
      <c r="C23" s="402">
        <f t="shared" si="3"/>
        <v>0</v>
      </c>
      <c r="D23" s="402">
        <f t="shared" si="3"/>
        <v>0</v>
      </c>
      <c r="E23" s="402">
        <f t="shared" si="3"/>
        <v>0</v>
      </c>
      <c r="F23" s="402">
        <f t="shared" si="3"/>
        <v>0</v>
      </c>
      <c r="G23" s="402">
        <f t="shared" si="3"/>
        <v>0</v>
      </c>
      <c r="H23" s="402">
        <f t="shared" si="3"/>
        <v>0</v>
      </c>
      <c r="I23" s="402">
        <f t="shared" si="3"/>
        <v>0</v>
      </c>
      <c r="J23" s="402">
        <f t="shared" si="3"/>
        <v>0</v>
      </c>
      <c r="K23" s="402">
        <f t="shared" si="3"/>
        <v>0</v>
      </c>
      <c r="L23" s="402">
        <f t="shared" si="3"/>
        <v>0</v>
      </c>
      <c r="M23" s="402">
        <f t="shared" si="3"/>
        <v>0</v>
      </c>
      <c r="N23" s="403">
        <f>SUM(B23:M23)</f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5.13" defaultRowHeight="15.0"/>
  <cols>
    <col customWidth="1" min="1" max="1" width="23.63"/>
    <col customWidth="1" min="2" max="3" width="10.13"/>
    <col customWidth="1" min="4" max="4" width="11.38"/>
  </cols>
  <sheetData>
    <row r="1">
      <c r="A1" s="404"/>
      <c r="B1" s="405" t="s">
        <v>414</v>
      </c>
      <c r="C1" s="405" t="s">
        <v>415</v>
      </c>
      <c r="D1" s="406"/>
    </row>
    <row r="2">
      <c r="A2" s="407" t="s">
        <v>416</v>
      </c>
      <c r="B2" s="408"/>
      <c r="C2" s="408"/>
      <c r="D2" s="409"/>
    </row>
    <row r="3">
      <c r="A3" s="410" t="s">
        <v>417</v>
      </c>
      <c r="B3" s="411"/>
      <c r="C3" s="411">
        <v>758.76</v>
      </c>
      <c r="D3" s="412"/>
    </row>
    <row r="4">
      <c r="A4" s="410" t="s">
        <v>418</v>
      </c>
      <c r="B4" s="411"/>
      <c r="C4" s="411">
        <v>5128.89</v>
      </c>
      <c r="D4" s="412"/>
    </row>
    <row r="5">
      <c r="A5" s="410" t="s">
        <v>419</v>
      </c>
      <c r="B5" s="411"/>
      <c r="C5" s="411">
        <v>6000.0</v>
      </c>
      <c r="D5" s="412"/>
    </row>
    <row r="6">
      <c r="A6" s="410" t="s">
        <v>420</v>
      </c>
      <c r="B6" s="411"/>
      <c r="C6" s="411">
        <v>3000.0</v>
      </c>
      <c r="D6" s="412"/>
    </row>
    <row r="7">
      <c r="A7" s="410" t="s">
        <v>421</v>
      </c>
      <c r="B7" s="411"/>
      <c r="C7" s="411">
        <v>0.0</v>
      </c>
      <c r="D7" s="412"/>
    </row>
    <row r="8">
      <c r="A8" s="410" t="s">
        <v>422</v>
      </c>
      <c r="B8" s="411"/>
      <c r="C8" s="411">
        <v>5000.0</v>
      </c>
      <c r="D8" s="412"/>
    </row>
    <row r="9">
      <c r="A9" s="410" t="s">
        <v>423</v>
      </c>
      <c r="B9" s="411"/>
      <c r="C9" s="411">
        <v>68265.39</v>
      </c>
      <c r="D9" s="413"/>
    </row>
    <row r="10">
      <c r="A10" s="414" t="s">
        <v>144</v>
      </c>
      <c r="B10" s="415">
        <f t="shared" ref="B10:C10" si="1">SUM(B3:B9)</f>
        <v>0</v>
      </c>
      <c r="C10" s="415">
        <f t="shared" si="1"/>
        <v>88153.04</v>
      </c>
      <c r="D10" s="416">
        <f>SUM(C10)</f>
        <v>88153.04</v>
      </c>
    </row>
    <row r="11">
      <c r="A11" s="417" t="s">
        <v>424</v>
      </c>
      <c r="B11" s="418"/>
      <c r="C11" s="418"/>
      <c r="D11" s="419"/>
    </row>
    <row r="12">
      <c r="A12" s="410" t="s">
        <v>425</v>
      </c>
      <c r="B12" s="411"/>
      <c r="C12" s="411">
        <v>-15000.0</v>
      </c>
      <c r="D12" s="412"/>
    </row>
    <row r="13">
      <c r="A13" s="410" t="s">
        <v>426</v>
      </c>
      <c r="B13" s="411"/>
      <c r="C13" s="411">
        <v>-21900.0</v>
      </c>
      <c r="D13" s="412"/>
    </row>
    <row r="14">
      <c r="A14" s="410" t="s">
        <v>427</v>
      </c>
      <c r="B14" s="411"/>
      <c r="C14" s="411">
        <v>0.0</v>
      </c>
      <c r="D14" s="412"/>
    </row>
    <row r="15">
      <c r="A15" s="410" t="s">
        <v>428</v>
      </c>
      <c r="B15" s="411"/>
      <c r="C15" s="411">
        <v>-10800.0</v>
      </c>
      <c r="D15" s="412"/>
    </row>
    <row r="16">
      <c r="A16" s="420" t="s">
        <v>429</v>
      </c>
      <c r="B16" s="421"/>
      <c r="C16" s="411">
        <v>0.0</v>
      </c>
      <c r="D16" s="412"/>
    </row>
    <row r="17">
      <c r="A17" s="410" t="s">
        <v>430</v>
      </c>
      <c r="B17" s="411"/>
      <c r="C17" s="411">
        <v>0.0</v>
      </c>
      <c r="D17" s="412"/>
    </row>
    <row r="18">
      <c r="A18" s="410" t="s">
        <v>431</v>
      </c>
      <c r="B18" s="411"/>
      <c r="C18" s="411"/>
      <c r="D18" s="413"/>
    </row>
    <row r="19">
      <c r="A19" s="422" t="s">
        <v>144</v>
      </c>
      <c r="B19" s="423">
        <f t="shared" ref="B19:C19" si="2">SUM(B12:B18)</f>
        <v>0</v>
      </c>
      <c r="C19" s="423">
        <f t="shared" si="2"/>
        <v>-47700</v>
      </c>
      <c r="D19" s="424">
        <f>SUM(C19)</f>
        <v>-47700</v>
      </c>
    </row>
    <row r="20">
      <c r="A20" s="425"/>
      <c r="B20" s="426"/>
      <c r="C20" s="426"/>
      <c r="D20" s="426"/>
    </row>
    <row r="21">
      <c r="A21" s="427" t="s">
        <v>432</v>
      </c>
      <c r="B21" s="428">
        <f>SUM(B10+B19)</f>
        <v>0</v>
      </c>
      <c r="C21" s="429" t="s">
        <v>433</v>
      </c>
      <c r="D21" s="428">
        <f>SUM(D10+D19)</f>
        <v>40453.04</v>
      </c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0"/>
  <cols>
    <col customWidth="1" min="1" max="1" width="1.38"/>
    <col customWidth="1" min="2" max="2" width="34.25"/>
    <col customWidth="1" min="3" max="3" width="9.38"/>
    <col customWidth="1" min="4" max="4" width="1.38"/>
    <col customWidth="1" min="5" max="5" width="8.88"/>
    <col customWidth="1" min="6" max="6" width="8.63"/>
    <col customWidth="1" min="7" max="7" width="1.38"/>
    <col customWidth="1" min="8" max="8" width="9.63"/>
    <col customWidth="1" min="9" max="9" width="9.25"/>
    <col customWidth="1" min="10" max="10" width="1.25"/>
    <col customWidth="1" min="11" max="11" width="19.25"/>
    <col customWidth="1" min="12" max="12" width="0.88"/>
    <col customWidth="1" min="13" max="13" width="19.25"/>
    <col customWidth="1" min="14" max="14" width="0.88"/>
    <col customWidth="1" min="15" max="15" width="20.88"/>
    <col customWidth="1" min="16" max="16" width="0.88"/>
    <col customWidth="1" min="17" max="17" width="22.88"/>
  </cols>
  <sheetData>
    <row r="1" ht="15.75" customHeight="1">
      <c r="A1" s="430"/>
      <c r="B1" s="431" t="s">
        <v>434</v>
      </c>
      <c r="C1" s="432"/>
      <c r="D1" s="430"/>
      <c r="E1" s="433" t="s">
        <v>435</v>
      </c>
      <c r="F1" s="432"/>
      <c r="G1" s="430"/>
      <c r="H1" s="434" t="s">
        <v>436</v>
      </c>
      <c r="I1" s="435"/>
      <c r="J1" s="430"/>
      <c r="K1" s="436" t="s">
        <v>437</v>
      </c>
      <c r="L1" s="430"/>
      <c r="M1" s="437" t="s">
        <v>438</v>
      </c>
      <c r="N1" s="430"/>
      <c r="O1" s="438" t="s">
        <v>439</v>
      </c>
      <c r="P1" s="430"/>
      <c r="Q1" s="439" t="s">
        <v>440</v>
      </c>
    </row>
    <row r="2" ht="10.5" customHeight="1">
      <c r="A2" s="430"/>
      <c r="B2" s="440" t="s">
        <v>441</v>
      </c>
      <c r="C2" s="441" t="s">
        <v>442</v>
      </c>
      <c r="D2" s="430"/>
      <c r="E2" s="442" t="s">
        <v>441</v>
      </c>
      <c r="F2" s="443" t="s">
        <v>442</v>
      </c>
      <c r="G2" s="430"/>
      <c r="H2" s="444" t="s">
        <v>441</v>
      </c>
      <c r="I2" s="444" t="s">
        <v>442</v>
      </c>
      <c r="J2" s="430"/>
      <c r="K2" s="445" t="s">
        <v>443</v>
      </c>
      <c r="L2" s="430"/>
      <c r="M2" s="446" t="s">
        <v>442</v>
      </c>
      <c r="N2" s="430"/>
      <c r="O2" s="445" t="s">
        <v>443</v>
      </c>
      <c r="P2" s="430"/>
      <c r="Q2" s="445" t="s">
        <v>443</v>
      </c>
    </row>
    <row r="3" ht="15.75" customHeight="1">
      <c r="A3" s="430"/>
      <c r="B3" s="447" t="s">
        <v>444</v>
      </c>
      <c r="C3" s="448">
        <v>248.0</v>
      </c>
      <c r="D3" s="430"/>
      <c r="E3" s="449">
        <v>42005.0</v>
      </c>
      <c r="F3" s="448">
        <v>540.63</v>
      </c>
      <c r="G3" s="430"/>
      <c r="H3" s="450">
        <v>42005.0</v>
      </c>
      <c r="I3" s="451">
        <f t="shared" ref="I3:I16" si="1">C3+F3</f>
        <v>788.63</v>
      </c>
      <c r="J3" s="430"/>
      <c r="K3" s="452">
        <v>42944.0</v>
      </c>
      <c r="L3" s="430"/>
      <c r="M3" s="116" t="s">
        <v>445</v>
      </c>
      <c r="N3" s="430"/>
      <c r="O3" s="452">
        <v>42812.0</v>
      </c>
      <c r="P3" s="430"/>
      <c r="Q3" s="453">
        <v>42448.0</v>
      </c>
    </row>
    <row r="4" ht="15.75" customHeight="1">
      <c r="A4" s="430"/>
      <c r="B4" s="447" t="s">
        <v>446</v>
      </c>
      <c r="C4" s="448">
        <v>149.97</v>
      </c>
      <c r="D4" s="430"/>
      <c r="E4" s="449">
        <v>42036.0</v>
      </c>
      <c r="F4" s="448">
        <v>995.18</v>
      </c>
      <c r="G4" s="454"/>
      <c r="H4" s="450">
        <v>42036.0</v>
      </c>
      <c r="I4" s="451">
        <f t="shared" si="1"/>
        <v>1145.15</v>
      </c>
      <c r="J4" s="430"/>
      <c r="K4" s="445" t="s">
        <v>447</v>
      </c>
      <c r="L4" s="430"/>
      <c r="M4" s="446" t="s">
        <v>442</v>
      </c>
      <c r="N4" s="430"/>
      <c r="O4" s="445" t="s">
        <v>447</v>
      </c>
      <c r="P4" s="430"/>
      <c r="Q4" s="445" t="s">
        <v>447</v>
      </c>
    </row>
    <row r="5" ht="15.75" customHeight="1">
      <c r="A5" s="430"/>
      <c r="B5" s="455" t="s">
        <v>448</v>
      </c>
      <c r="C5" s="448">
        <v>900.42</v>
      </c>
      <c r="D5" s="430"/>
      <c r="E5" s="449">
        <v>42064.0</v>
      </c>
      <c r="F5" s="448">
        <v>686.19</v>
      </c>
      <c r="G5" s="430"/>
      <c r="H5" s="456">
        <v>42082.0</v>
      </c>
      <c r="I5" s="451">
        <f t="shared" si="1"/>
        <v>1586.61</v>
      </c>
      <c r="J5" s="430"/>
      <c r="K5" s="457">
        <v>0.015</v>
      </c>
      <c r="L5" s="430"/>
      <c r="M5" s="458">
        <v>0.0912</v>
      </c>
      <c r="N5" s="430"/>
      <c r="O5" s="457">
        <v>0.0215</v>
      </c>
      <c r="P5" s="430"/>
      <c r="Q5" s="459">
        <v>0.03</v>
      </c>
    </row>
    <row r="6" ht="15.75" customHeight="1">
      <c r="A6" s="430"/>
      <c r="B6" s="460">
        <v>42112.0</v>
      </c>
      <c r="C6" s="451">
        <v>342.2</v>
      </c>
      <c r="D6" s="430"/>
      <c r="E6" s="449">
        <v>42095.0</v>
      </c>
      <c r="F6" s="448">
        <v>697.51</v>
      </c>
      <c r="G6" s="430"/>
      <c r="H6" s="456">
        <v>42112.0</v>
      </c>
      <c r="I6" s="451">
        <f t="shared" si="1"/>
        <v>1039.71</v>
      </c>
      <c r="J6" s="430"/>
      <c r="K6" s="445" t="s">
        <v>449</v>
      </c>
      <c r="L6" s="430"/>
      <c r="M6" s="446" t="s">
        <v>442</v>
      </c>
      <c r="N6" s="430"/>
      <c r="O6" s="445" t="s">
        <v>449</v>
      </c>
      <c r="P6" s="430"/>
      <c r="Q6" s="445" t="s">
        <v>449</v>
      </c>
    </row>
    <row r="7" ht="15.75" customHeight="1">
      <c r="A7" s="430"/>
      <c r="B7" s="460">
        <v>42144.0</v>
      </c>
      <c r="C7" s="451">
        <v>383.16</v>
      </c>
      <c r="D7" s="430"/>
      <c r="E7" s="449">
        <v>42125.0</v>
      </c>
      <c r="F7" s="448">
        <v>755.77</v>
      </c>
      <c r="G7" s="430"/>
      <c r="H7" s="456">
        <v>42144.0</v>
      </c>
      <c r="I7" s="451">
        <f t="shared" si="1"/>
        <v>1138.93</v>
      </c>
      <c r="J7" s="430"/>
      <c r="K7" s="457">
        <v>0.005</v>
      </c>
      <c r="L7" s="430"/>
      <c r="M7" s="457">
        <v>0.0</v>
      </c>
      <c r="N7" s="430"/>
      <c r="O7" s="457">
        <v>0.0075</v>
      </c>
      <c r="P7" s="430"/>
      <c r="Q7" s="459">
        <v>0.0075</v>
      </c>
    </row>
    <row r="8" ht="15.75" customHeight="1">
      <c r="A8" s="430"/>
      <c r="B8" s="460">
        <v>42175.0</v>
      </c>
      <c r="C8" s="451">
        <v>374.97</v>
      </c>
      <c r="D8" s="430"/>
      <c r="E8" s="449">
        <v>42156.0</v>
      </c>
      <c r="F8" s="448">
        <v>639.45</v>
      </c>
      <c r="G8" s="430"/>
      <c r="H8" s="456">
        <v>42176.0</v>
      </c>
      <c r="I8" s="451">
        <f t="shared" si="1"/>
        <v>1014.42</v>
      </c>
      <c r="J8" s="430"/>
      <c r="K8" s="445" t="s">
        <v>447</v>
      </c>
      <c r="L8" s="430"/>
      <c r="M8" s="461" t="s">
        <v>447</v>
      </c>
      <c r="N8" s="430"/>
      <c r="O8" s="445" t="s">
        <v>447</v>
      </c>
      <c r="P8" s="430"/>
      <c r="Q8" s="445" t="s">
        <v>447</v>
      </c>
    </row>
    <row r="9" ht="15.75" customHeight="1">
      <c r="A9" s="430"/>
      <c r="B9" s="460">
        <v>42203.0</v>
      </c>
      <c r="C9" s="451">
        <v>365.17</v>
      </c>
      <c r="D9" s="430"/>
      <c r="E9" s="449">
        <v>42186.0</v>
      </c>
      <c r="F9" s="448">
        <v>706.68</v>
      </c>
      <c r="G9" s="430"/>
      <c r="H9" s="456">
        <v>42208.0</v>
      </c>
      <c r="I9" s="451">
        <f t="shared" si="1"/>
        <v>1071.85</v>
      </c>
      <c r="J9" s="430"/>
      <c r="K9" s="462" t="s">
        <v>450</v>
      </c>
      <c r="L9" s="430"/>
      <c r="M9" s="457">
        <v>0.0</v>
      </c>
      <c r="N9" s="430"/>
      <c r="O9" s="462" t="s">
        <v>450</v>
      </c>
      <c r="P9" s="430"/>
      <c r="Q9" s="463" t="s">
        <v>450</v>
      </c>
    </row>
    <row r="10" ht="15.75" customHeight="1">
      <c r="A10" s="430"/>
      <c r="B10" s="460">
        <v>42236.0</v>
      </c>
      <c r="C10" s="451">
        <v>327.66</v>
      </c>
      <c r="D10" s="430"/>
      <c r="E10" s="449">
        <v>42217.0</v>
      </c>
      <c r="F10" s="448">
        <v>577.91</v>
      </c>
      <c r="G10" s="430"/>
      <c r="H10" s="456">
        <v>42240.0</v>
      </c>
      <c r="I10" s="451">
        <f t="shared" si="1"/>
        <v>905.57</v>
      </c>
      <c r="J10" s="430"/>
      <c r="K10" s="445" t="s">
        <v>442</v>
      </c>
      <c r="L10" s="430"/>
      <c r="M10" s="446" t="s">
        <v>442</v>
      </c>
      <c r="N10" s="430"/>
      <c r="O10" s="445" t="s">
        <v>442</v>
      </c>
      <c r="P10" s="430"/>
      <c r="Q10" s="445" t="s">
        <v>442</v>
      </c>
    </row>
    <row r="11" ht="15.75" customHeight="1">
      <c r="A11" s="430"/>
      <c r="B11" s="460">
        <v>42266.0</v>
      </c>
      <c r="C11" s="451">
        <v>273.93</v>
      </c>
      <c r="D11" s="430"/>
      <c r="E11" s="449">
        <v>42248.0</v>
      </c>
      <c r="F11" s="448">
        <v>448.27</v>
      </c>
      <c r="G11" s="430"/>
      <c r="H11" s="456">
        <v>42272.0</v>
      </c>
      <c r="I11" s="451">
        <f t="shared" si="1"/>
        <v>722.2</v>
      </c>
      <c r="J11" s="430"/>
      <c r="K11" s="464">
        <v>200000.0</v>
      </c>
      <c r="L11" s="430"/>
      <c r="M11" s="464">
        <v>70000.0</v>
      </c>
      <c r="N11" s="430"/>
      <c r="O11" s="464">
        <v>150000.0</v>
      </c>
      <c r="P11" s="430"/>
      <c r="Q11" s="464">
        <v>120000.0</v>
      </c>
    </row>
    <row r="12" ht="15.75" customHeight="1">
      <c r="A12" s="430"/>
      <c r="B12" s="460">
        <v>42297.0</v>
      </c>
      <c r="C12" s="451">
        <v>273.73</v>
      </c>
      <c r="D12" s="430"/>
      <c r="E12" s="449">
        <v>42278.0</v>
      </c>
      <c r="F12" s="448">
        <v>878.8</v>
      </c>
      <c r="G12" s="430"/>
      <c r="H12" s="456">
        <v>42304.0</v>
      </c>
      <c r="I12" s="451">
        <f t="shared" si="1"/>
        <v>1152.53</v>
      </c>
      <c r="J12" s="430"/>
      <c r="K12" s="465" t="s">
        <v>451</v>
      </c>
      <c r="L12" s="430"/>
      <c r="M12" s="461" t="s">
        <v>451</v>
      </c>
      <c r="N12" s="430"/>
      <c r="O12" s="465" t="s">
        <v>451</v>
      </c>
      <c r="P12" s="430"/>
      <c r="Q12" s="465" t="s">
        <v>451</v>
      </c>
    </row>
    <row r="13" ht="15.75" customHeight="1">
      <c r="A13" s="430"/>
      <c r="B13" s="460">
        <v>42328.0</v>
      </c>
      <c r="C13" s="451">
        <v>364.12</v>
      </c>
      <c r="D13" s="430"/>
      <c r="E13" s="449">
        <v>42309.0</v>
      </c>
      <c r="F13" s="448">
        <v>627.06</v>
      </c>
      <c r="G13" s="430"/>
      <c r="H13" s="456">
        <v>42336.0</v>
      </c>
      <c r="I13" s="451">
        <f t="shared" si="1"/>
        <v>991.18</v>
      </c>
      <c r="J13" s="430"/>
      <c r="K13" s="458">
        <v>0.015</v>
      </c>
      <c r="L13" s="430"/>
      <c r="M13" s="458">
        <v>0.0924</v>
      </c>
      <c r="N13" s="430"/>
      <c r="O13" s="458">
        <v>0.0215</v>
      </c>
      <c r="P13" s="430"/>
      <c r="Q13" s="458">
        <v>0.03</v>
      </c>
    </row>
    <row r="14" ht="15.75" customHeight="1">
      <c r="A14" s="430"/>
      <c r="B14" s="460">
        <v>42358.0</v>
      </c>
      <c r="C14" s="451">
        <v>277.54</v>
      </c>
      <c r="D14" s="430"/>
      <c r="E14" s="449">
        <v>42339.0</v>
      </c>
      <c r="F14" s="448">
        <v>506.84</v>
      </c>
      <c r="G14" s="430"/>
      <c r="H14" s="456">
        <v>42368.0</v>
      </c>
      <c r="I14" s="451">
        <f t="shared" si="1"/>
        <v>784.38</v>
      </c>
      <c r="J14" s="430"/>
      <c r="K14" s="465" t="s">
        <v>452</v>
      </c>
      <c r="L14" s="430"/>
      <c r="M14" s="461" t="s">
        <v>452</v>
      </c>
      <c r="N14" s="430"/>
      <c r="O14" s="465" t="s">
        <v>452</v>
      </c>
      <c r="P14" s="430"/>
      <c r="Q14" s="465" t="s">
        <v>452</v>
      </c>
    </row>
    <row r="15" ht="15.75" customHeight="1">
      <c r="A15" s="430"/>
      <c r="B15" s="466">
        <v>42389.0</v>
      </c>
      <c r="C15" s="467">
        <v>227.93</v>
      </c>
      <c r="D15" s="430"/>
      <c r="E15" s="468">
        <v>42370.0</v>
      </c>
      <c r="F15" s="469">
        <v>573.33</v>
      </c>
      <c r="G15" s="430"/>
      <c r="H15" s="470">
        <v>42370.0</v>
      </c>
      <c r="I15" s="469">
        <f t="shared" si="1"/>
        <v>801.26</v>
      </c>
      <c r="J15" s="430"/>
      <c r="K15" s="471">
        <f>K11*K13</f>
        <v>3000</v>
      </c>
      <c r="L15" s="430"/>
      <c r="M15" s="471">
        <f>M11*M13</f>
        <v>6468</v>
      </c>
      <c r="N15" s="430"/>
      <c r="O15" s="471">
        <f>O11*O13</f>
        <v>3225</v>
      </c>
      <c r="P15" s="430"/>
      <c r="Q15" s="471">
        <f>Q11*Q13</f>
        <v>3600</v>
      </c>
    </row>
    <row r="16" ht="15.75" customHeight="1">
      <c r="A16" s="430"/>
      <c r="B16" s="466">
        <v>42420.0</v>
      </c>
      <c r="C16" s="467">
        <v>299.62</v>
      </c>
      <c r="D16" s="430"/>
      <c r="E16" s="468">
        <v>42401.0</v>
      </c>
      <c r="F16" s="469">
        <v>496.54</v>
      </c>
      <c r="G16" s="430"/>
      <c r="H16" s="470">
        <v>42401.0</v>
      </c>
      <c r="I16" s="469">
        <f t="shared" si="1"/>
        <v>796.16</v>
      </c>
      <c r="J16" s="430"/>
      <c r="K16" s="465" t="s">
        <v>453</v>
      </c>
      <c r="L16" s="472"/>
      <c r="M16" s="461" t="s">
        <v>454</v>
      </c>
      <c r="N16" s="472"/>
      <c r="O16" s="465" t="s">
        <v>453</v>
      </c>
      <c r="P16" s="472"/>
      <c r="Q16" s="465" t="s">
        <v>453</v>
      </c>
    </row>
    <row r="17">
      <c r="A17" s="472"/>
      <c r="B17" s="473">
        <v>42447.0</v>
      </c>
      <c r="C17" s="474">
        <v>288.84</v>
      </c>
      <c r="D17" s="472"/>
      <c r="E17" s="475">
        <v>42430.0</v>
      </c>
      <c r="F17" s="474">
        <v>398.11</v>
      </c>
      <c r="G17" s="472"/>
      <c r="H17" s="476">
        <v>42430.0</v>
      </c>
      <c r="I17" s="477">
        <f>C17+C18+F17</f>
        <v>1812.4</v>
      </c>
      <c r="J17" s="472"/>
      <c r="K17" s="471">
        <f>(K7*K11)/12</f>
        <v>83.33333333</v>
      </c>
      <c r="L17" s="430"/>
      <c r="M17" s="471"/>
      <c r="N17" s="430"/>
      <c r="O17" s="471">
        <f>(O7*O11)/12</f>
        <v>93.75</v>
      </c>
      <c r="P17" s="430"/>
      <c r="Q17" s="471">
        <f>(Q7*Q11)/12</f>
        <v>75</v>
      </c>
    </row>
    <row r="18" ht="15.75" customHeight="1">
      <c r="A18" s="430"/>
      <c r="B18" s="478" t="s">
        <v>455</v>
      </c>
      <c r="C18" s="467">
        <v>1125.45</v>
      </c>
      <c r="D18" s="430"/>
      <c r="G18" s="430"/>
      <c r="J18" s="430"/>
      <c r="K18" s="465" t="s">
        <v>456</v>
      </c>
      <c r="L18" s="472"/>
      <c r="M18" s="461" t="s">
        <v>457</v>
      </c>
      <c r="N18" s="472"/>
      <c r="O18" s="465" t="s">
        <v>456</v>
      </c>
      <c r="P18" s="472"/>
      <c r="Q18" s="465" t="s">
        <v>456</v>
      </c>
    </row>
    <row r="19" ht="15.75" customHeight="1">
      <c r="A19" s="430"/>
      <c r="B19" s="466">
        <v>42480.0</v>
      </c>
      <c r="C19" s="474">
        <v>338.77</v>
      </c>
      <c r="D19" s="430"/>
      <c r="E19" s="475">
        <v>42461.0</v>
      </c>
      <c r="F19" s="474">
        <v>252.2</v>
      </c>
      <c r="G19" s="430"/>
      <c r="H19" s="475">
        <v>42461.0</v>
      </c>
      <c r="I19" s="477">
        <f t="shared" ref="I19:I45" si="2">C19+F19</f>
        <v>590.97</v>
      </c>
      <c r="J19" s="430"/>
      <c r="K19" s="471">
        <f>(K11*K13)/12+K17</f>
        <v>333.3333333</v>
      </c>
      <c r="L19" s="430"/>
      <c r="M19" s="471">
        <f>M15/12</f>
        <v>539</v>
      </c>
      <c r="N19" s="430"/>
      <c r="O19" s="471">
        <f>(O11*O13)/12+O17</f>
        <v>362.5</v>
      </c>
      <c r="P19" s="430"/>
      <c r="Q19" s="471">
        <f>(Q11*Q13)/12+Q17</f>
        <v>375</v>
      </c>
    </row>
    <row r="20" ht="15.75" customHeight="1">
      <c r="A20" s="430"/>
      <c r="B20" s="466">
        <v>42510.0</v>
      </c>
      <c r="C20" s="474">
        <v>367.47</v>
      </c>
      <c r="D20" s="430"/>
      <c r="E20" s="475">
        <v>42492.0</v>
      </c>
      <c r="F20" s="479">
        <v>0.0</v>
      </c>
      <c r="G20" s="430"/>
      <c r="H20" s="475">
        <v>42492.0</v>
      </c>
      <c r="I20" s="477">
        <f t="shared" si="2"/>
        <v>367.47</v>
      </c>
      <c r="J20" s="430"/>
      <c r="K20" s="480"/>
      <c r="L20" s="430"/>
      <c r="M20" s="480"/>
      <c r="N20" s="430"/>
      <c r="O20" s="481"/>
      <c r="P20" s="430"/>
      <c r="Q20" s="480"/>
    </row>
    <row r="21" ht="15.75" customHeight="1">
      <c r="A21" s="430"/>
      <c r="B21" s="466">
        <v>42541.0</v>
      </c>
      <c r="C21" s="474">
        <v>337.59</v>
      </c>
      <c r="D21" s="430"/>
      <c r="E21" s="475">
        <v>42523.0</v>
      </c>
      <c r="F21" s="474">
        <v>0.0</v>
      </c>
      <c r="G21" s="430"/>
      <c r="H21" s="475">
        <v>42523.0</v>
      </c>
      <c r="I21" s="477">
        <f t="shared" si="2"/>
        <v>337.59</v>
      </c>
      <c r="J21" s="430"/>
      <c r="K21" s="482"/>
      <c r="L21" s="430"/>
      <c r="M21" s="480"/>
      <c r="N21" s="430"/>
      <c r="O21" s="483"/>
      <c r="P21" s="430"/>
      <c r="Q21" s="480"/>
    </row>
    <row r="22" ht="15.75" customHeight="1">
      <c r="A22" s="430"/>
      <c r="B22" s="484" t="s">
        <v>458</v>
      </c>
      <c r="C22" s="474">
        <v>701.21</v>
      </c>
      <c r="D22" s="430"/>
      <c r="E22" s="475">
        <v>42554.0</v>
      </c>
      <c r="F22" s="474">
        <v>0.0</v>
      </c>
      <c r="G22" s="430"/>
      <c r="H22" s="475">
        <v>42554.0</v>
      </c>
      <c r="I22" s="477">
        <f t="shared" si="2"/>
        <v>701.21</v>
      </c>
      <c r="J22" s="430"/>
      <c r="K22" s="482"/>
      <c r="L22" s="430"/>
      <c r="M22" s="480"/>
      <c r="N22" s="430"/>
      <c r="O22" s="480"/>
      <c r="P22" s="430"/>
      <c r="Q22" s="480"/>
    </row>
    <row r="23" ht="15.75" customHeight="1">
      <c r="A23" s="430"/>
      <c r="B23" s="466">
        <v>42610.0</v>
      </c>
      <c r="C23" s="474">
        <v>229.14</v>
      </c>
      <c r="D23" s="430"/>
      <c r="E23" s="475">
        <v>42585.0</v>
      </c>
      <c r="F23" s="474">
        <v>0.0</v>
      </c>
      <c r="G23" s="430"/>
      <c r="H23" s="475">
        <v>42585.0</v>
      </c>
      <c r="I23" s="477">
        <f t="shared" si="2"/>
        <v>229.14</v>
      </c>
      <c r="J23" s="430"/>
      <c r="K23" s="480"/>
      <c r="L23" s="430"/>
      <c r="M23" s="480"/>
      <c r="N23" s="430"/>
      <c r="O23" s="480"/>
      <c r="P23" s="430"/>
      <c r="Q23" s="480"/>
    </row>
    <row r="24" ht="15.75" customHeight="1">
      <c r="A24" s="430"/>
      <c r="B24" s="466">
        <v>42641.0</v>
      </c>
      <c r="C24" s="474">
        <v>228.66</v>
      </c>
      <c r="D24" s="430"/>
      <c r="E24" s="475">
        <v>42616.0</v>
      </c>
      <c r="F24" s="474">
        <v>0.0</v>
      </c>
      <c r="G24" s="430"/>
      <c r="H24" s="475">
        <v>42616.0</v>
      </c>
      <c r="I24" s="477">
        <f t="shared" si="2"/>
        <v>228.66</v>
      </c>
      <c r="J24" s="430"/>
      <c r="K24" s="480"/>
      <c r="L24" s="430"/>
      <c r="M24" s="480"/>
      <c r="N24" s="430"/>
      <c r="O24" s="480"/>
      <c r="P24" s="430"/>
      <c r="Q24" s="480"/>
    </row>
    <row r="25" ht="15.75" customHeight="1">
      <c r="A25" s="430"/>
      <c r="B25" s="466">
        <v>42671.0</v>
      </c>
      <c r="C25" s="474">
        <v>231.02</v>
      </c>
      <c r="D25" s="430"/>
      <c r="E25" s="475">
        <v>42647.0</v>
      </c>
      <c r="F25" s="474">
        <v>0.0</v>
      </c>
      <c r="G25" s="430"/>
      <c r="H25" s="475">
        <v>42647.0</v>
      </c>
      <c r="I25" s="477">
        <f t="shared" si="2"/>
        <v>231.02</v>
      </c>
      <c r="J25" s="430"/>
      <c r="K25" s="480"/>
      <c r="L25" s="430"/>
      <c r="M25" s="480"/>
      <c r="N25" s="430"/>
      <c r="O25" s="480"/>
      <c r="P25" s="430"/>
      <c r="Q25" s="480"/>
    </row>
    <row r="26" ht="15.75" customHeight="1">
      <c r="A26" s="430"/>
      <c r="B26" s="466">
        <v>42702.0</v>
      </c>
      <c r="C26" s="474">
        <v>232.77</v>
      </c>
      <c r="D26" s="430"/>
      <c r="E26" s="475">
        <v>42678.0</v>
      </c>
      <c r="F26" s="474">
        <v>0.0</v>
      </c>
      <c r="G26" s="430"/>
      <c r="H26" s="475">
        <v>42678.0</v>
      </c>
      <c r="I26" s="477">
        <f t="shared" si="2"/>
        <v>232.77</v>
      </c>
      <c r="J26" s="430"/>
      <c r="K26" s="480"/>
      <c r="L26" s="430"/>
      <c r="M26" s="480"/>
      <c r="N26" s="430"/>
      <c r="O26" s="480"/>
      <c r="P26" s="430"/>
      <c r="Q26" s="480"/>
    </row>
    <row r="27" ht="15.75" customHeight="1">
      <c r="A27" s="430"/>
      <c r="B27" s="466">
        <v>42732.0</v>
      </c>
      <c r="C27" s="474">
        <v>231.57</v>
      </c>
      <c r="D27" s="430"/>
      <c r="E27" s="475">
        <v>42709.0</v>
      </c>
      <c r="F27" s="474">
        <v>0.0</v>
      </c>
      <c r="G27" s="430"/>
      <c r="H27" s="475">
        <v>42709.0</v>
      </c>
      <c r="I27" s="477">
        <f t="shared" si="2"/>
        <v>231.57</v>
      </c>
      <c r="J27" s="430"/>
      <c r="K27" s="480"/>
      <c r="L27" s="430"/>
      <c r="M27" s="480"/>
      <c r="N27" s="430"/>
      <c r="O27" s="480"/>
      <c r="P27" s="430"/>
      <c r="Q27" s="480"/>
    </row>
    <row r="28" ht="15.75" customHeight="1">
      <c r="A28" s="430"/>
      <c r="B28" s="466">
        <v>42763.0</v>
      </c>
      <c r="C28" s="474">
        <v>232.6</v>
      </c>
      <c r="D28" s="430"/>
      <c r="E28" s="475">
        <v>42740.0</v>
      </c>
      <c r="F28" s="474">
        <v>0.0</v>
      </c>
      <c r="G28" s="430"/>
      <c r="H28" s="475">
        <v>42740.0</v>
      </c>
      <c r="I28" s="477">
        <f t="shared" si="2"/>
        <v>232.6</v>
      </c>
      <c r="J28" s="430"/>
      <c r="K28" s="480"/>
      <c r="L28" s="430"/>
      <c r="M28" s="480"/>
      <c r="N28" s="430"/>
      <c r="O28" s="480"/>
      <c r="P28" s="430"/>
      <c r="Q28" s="480"/>
    </row>
    <row r="29" ht="15.75" customHeight="1">
      <c r="A29" s="430"/>
      <c r="B29" s="466">
        <v>42794.0</v>
      </c>
      <c r="C29" s="474">
        <v>0.0</v>
      </c>
      <c r="D29" s="430"/>
      <c r="E29" s="475">
        <v>42771.0</v>
      </c>
      <c r="F29" s="474">
        <v>0.0</v>
      </c>
      <c r="G29" s="430"/>
      <c r="H29" s="475">
        <v>42771.0</v>
      </c>
      <c r="I29" s="477">
        <f t="shared" si="2"/>
        <v>0</v>
      </c>
      <c r="J29" s="430"/>
      <c r="K29" s="480"/>
      <c r="L29" s="430"/>
      <c r="M29" s="480"/>
      <c r="N29" s="430"/>
      <c r="O29" s="480"/>
      <c r="P29" s="430"/>
      <c r="Q29" s="480"/>
    </row>
    <row r="30" ht="15.75" customHeight="1">
      <c r="A30" s="430"/>
      <c r="B30" s="466">
        <v>42822.0</v>
      </c>
      <c r="C30" s="474">
        <v>0.0</v>
      </c>
      <c r="D30" s="430"/>
      <c r="E30" s="475">
        <v>42799.0</v>
      </c>
      <c r="F30" s="474">
        <v>0.0</v>
      </c>
      <c r="G30" s="430"/>
      <c r="H30" s="475">
        <v>42799.0</v>
      </c>
      <c r="I30" s="477">
        <f t="shared" si="2"/>
        <v>0</v>
      </c>
      <c r="J30" s="430"/>
      <c r="K30" s="480"/>
      <c r="L30" s="430"/>
      <c r="M30" s="480"/>
      <c r="N30" s="430"/>
      <c r="O30" s="480"/>
      <c r="P30" s="430"/>
      <c r="Q30" s="480"/>
    </row>
    <row r="31" ht="15.75" customHeight="1">
      <c r="A31" s="430"/>
      <c r="B31" s="466">
        <v>42853.0</v>
      </c>
      <c r="C31" s="474">
        <v>0.0</v>
      </c>
      <c r="D31" s="430"/>
      <c r="E31" s="475">
        <v>42830.0</v>
      </c>
      <c r="F31" s="474">
        <v>0.0</v>
      </c>
      <c r="G31" s="430"/>
      <c r="H31" s="475">
        <v>42830.0</v>
      </c>
      <c r="I31" s="477">
        <f t="shared" si="2"/>
        <v>0</v>
      </c>
      <c r="J31" s="430"/>
      <c r="K31" s="480"/>
      <c r="L31" s="430"/>
      <c r="M31" s="480"/>
      <c r="N31" s="430"/>
      <c r="O31" s="480"/>
      <c r="P31" s="430"/>
      <c r="Q31" s="480"/>
    </row>
    <row r="32" ht="15.75" customHeight="1">
      <c r="A32" s="430"/>
      <c r="B32" s="466">
        <v>42883.0</v>
      </c>
      <c r="C32" s="474">
        <v>0.0</v>
      </c>
      <c r="D32" s="430"/>
      <c r="E32" s="475">
        <v>42860.0</v>
      </c>
      <c r="F32" s="474">
        <v>0.0</v>
      </c>
      <c r="G32" s="430"/>
      <c r="H32" s="475">
        <v>42860.0</v>
      </c>
      <c r="I32" s="477">
        <f t="shared" si="2"/>
        <v>0</v>
      </c>
      <c r="J32" s="430"/>
      <c r="K32" s="480"/>
      <c r="L32" s="430"/>
      <c r="M32" s="480"/>
      <c r="N32" s="430"/>
      <c r="O32" s="480"/>
      <c r="P32" s="430"/>
      <c r="Q32" s="480"/>
    </row>
    <row r="33" ht="15.75" customHeight="1">
      <c r="A33" s="430"/>
      <c r="B33" s="466">
        <v>42914.0</v>
      </c>
      <c r="C33" s="474">
        <v>0.0</v>
      </c>
      <c r="D33" s="430"/>
      <c r="E33" s="475">
        <v>42891.0</v>
      </c>
      <c r="F33" s="474">
        <v>0.0</v>
      </c>
      <c r="G33" s="430"/>
      <c r="H33" s="475">
        <v>42891.0</v>
      </c>
      <c r="I33" s="477">
        <f t="shared" si="2"/>
        <v>0</v>
      </c>
      <c r="J33" s="430"/>
      <c r="K33" s="480"/>
      <c r="L33" s="430"/>
      <c r="M33" s="480"/>
      <c r="N33" s="430"/>
      <c r="O33" s="480"/>
      <c r="P33" s="430"/>
      <c r="Q33" s="480"/>
    </row>
    <row r="34" ht="15.75" customHeight="1">
      <c r="A34" s="430"/>
      <c r="B34" s="466">
        <v>42944.0</v>
      </c>
      <c r="C34" s="474">
        <v>0.0</v>
      </c>
      <c r="D34" s="430"/>
      <c r="E34" s="475">
        <v>42921.0</v>
      </c>
      <c r="F34" s="474">
        <v>0.0</v>
      </c>
      <c r="G34" s="430"/>
      <c r="H34" s="475">
        <v>42921.0</v>
      </c>
      <c r="I34" s="477">
        <f t="shared" si="2"/>
        <v>0</v>
      </c>
      <c r="J34" s="430"/>
      <c r="K34" s="480"/>
      <c r="L34" s="430"/>
      <c r="M34" s="480"/>
      <c r="N34" s="430"/>
      <c r="O34" s="480"/>
      <c r="P34" s="430"/>
      <c r="Q34" s="480"/>
    </row>
    <row r="35" ht="15.75" customHeight="1">
      <c r="A35" s="430"/>
      <c r="B35" s="466">
        <v>42975.0</v>
      </c>
      <c r="C35" s="474">
        <v>0.0</v>
      </c>
      <c r="D35" s="430"/>
      <c r="E35" s="485"/>
      <c r="F35" s="480"/>
      <c r="G35" s="430"/>
      <c r="H35" s="486"/>
      <c r="I35" s="477">
        <f t="shared" si="2"/>
        <v>0</v>
      </c>
      <c r="J35" s="430"/>
      <c r="K35" s="480"/>
      <c r="L35" s="430"/>
      <c r="M35" s="480"/>
      <c r="N35" s="430"/>
      <c r="O35" s="480"/>
      <c r="P35" s="430"/>
      <c r="Q35" s="480"/>
    </row>
    <row r="36" ht="15.75" customHeight="1">
      <c r="A36" s="430"/>
      <c r="B36" s="466">
        <v>43006.0</v>
      </c>
      <c r="C36" s="474">
        <v>0.0</v>
      </c>
      <c r="D36" s="430"/>
      <c r="E36" s="485"/>
      <c r="F36" s="480"/>
      <c r="G36" s="430"/>
      <c r="H36" s="486"/>
      <c r="I36" s="477">
        <f t="shared" si="2"/>
        <v>0</v>
      </c>
      <c r="J36" s="430"/>
      <c r="K36" s="480"/>
      <c r="L36" s="430"/>
      <c r="M36" s="480"/>
      <c r="N36" s="430"/>
      <c r="O36" s="480"/>
      <c r="P36" s="430"/>
      <c r="Q36" s="480"/>
    </row>
    <row r="37" ht="15.75" customHeight="1">
      <c r="A37" s="430"/>
      <c r="B37" s="466">
        <v>43036.0</v>
      </c>
      <c r="C37" s="474">
        <v>0.0</v>
      </c>
      <c r="D37" s="430"/>
      <c r="E37" s="485"/>
      <c r="F37" s="480"/>
      <c r="G37" s="430"/>
      <c r="H37" s="486"/>
      <c r="I37" s="477">
        <f t="shared" si="2"/>
        <v>0</v>
      </c>
      <c r="J37" s="430"/>
      <c r="K37" s="480"/>
      <c r="L37" s="430"/>
      <c r="M37" s="480"/>
      <c r="N37" s="430"/>
      <c r="O37" s="480"/>
      <c r="P37" s="430"/>
      <c r="Q37" s="480"/>
    </row>
    <row r="38" ht="15.75" customHeight="1">
      <c r="A38" s="430"/>
      <c r="B38" s="466">
        <v>43067.0</v>
      </c>
      <c r="C38" s="474">
        <v>0.0</v>
      </c>
      <c r="D38" s="430"/>
      <c r="E38" s="485"/>
      <c r="F38" s="480"/>
      <c r="G38" s="430"/>
      <c r="H38" s="486"/>
      <c r="I38" s="477">
        <f t="shared" si="2"/>
        <v>0</v>
      </c>
      <c r="J38" s="430"/>
      <c r="K38" s="480"/>
      <c r="L38" s="430"/>
      <c r="M38" s="480"/>
      <c r="N38" s="430"/>
      <c r="O38" s="480"/>
      <c r="P38" s="430"/>
      <c r="Q38" s="480"/>
    </row>
    <row r="39" ht="15.75" customHeight="1">
      <c r="A39" s="430"/>
      <c r="B39" s="466">
        <v>43097.0</v>
      </c>
      <c r="C39" s="474">
        <v>0.0</v>
      </c>
      <c r="D39" s="430"/>
      <c r="E39" s="480"/>
      <c r="F39" s="480"/>
      <c r="G39" s="430"/>
      <c r="H39" s="486"/>
      <c r="I39" s="477">
        <f t="shared" si="2"/>
        <v>0</v>
      </c>
      <c r="J39" s="430"/>
      <c r="K39" s="480"/>
      <c r="L39" s="430"/>
      <c r="M39" s="480"/>
      <c r="N39" s="430"/>
      <c r="O39" s="480"/>
      <c r="P39" s="430"/>
      <c r="Q39" s="480"/>
    </row>
    <row r="40" ht="15.75" customHeight="1">
      <c r="A40" s="430"/>
      <c r="B40" s="480"/>
      <c r="C40" s="480"/>
      <c r="D40" s="430"/>
      <c r="E40" s="480"/>
      <c r="F40" s="480"/>
      <c r="G40" s="430"/>
      <c r="H40" s="486"/>
      <c r="I40" s="477">
        <f t="shared" si="2"/>
        <v>0</v>
      </c>
      <c r="J40" s="430"/>
      <c r="K40" s="480"/>
      <c r="L40" s="430"/>
      <c r="M40" s="480"/>
      <c r="N40" s="430"/>
      <c r="O40" s="480"/>
      <c r="P40" s="430"/>
      <c r="Q40" s="480"/>
    </row>
    <row r="41" ht="15.75" customHeight="1">
      <c r="A41" s="430"/>
      <c r="B41" s="480"/>
      <c r="C41" s="480"/>
      <c r="D41" s="430"/>
      <c r="E41" s="480"/>
      <c r="F41" s="480"/>
      <c r="G41" s="430"/>
      <c r="H41" s="486"/>
      <c r="I41" s="477">
        <f t="shared" si="2"/>
        <v>0</v>
      </c>
      <c r="J41" s="430"/>
      <c r="K41" s="480"/>
      <c r="L41" s="430"/>
      <c r="M41" s="480"/>
      <c r="N41" s="430"/>
      <c r="O41" s="480"/>
      <c r="P41" s="430"/>
      <c r="Q41" s="480"/>
    </row>
    <row r="42" ht="15.75" customHeight="1">
      <c r="A42" s="430"/>
      <c r="B42" s="480"/>
      <c r="C42" s="480"/>
      <c r="D42" s="430"/>
      <c r="E42" s="480"/>
      <c r="F42" s="480"/>
      <c r="G42" s="430"/>
      <c r="H42" s="486"/>
      <c r="I42" s="477">
        <f t="shared" si="2"/>
        <v>0</v>
      </c>
      <c r="J42" s="430"/>
      <c r="K42" s="480"/>
      <c r="L42" s="430"/>
      <c r="M42" s="480"/>
      <c r="N42" s="430"/>
      <c r="O42" s="480"/>
      <c r="P42" s="430"/>
      <c r="Q42" s="480"/>
    </row>
    <row r="43" ht="15.75" customHeight="1">
      <c r="A43" s="430"/>
      <c r="B43" s="480"/>
      <c r="C43" s="480"/>
      <c r="D43" s="430"/>
      <c r="E43" s="480"/>
      <c r="F43" s="480"/>
      <c r="G43" s="430"/>
      <c r="H43" s="486"/>
      <c r="I43" s="477">
        <f t="shared" si="2"/>
        <v>0</v>
      </c>
      <c r="J43" s="430"/>
      <c r="K43" s="480"/>
      <c r="L43" s="430"/>
      <c r="M43" s="480"/>
      <c r="N43" s="430"/>
      <c r="O43" s="480"/>
      <c r="P43" s="430"/>
      <c r="Q43" s="480"/>
    </row>
    <row r="44" ht="15.75" customHeight="1">
      <c r="A44" s="430"/>
      <c r="B44" s="480"/>
      <c r="C44" s="480"/>
      <c r="D44" s="430"/>
      <c r="E44" s="480"/>
      <c r="F44" s="480"/>
      <c r="G44" s="430"/>
      <c r="H44" s="486"/>
      <c r="I44" s="477">
        <f t="shared" si="2"/>
        <v>0</v>
      </c>
      <c r="J44" s="430"/>
      <c r="K44" s="480"/>
      <c r="L44" s="430"/>
      <c r="M44" s="480"/>
      <c r="N44" s="430"/>
      <c r="O44" s="480"/>
      <c r="P44" s="430"/>
      <c r="Q44" s="480"/>
    </row>
    <row r="45" ht="15.75" customHeight="1">
      <c r="A45" s="430"/>
      <c r="B45" s="480"/>
      <c r="C45" s="480"/>
      <c r="D45" s="430"/>
      <c r="E45" s="480"/>
      <c r="F45" s="480"/>
      <c r="G45" s="430"/>
      <c r="H45" s="486"/>
      <c r="I45" s="477">
        <f t="shared" si="2"/>
        <v>0</v>
      </c>
      <c r="J45" s="430"/>
      <c r="K45" s="480"/>
      <c r="L45" s="430"/>
      <c r="M45" s="480"/>
      <c r="N45" s="430"/>
      <c r="O45" s="480"/>
      <c r="P45" s="430"/>
      <c r="Q45" s="480"/>
    </row>
    <row r="46" ht="15.75" customHeight="1">
      <c r="A46" s="430"/>
      <c r="B46" s="480"/>
      <c r="C46" s="480"/>
      <c r="D46" s="430"/>
      <c r="E46" s="480"/>
      <c r="F46" s="480"/>
      <c r="G46" s="430"/>
      <c r="H46" s="486"/>
      <c r="I46" s="480"/>
      <c r="J46" s="430"/>
      <c r="K46" s="480"/>
      <c r="L46" s="430"/>
      <c r="M46" s="480"/>
      <c r="N46" s="430"/>
      <c r="O46" s="480"/>
      <c r="P46" s="430"/>
      <c r="Q46" s="480"/>
    </row>
    <row r="47" ht="15.75" customHeight="1">
      <c r="A47" s="430"/>
      <c r="B47" s="480"/>
      <c r="C47" s="480"/>
      <c r="D47" s="430"/>
      <c r="E47" s="480"/>
      <c r="F47" s="480"/>
      <c r="G47" s="430"/>
      <c r="H47" s="486"/>
      <c r="I47" s="480"/>
      <c r="J47" s="430"/>
      <c r="K47" s="480"/>
      <c r="L47" s="430"/>
      <c r="M47" s="480"/>
      <c r="N47" s="430"/>
      <c r="O47" s="480"/>
      <c r="P47" s="430"/>
      <c r="Q47" s="480"/>
    </row>
    <row r="48" ht="15.75" customHeight="1">
      <c r="A48" s="430"/>
      <c r="B48" s="480"/>
      <c r="C48" s="480"/>
      <c r="D48" s="430"/>
      <c r="E48" s="480"/>
      <c r="F48" s="480"/>
      <c r="G48" s="430"/>
      <c r="H48" s="486"/>
      <c r="I48" s="480"/>
      <c r="J48" s="430"/>
      <c r="K48" s="480"/>
      <c r="L48" s="430"/>
      <c r="M48" s="480"/>
      <c r="N48" s="430"/>
      <c r="O48" s="480"/>
      <c r="P48" s="430"/>
      <c r="Q48" s="480"/>
    </row>
    <row r="49" ht="15.75" customHeight="1">
      <c r="A49" s="430"/>
      <c r="B49" s="480"/>
      <c r="C49" s="480"/>
      <c r="D49" s="430"/>
      <c r="E49" s="480"/>
      <c r="F49" s="480"/>
      <c r="G49" s="430"/>
      <c r="H49" s="486"/>
      <c r="I49" s="480"/>
      <c r="J49" s="430"/>
      <c r="K49" s="480"/>
      <c r="L49" s="430"/>
      <c r="M49" s="480"/>
      <c r="N49" s="430"/>
      <c r="O49" s="480"/>
      <c r="P49" s="430"/>
      <c r="Q49" s="480"/>
    </row>
    <row r="50" ht="15.75" customHeight="1">
      <c r="A50" s="430"/>
      <c r="B50" s="480"/>
      <c r="C50" s="480"/>
      <c r="D50" s="430"/>
      <c r="E50" s="480"/>
      <c r="F50" s="480"/>
      <c r="G50" s="430"/>
      <c r="H50" s="486"/>
      <c r="I50" s="480"/>
      <c r="J50" s="430"/>
      <c r="K50" s="480"/>
      <c r="L50" s="430"/>
      <c r="M50" s="480"/>
      <c r="N50" s="430"/>
      <c r="O50" s="480"/>
      <c r="P50" s="430"/>
      <c r="Q50" s="480"/>
    </row>
    <row r="51" ht="15.75" customHeight="1">
      <c r="A51" s="430"/>
      <c r="B51" s="480"/>
      <c r="C51" s="480"/>
      <c r="D51" s="430"/>
      <c r="E51" s="480"/>
      <c r="F51" s="480"/>
      <c r="G51" s="430"/>
      <c r="H51" s="486"/>
      <c r="I51" s="480"/>
      <c r="J51" s="430"/>
      <c r="K51" s="480"/>
      <c r="L51" s="430"/>
      <c r="M51" s="480"/>
      <c r="N51" s="430"/>
      <c r="O51" s="480"/>
      <c r="P51" s="430"/>
      <c r="Q51" s="480"/>
    </row>
    <row r="52" ht="15.75" customHeight="1">
      <c r="A52" s="430"/>
      <c r="B52" s="480"/>
      <c r="C52" s="480"/>
      <c r="D52" s="430"/>
      <c r="E52" s="480"/>
      <c r="F52" s="480"/>
      <c r="G52" s="430"/>
      <c r="H52" s="486"/>
      <c r="I52" s="480"/>
      <c r="J52" s="430"/>
      <c r="K52" s="480"/>
      <c r="L52" s="430"/>
      <c r="M52" s="480"/>
      <c r="N52" s="430"/>
      <c r="O52" s="480"/>
      <c r="P52" s="430"/>
      <c r="Q52" s="480"/>
    </row>
    <row r="53" ht="15.75" customHeight="1">
      <c r="A53" s="430"/>
      <c r="B53" s="480"/>
      <c r="C53" s="480"/>
      <c r="D53" s="430"/>
      <c r="E53" s="480"/>
      <c r="F53" s="480"/>
      <c r="G53" s="430"/>
      <c r="H53" s="486"/>
      <c r="I53" s="480"/>
      <c r="J53" s="430"/>
      <c r="K53" s="480"/>
      <c r="L53" s="430"/>
      <c r="M53" s="480"/>
      <c r="N53" s="430"/>
      <c r="O53" s="480"/>
      <c r="P53" s="430"/>
      <c r="Q53" s="480"/>
    </row>
    <row r="54" ht="15.75" customHeight="1">
      <c r="A54" s="430"/>
      <c r="B54" s="480"/>
      <c r="C54" s="480"/>
      <c r="D54" s="430"/>
      <c r="E54" s="480"/>
      <c r="F54" s="480"/>
      <c r="G54" s="430"/>
      <c r="H54" s="486"/>
      <c r="I54" s="480"/>
      <c r="J54" s="430"/>
      <c r="K54" s="480"/>
      <c r="L54" s="430"/>
      <c r="M54" s="480"/>
      <c r="N54" s="430"/>
      <c r="O54" s="480"/>
      <c r="P54" s="430"/>
      <c r="Q54" s="480"/>
    </row>
    <row r="55" ht="15.75" customHeight="1">
      <c r="A55" s="430"/>
      <c r="B55" s="480"/>
      <c r="C55" s="480"/>
      <c r="D55" s="430"/>
      <c r="E55" s="480"/>
      <c r="F55" s="480"/>
      <c r="G55" s="430"/>
      <c r="H55" s="486"/>
      <c r="I55" s="480"/>
      <c r="J55" s="430"/>
      <c r="K55" s="480"/>
      <c r="L55" s="430"/>
      <c r="M55" s="480"/>
      <c r="N55" s="430"/>
      <c r="O55" s="480"/>
      <c r="P55" s="430"/>
      <c r="Q55" s="480"/>
    </row>
    <row r="56" ht="15.75" customHeight="1">
      <c r="A56" s="430"/>
      <c r="B56" s="480"/>
      <c r="C56" s="480"/>
      <c r="D56" s="430"/>
      <c r="E56" s="480"/>
      <c r="F56" s="480"/>
      <c r="G56" s="430"/>
      <c r="H56" s="486"/>
      <c r="I56" s="480"/>
      <c r="J56" s="430"/>
      <c r="K56" s="480"/>
      <c r="L56" s="430"/>
      <c r="M56" s="480"/>
      <c r="N56" s="430"/>
      <c r="O56" s="480"/>
      <c r="P56" s="430"/>
      <c r="Q56" s="480"/>
    </row>
    <row r="57" ht="15.75" customHeight="1">
      <c r="A57" s="430"/>
      <c r="B57" s="480"/>
      <c r="C57" s="480"/>
      <c r="D57" s="430"/>
      <c r="E57" s="480"/>
      <c r="F57" s="480"/>
      <c r="G57" s="430"/>
      <c r="H57" s="486"/>
      <c r="I57" s="480"/>
      <c r="J57" s="430"/>
      <c r="K57" s="480"/>
      <c r="L57" s="430"/>
      <c r="M57" s="480"/>
      <c r="N57" s="430"/>
      <c r="O57" s="480"/>
      <c r="P57" s="430"/>
      <c r="Q57" s="480"/>
    </row>
    <row r="58" ht="15.75" customHeight="1">
      <c r="A58" s="430"/>
      <c r="B58" s="480"/>
      <c r="C58" s="480"/>
      <c r="D58" s="430"/>
      <c r="E58" s="480"/>
      <c r="F58" s="480"/>
      <c r="G58" s="430"/>
      <c r="H58" s="486"/>
      <c r="I58" s="480"/>
      <c r="J58" s="430"/>
      <c r="K58" s="480"/>
      <c r="L58" s="430"/>
      <c r="M58" s="480"/>
      <c r="N58" s="430"/>
      <c r="O58" s="480"/>
      <c r="P58" s="430"/>
      <c r="Q58" s="480"/>
    </row>
    <row r="59" ht="15.75" customHeight="1">
      <c r="A59" s="430"/>
      <c r="B59" s="480"/>
      <c r="C59" s="480"/>
      <c r="D59" s="430"/>
      <c r="E59" s="480"/>
      <c r="F59" s="480"/>
      <c r="G59" s="430"/>
      <c r="H59" s="486"/>
      <c r="I59" s="480"/>
      <c r="J59" s="430"/>
      <c r="K59" s="480"/>
      <c r="L59" s="430"/>
      <c r="M59" s="480"/>
      <c r="N59" s="430"/>
      <c r="O59" s="480"/>
      <c r="P59" s="430"/>
      <c r="Q59" s="480"/>
    </row>
    <row r="60" ht="15.75" customHeight="1">
      <c r="A60" s="430"/>
      <c r="B60" s="480"/>
      <c r="C60" s="480"/>
      <c r="D60" s="430"/>
      <c r="E60" s="480"/>
      <c r="F60" s="480"/>
      <c r="G60" s="430"/>
      <c r="H60" s="486"/>
      <c r="I60" s="480"/>
      <c r="J60" s="430"/>
      <c r="K60" s="480"/>
      <c r="L60" s="430"/>
      <c r="M60" s="480"/>
      <c r="N60" s="430"/>
      <c r="O60" s="480"/>
      <c r="P60" s="430"/>
      <c r="Q60" s="480"/>
    </row>
    <row r="61" ht="15.75" customHeight="1">
      <c r="A61" s="430"/>
      <c r="B61" s="480"/>
      <c r="C61" s="480"/>
      <c r="D61" s="430"/>
      <c r="E61" s="480"/>
      <c r="F61" s="480"/>
      <c r="G61" s="430"/>
      <c r="H61" s="486"/>
      <c r="I61" s="480"/>
      <c r="J61" s="430"/>
      <c r="K61" s="480"/>
      <c r="L61" s="430"/>
      <c r="M61" s="480"/>
      <c r="N61" s="430"/>
      <c r="O61" s="480"/>
      <c r="P61" s="430"/>
      <c r="Q61" s="480"/>
    </row>
    <row r="62" ht="15.75" customHeight="1">
      <c r="A62" s="430"/>
      <c r="B62" s="480"/>
      <c r="C62" s="480"/>
      <c r="D62" s="430"/>
      <c r="E62" s="480"/>
      <c r="F62" s="480"/>
      <c r="G62" s="430"/>
      <c r="H62" s="486"/>
      <c r="I62" s="480"/>
      <c r="J62" s="430"/>
      <c r="K62" s="480"/>
      <c r="L62" s="430"/>
      <c r="M62" s="480"/>
      <c r="N62" s="430"/>
      <c r="O62" s="480"/>
      <c r="P62" s="430"/>
      <c r="Q62" s="480"/>
    </row>
    <row r="63" ht="15.75" customHeight="1">
      <c r="A63" s="430"/>
      <c r="B63" s="480"/>
      <c r="C63" s="480"/>
      <c r="D63" s="430"/>
      <c r="E63" s="480"/>
      <c r="F63" s="480"/>
      <c r="G63" s="430"/>
      <c r="H63" s="486"/>
      <c r="I63" s="480"/>
      <c r="J63" s="430"/>
      <c r="K63" s="480"/>
      <c r="L63" s="430"/>
      <c r="M63" s="480"/>
      <c r="N63" s="430"/>
      <c r="O63" s="480"/>
      <c r="P63" s="430"/>
      <c r="Q63" s="480"/>
    </row>
    <row r="64" ht="15.75" customHeight="1">
      <c r="A64" s="430"/>
      <c r="B64" s="480"/>
      <c r="C64" s="480"/>
      <c r="D64" s="430"/>
      <c r="E64" s="480"/>
      <c r="F64" s="480"/>
      <c r="G64" s="430"/>
      <c r="H64" s="486"/>
      <c r="I64" s="480"/>
      <c r="J64" s="430"/>
      <c r="K64" s="480"/>
      <c r="L64" s="430"/>
      <c r="M64" s="480"/>
      <c r="N64" s="430"/>
      <c r="O64" s="480"/>
      <c r="P64" s="430"/>
      <c r="Q64" s="480"/>
    </row>
    <row r="65" ht="15.75" customHeight="1">
      <c r="A65" s="430"/>
      <c r="B65" s="480"/>
      <c r="C65" s="480"/>
      <c r="D65" s="430"/>
      <c r="E65" s="480"/>
      <c r="F65" s="480"/>
      <c r="G65" s="430"/>
      <c r="H65" s="486"/>
      <c r="I65" s="480"/>
      <c r="J65" s="430"/>
      <c r="K65" s="480"/>
      <c r="L65" s="430"/>
      <c r="M65" s="480"/>
      <c r="N65" s="430"/>
      <c r="O65" s="480"/>
      <c r="P65" s="430"/>
      <c r="Q65" s="480"/>
    </row>
    <row r="66" ht="15.75" customHeight="1">
      <c r="A66" s="430"/>
      <c r="B66" s="480"/>
      <c r="C66" s="480"/>
      <c r="D66" s="430"/>
      <c r="E66" s="480"/>
      <c r="F66" s="480"/>
      <c r="G66" s="430"/>
      <c r="H66" s="480"/>
      <c r="I66" s="480"/>
      <c r="J66" s="430"/>
      <c r="K66" s="480"/>
      <c r="L66" s="430"/>
      <c r="M66" s="480"/>
      <c r="N66" s="430"/>
      <c r="O66" s="480"/>
      <c r="P66" s="430"/>
      <c r="Q66" s="480"/>
    </row>
    <row r="67" ht="15.75" customHeight="1">
      <c r="A67" s="430"/>
      <c r="B67" s="480"/>
      <c r="C67" s="480"/>
      <c r="D67" s="430"/>
      <c r="E67" s="480"/>
      <c r="F67" s="480"/>
      <c r="G67" s="430"/>
      <c r="H67" s="480"/>
      <c r="I67" s="480"/>
      <c r="J67" s="430"/>
      <c r="K67" s="480"/>
      <c r="L67" s="430"/>
      <c r="M67" s="480"/>
      <c r="N67" s="430"/>
      <c r="O67" s="480"/>
      <c r="P67" s="430"/>
      <c r="Q67" s="480"/>
    </row>
    <row r="68" ht="15.75" customHeight="1">
      <c r="A68" s="430"/>
      <c r="B68" s="480"/>
      <c r="C68" s="480"/>
      <c r="D68" s="430"/>
      <c r="E68" s="480"/>
      <c r="F68" s="480"/>
      <c r="G68" s="430"/>
      <c r="H68" s="480"/>
      <c r="I68" s="480"/>
      <c r="J68" s="430"/>
      <c r="K68" s="480"/>
      <c r="L68" s="430"/>
      <c r="M68" s="480"/>
      <c r="N68" s="430"/>
      <c r="O68" s="480"/>
      <c r="P68" s="430"/>
      <c r="Q68" s="480"/>
    </row>
    <row r="69" ht="15.75" customHeight="1">
      <c r="A69" s="430"/>
      <c r="B69" s="480"/>
      <c r="C69" s="480"/>
      <c r="D69" s="430"/>
      <c r="E69" s="480"/>
      <c r="F69" s="480"/>
      <c r="G69" s="430"/>
      <c r="H69" s="480"/>
      <c r="I69" s="480"/>
      <c r="J69" s="430"/>
      <c r="K69" s="480"/>
      <c r="L69" s="430"/>
      <c r="M69" s="480"/>
      <c r="N69" s="430"/>
      <c r="O69" s="480"/>
      <c r="P69" s="430"/>
      <c r="Q69" s="480"/>
    </row>
    <row r="70" ht="15.75" customHeight="1">
      <c r="A70" s="430"/>
      <c r="B70" s="480"/>
      <c r="C70" s="480"/>
      <c r="D70" s="430"/>
      <c r="E70" s="480"/>
      <c r="F70" s="480"/>
      <c r="G70" s="430"/>
      <c r="H70" s="480"/>
      <c r="I70" s="480"/>
      <c r="J70" s="430"/>
      <c r="K70" s="480"/>
      <c r="L70" s="430"/>
      <c r="M70" s="480"/>
      <c r="N70" s="430"/>
      <c r="O70" s="480"/>
      <c r="P70" s="430"/>
      <c r="Q70" s="480"/>
    </row>
    <row r="71" ht="15.75" customHeight="1">
      <c r="A71" s="430"/>
      <c r="B71" s="480"/>
      <c r="C71" s="480"/>
      <c r="D71" s="430"/>
      <c r="E71" s="480"/>
      <c r="F71" s="480"/>
      <c r="G71" s="430"/>
      <c r="H71" s="480"/>
      <c r="I71" s="480"/>
      <c r="J71" s="430"/>
      <c r="K71" s="480"/>
      <c r="L71" s="430"/>
      <c r="M71" s="480"/>
      <c r="N71" s="430"/>
      <c r="O71" s="480"/>
      <c r="P71" s="430"/>
      <c r="Q71" s="480"/>
    </row>
    <row r="72" ht="15.75" customHeight="1">
      <c r="A72" s="430"/>
      <c r="B72" s="480"/>
      <c r="C72" s="480"/>
      <c r="D72" s="430"/>
      <c r="E72" s="480"/>
      <c r="F72" s="480"/>
      <c r="G72" s="430"/>
      <c r="H72" s="480"/>
      <c r="I72" s="480"/>
      <c r="J72" s="430"/>
      <c r="K72" s="480"/>
      <c r="L72" s="430"/>
      <c r="M72" s="480"/>
      <c r="N72" s="430"/>
      <c r="O72" s="480"/>
      <c r="P72" s="430"/>
      <c r="Q72" s="480"/>
    </row>
    <row r="73" ht="15.75" customHeight="1">
      <c r="A73" s="430"/>
      <c r="B73" s="480"/>
      <c r="C73" s="480"/>
      <c r="D73" s="430"/>
      <c r="E73" s="480"/>
      <c r="F73" s="480"/>
      <c r="G73" s="430"/>
      <c r="H73" s="480"/>
      <c r="I73" s="480"/>
      <c r="J73" s="430"/>
      <c r="K73" s="480"/>
      <c r="L73" s="430"/>
      <c r="M73" s="480"/>
      <c r="N73" s="430"/>
      <c r="O73" s="480"/>
      <c r="P73" s="430"/>
      <c r="Q73" s="480"/>
    </row>
    <row r="74" ht="15.75" customHeight="1">
      <c r="A74" s="430"/>
      <c r="B74" s="480"/>
      <c r="C74" s="480"/>
      <c r="D74" s="430"/>
      <c r="E74" s="480"/>
      <c r="F74" s="480"/>
      <c r="G74" s="430"/>
      <c r="H74" s="480"/>
      <c r="I74" s="480"/>
      <c r="J74" s="430"/>
      <c r="K74" s="480"/>
      <c r="L74" s="430"/>
      <c r="M74" s="480"/>
      <c r="N74" s="430"/>
      <c r="O74" s="480"/>
      <c r="P74" s="430"/>
      <c r="Q74" s="480"/>
    </row>
    <row r="75" ht="15.75" customHeight="1">
      <c r="A75" s="430"/>
      <c r="B75" s="480"/>
      <c r="C75" s="480"/>
      <c r="D75" s="430"/>
      <c r="E75" s="480"/>
      <c r="F75" s="480"/>
      <c r="G75" s="430"/>
      <c r="H75" s="480"/>
      <c r="I75" s="480"/>
      <c r="J75" s="430"/>
      <c r="K75" s="480"/>
      <c r="L75" s="430"/>
      <c r="M75" s="480"/>
      <c r="N75" s="430"/>
      <c r="O75" s="480"/>
      <c r="P75" s="430"/>
      <c r="Q75" s="480"/>
    </row>
    <row r="76" ht="15.75" customHeight="1">
      <c r="A76" s="430"/>
      <c r="B76" s="480"/>
      <c r="C76" s="480"/>
      <c r="D76" s="430"/>
      <c r="E76" s="480"/>
      <c r="F76" s="480"/>
      <c r="G76" s="430"/>
      <c r="H76" s="480"/>
      <c r="I76" s="480"/>
      <c r="J76" s="430"/>
      <c r="K76" s="480"/>
      <c r="L76" s="430"/>
      <c r="M76" s="480"/>
      <c r="N76" s="430"/>
      <c r="O76" s="480"/>
      <c r="P76" s="430"/>
      <c r="Q76" s="480"/>
    </row>
    <row r="77" ht="15.75" customHeight="1">
      <c r="A77" s="430"/>
      <c r="B77" s="480"/>
      <c r="C77" s="480"/>
      <c r="D77" s="430"/>
      <c r="E77" s="480"/>
      <c r="F77" s="480"/>
      <c r="G77" s="430"/>
      <c r="H77" s="480"/>
      <c r="I77" s="480"/>
      <c r="J77" s="430"/>
      <c r="K77" s="480"/>
      <c r="L77" s="430"/>
      <c r="M77" s="480"/>
      <c r="N77" s="430"/>
      <c r="O77" s="480"/>
      <c r="P77" s="430"/>
      <c r="Q77" s="480"/>
    </row>
    <row r="78" ht="15.75" customHeight="1">
      <c r="A78" s="430"/>
      <c r="B78" s="480"/>
      <c r="C78" s="480"/>
      <c r="D78" s="430"/>
      <c r="E78" s="480"/>
      <c r="F78" s="480"/>
      <c r="G78" s="430"/>
      <c r="H78" s="480"/>
      <c r="I78" s="480"/>
      <c r="J78" s="430"/>
      <c r="K78" s="480"/>
      <c r="L78" s="430"/>
      <c r="M78" s="480"/>
      <c r="N78" s="430"/>
      <c r="O78" s="480"/>
      <c r="P78" s="430"/>
      <c r="Q78" s="480"/>
    </row>
    <row r="79" ht="15.75" customHeight="1">
      <c r="A79" s="430"/>
      <c r="B79" s="480"/>
      <c r="C79" s="480"/>
      <c r="D79" s="430"/>
      <c r="E79" s="480"/>
      <c r="F79" s="480"/>
      <c r="G79" s="430"/>
      <c r="H79" s="480"/>
      <c r="I79" s="480"/>
      <c r="J79" s="430"/>
      <c r="K79" s="480"/>
      <c r="L79" s="430"/>
      <c r="M79" s="480"/>
      <c r="N79" s="430"/>
      <c r="O79" s="480"/>
      <c r="P79" s="430"/>
      <c r="Q79" s="480"/>
    </row>
    <row r="80" ht="15.75" customHeight="1">
      <c r="A80" s="430"/>
      <c r="B80" s="480"/>
      <c r="C80" s="480"/>
      <c r="D80" s="430"/>
      <c r="E80" s="480"/>
      <c r="F80" s="480"/>
      <c r="G80" s="430"/>
      <c r="H80" s="480"/>
      <c r="I80" s="480"/>
      <c r="J80" s="430"/>
      <c r="K80" s="480"/>
      <c r="L80" s="430"/>
      <c r="M80" s="480"/>
      <c r="N80" s="430"/>
      <c r="O80" s="480"/>
      <c r="P80" s="430"/>
      <c r="Q80" s="480"/>
    </row>
    <row r="81" ht="15.75" customHeight="1">
      <c r="A81" s="430"/>
      <c r="B81" s="480"/>
      <c r="C81" s="480"/>
      <c r="D81" s="430"/>
      <c r="E81" s="480"/>
      <c r="F81" s="480"/>
      <c r="G81" s="430"/>
      <c r="H81" s="480"/>
      <c r="I81" s="480"/>
      <c r="J81" s="430"/>
      <c r="K81" s="480"/>
      <c r="L81" s="430"/>
      <c r="M81" s="480"/>
      <c r="N81" s="430"/>
      <c r="O81" s="480"/>
      <c r="P81" s="430"/>
      <c r="Q81" s="480"/>
    </row>
    <row r="82" ht="15.75" customHeight="1">
      <c r="A82" s="430"/>
      <c r="B82" s="480"/>
      <c r="C82" s="480"/>
      <c r="D82" s="430"/>
      <c r="E82" s="480"/>
      <c r="F82" s="480"/>
      <c r="G82" s="430"/>
      <c r="H82" s="480"/>
      <c r="I82" s="480"/>
      <c r="J82" s="430"/>
      <c r="K82" s="480"/>
      <c r="L82" s="430"/>
      <c r="M82" s="480"/>
      <c r="N82" s="430"/>
      <c r="O82" s="480"/>
      <c r="P82" s="430"/>
      <c r="Q82" s="480"/>
    </row>
    <row r="83" ht="15.75" customHeight="1">
      <c r="A83" s="430"/>
      <c r="B83" s="480"/>
      <c r="C83" s="480"/>
      <c r="D83" s="430"/>
      <c r="E83" s="480"/>
      <c r="F83" s="480"/>
      <c r="G83" s="430"/>
      <c r="H83" s="480"/>
      <c r="I83" s="480"/>
      <c r="J83" s="430"/>
      <c r="K83" s="480"/>
      <c r="L83" s="430"/>
      <c r="M83" s="480"/>
      <c r="N83" s="430"/>
      <c r="O83" s="480"/>
      <c r="P83" s="430"/>
      <c r="Q83" s="480"/>
    </row>
    <row r="84" ht="15.75" customHeight="1">
      <c r="A84" s="430"/>
      <c r="B84" s="480"/>
      <c r="C84" s="480"/>
      <c r="D84" s="430"/>
      <c r="E84" s="480"/>
      <c r="F84" s="480"/>
      <c r="G84" s="430"/>
      <c r="H84" s="480"/>
      <c r="I84" s="480"/>
      <c r="J84" s="430"/>
      <c r="K84" s="480"/>
      <c r="L84" s="430"/>
      <c r="M84" s="480"/>
      <c r="N84" s="430"/>
      <c r="O84" s="480"/>
      <c r="P84" s="430"/>
      <c r="Q84" s="480"/>
    </row>
    <row r="85" ht="15.75" customHeight="1">
      <c r="A85" s="430"/>
      <c r="B85" s="480"/>
      <c r="C85" s="480"/>
      <c r="D85" s="430"/>
      <c r="E85" s="480"/>
      <c r="F85" s="480"/>
      <c r="G85" s="430"/>
      <c r="H85" s="480"/>
      <c r="I85" s="480"/>
      <c r="J85" s="430"/>
      <c r="K85" s="480"/>
      <c r="L85" s="430"/>
      <c r="M85" s="480"/>
      <c r="N85" s="430"/>
      <c r="O85" s="480"/>
      <c r="P85" s="430"/>
      <c r="Q85" s="480"/>
    </row>
    <row r="86" ht="15.75" customHeight="1">
      <c r="A86" s="430"/>
      <c r="B86" s="480"/>
      <c r="C86" s="480"/>
      <c r="D86" s="430"/>
      <c r="E86" s="480"/>
      <c r="F86" s="480"/>
      <c r="G86" s="430"/>
      <c r="H86" s="480"/>
      <c r="I86" s="480"/>
      <c r="J86" s="430"/>
      <c r="K86" s="480"/>
      <c r="L86" s="430"/>
      <c r="M86" s="480"/>
      <c r="N86" s="430"/>
      <c r="O86" s="480"/>
      <c r="P86" s="430"/>
      <c r="Q86" s="480"/>
    </row>
    <row r="87" ht="15.75" customHeight="1">
      <c r="A87" s="430"/>
      <c r="B87" s="480"/>
      <c r="C87" s="480"/>
      <c r="D87" s="430"/>
      <c r="E87" s="480"/>
      <c r="F87" s="480"/>
      <c r="G87" s="430"/>
      <c r="H87" s="480"/>
      <c r="I87" s="480"/>
      <c r="J87" s="430"/>
      <c r="K87" s="480"/>
      <c r="L87" s="430"/>
      <c r="M87" s="480"/>
      <c r="N87" s="430"/>
      <c r="O87" s="480"/>
      <c r="P87" s="430"/>
      <c r="Q87" s="480"/>
    </row>
    <row r="88" ht="15.75" customHeight="1">
      <c r="A88" s="430"/>
      <c r="B88" s="480"/>
      <c r="C88" s="480"/>
      <c r="D88" s="430"/>
      <c r="E88" s="480"/>
      <c r="F88" s="480"/>
      <c r="G88" s="430"/>
      <c r="H88" s="480"/>
      <c r="I88" s="480"/>
      <c r="J88" s="430"/>
      <c r="K88" s="480"/>
      <c r="L88" s="430"/>
      <c r="M88" s="480"/>
      <c r="N88" s="430"/>
      <c r="O88" s="480"/>
      <c r="P88" s="430"/>
      <c r="Q88" s="480"/>
    </row>
    <row r="89" ht="15.75" customHeight="1">
      <c r="A89" s="430"/>
      <c r="B89" s="480"/>
      <c r="C89" s="480"/>
      <c r="D89" s="430"/>
      <c r="E89" s="480"/>
      <c r="F89" s="480"/>
      <c r="G89" s="430"/>
      <c r="H89" s="480"/>
      <c r="I89" s="480"/>
      <c r="J89" s="430"/>
      <c r="K89" s="480"/>
      <c r="L89" s="430"/>
      <c r="M89" s="480"/>
      <c r="N89" s="430"/>
      <c r="O89" s="480"/>
      <c r="P89" s="430"/>
      <c r="Q89" s="480"/>
    </row>
    <row r="90" ht="15.75" customHeight="1">
      <c r="A90" s="430"/>
      <c r="B90" s="480"/>
      <c r="C90" s="480"/>
      <c r="D90" s="430"/>
      <c r="E90" s="480"/>
      <c r="F90" s="480"/>
      <c r="G90" s="430"/>
      <c r="H90" s="480"/>
      <c r="I90" s="480"/>
      <c r="J90" s="430"/>
      <c r="K90" s="480"/>
      <c r="L90" s="430"/>
      <c r="M90" s="480"/>
      <c r="N90" s="430"/>
      <c r="O90" s="480"/>
      <c r="P90" s="430"/>
      <c r="Q90" s="480"/>
    </row>
    <row r="91" ht="15.75" customHeight="1">
      <c r="A91" s="430"/>
      <c r="B91" s="480"/>
      <c r="C91" s="480"/>
      <c r="D91" s="430"/>
      <c r="E91" s="480"/>
      <c r="F91" s="480"/>
      <c r="G91" s="430"/>
      <c r="H91" s="480"/>
      <c r="I91" s="480"/>
      <c r="J91" s="430"/>
      <c r="K91" s="480"/>
      <c r="L91" s="430"/>
      <c r="M91" s="480"/>
      <c r="N91" s="430"/>
      <c r="O91" s="480"/>
      <c r="P91" s="430"/>
      <c r="Q91" s="480"/>
    </row>
    <row r="92" ht="15.75" customHeight="1">
      <c r="A92" s="430"/>
      <c r="B92" s="480"/>
      <c r="C92" s="480"/>
      <c r="D92" s="430"/>
      <c r="E92" s="480"/>
      <c r="F92" s="480"/>
      <c r="G92" s="430"/>
      <c r="H92" s="480"/>
      <c r="I92" s="480"/>
      <c r="J92" s="430"/>
      <c r="K92" s="480"/>
      <c r="L92" s="430"/>
      <c r="M92" s="480"/>
      <c r="N92" s="430"/>
      <c r="O92" s="480"/>
      <c r="P92" s="430"/>
      <c r="Q92" s="480"/>
    </row>
    <row r="93" ht="15.75" customHeight="1">
      <c r="A93" s="430"/>
      <c r="B93" s="480"/>
      <c r="C93" s="480"/>
      <c r="D93" s="430"/>
      <c r="E93" s="480"/>
      <c r="F93" s="480"/>
      <c r="G93" s="430"/>
      <c r="H93" s="480"/>
      <c r="I93" s="480"/>
      <c r="J93" s="430"/>
      <c r="K93" s="480"/>
      <c r="L93" s="430"/>
      <c r="M93" s="480"/>
      <c r="N93" s="430"/>
      <c r="O93" s="480"/>
      <c r="P93" s="430"/>
      <c r="Q93" s="480"/>
    </row>
    <row r="94" ht="15.75" customHeight="1">
      <c r="A94" s="430"/>
      <c r="B94" s="480"/>
      <c r="C94" s="480"/>
      <c r="D94" s="430"/>
      <c r="E94" s="480"/>
      <c r="F94" s="480"/>
      <c r="G94" s="430"/>
      <c r="H94" s="480"/>
      <c r="I94" s="480"/>
      <c r="J94" s="430"/>
      <c r="K94" s="480"/>
      <c r="L94" s="430"/>
      <c r="M94" s="480"/>
      <c r="N94" s="430"/>
      <c r="O94" s="480"/>
      <c r="P94" s="430"/>
      <c r="Q94" s="480"/>
    </row>
    <row r="95" ht="15.75" customHeight="1">
      <c r="A95" s="430"/>
      <c r="B95" s="480"/>
      <c r="C95" s="480"/>
      <c r="D95" s="430"/>
      <c r="E95" s="480"/>
      <c r="F95" s="480"/>
      <c r="G95" s="430"/>
      <c r="H95" s="480"/>
      <c r="I95" s="480"/>
      <c r="J95" s="430"/>
      <c r="K95" s="480"/>
      <c r="L95" s="430"/>
      <c r="M95" s="480"/>
      <c r="N95" s="430"/>
      <c r="O95" s="480"/>
      <c r="P95" s="430"/>
      <c r="Q95" s="480"/>
    </row>
    <row r="96" ht="15.75" customHeight="1">
      <c r="A96" s="430"/>
      <c r="B96" s="480"/>
      <c r="C96" s="480"/>
      <c r="D96" s="430"/>
      <c r="E96" s="480"/>
      <c r="F96" s="480"/>
      <c r="G96" s="430"/>
      <c r="H96" s="480"/>
      <c r="I96" s="480"/>
      <c r="J96" s="430"/>
      <c r="K96" s="480"/>
      <c r="L96" s="430"/>
      <c r="M96" s="480"/>
      <c r="N96" s="430"/>
      <c r="O96" s="480"/>
      <c r="P96" s="430"/>
      <c r="Q96" s="480"/>
    </row>
    <row r="97" ht="15.75" customHeight="1">
      <c r="A97" s="430"/>
      <c r="B97" s="480"/>
      <c r="C97" s="480"/>
      <c r="D97" s="430"/>
      <c r="E97" s="480"/>
      <c r="F97" s="480"/>
      <c r="G97" s="430"/>
      <c r="H97" s="480"/>
      <c r="I97" s="480"/>
      <c r="J97" s="430"/>
      <c r="K97" s="480"/>
      <c r="L97" s="430"/>
      <c r="M97" s="480"/>
      <c r="N97" s="430"/>
      <c r="O97" s="480"/>
      <c r="P97" s="430"/>
      <c r="Q97" s="480"/>
    </row>
    <row r="98" ht="15.75" customHeight="1">
      <c r="A98" s="430"/>
      <c r="B98" s="480"/>
      <c r="C98" s="480"/>
      <c r="D98" s="430"/>
      <c r="E98" s="480"/>
      <c r="F98" s="480"/>
      <c r="G98" s="430"/>
      <c r="H98" s="480"/>
      <c r="I98" s="480"/>
      <c r="J98" s="430"/>
      <c r="K98" s="480"/>
      <c r="L98" s="430"/>
      <c r="M98" s="480"/>
      <c r="N98" s="430"/>
      <c r="O98" s="480"/>
      <c r="P98" s="430"/>
      <c r="Q98" s="480"/>
    </row>
    <row r="99" ht="15.75" customHeight="1">
      <c r="A99" s="430"/>
      <c r="B99" s="480"/>
      <c r="C99" s="480"/>
      <c r="D99" s="430"/>
      <c r="E99" s="480"/>
      <c r="F99" s="480"/>
      <c r="G99" s="430"/>
      <c r="H99" s="480"/>
      <c r="I99" s="480"/>
      <c r="J99" s="430"/>
      <c r="K99" s="480"/>
      <c r="L99" s="430"/>
      <c r="M99" s="480"/>
      <c r="N99" s="430"/>
      <c r="O99" s="480"/>
      <c r="P99" s="430"/>
      <c r="Q99" s="480"/>
    </row>
    <row r="100" ht="15.75" customHeight="1">
      <c r="A100" s="430"/>
      <c r="B100" s="480"/>
      <c r="C100" s="480"/>
      <c r="D100" s="430"/>
      <c r="E100" s="480"/>
      <c r="F100" s="480"/>
      <c r="G100" s="430"/>
      <c r="H100" s="480"/>
      <c r="I100" s="480"/>
      <c r="J100" s="430"/>
      <c r="K100" s="480"/>
      <c r="L100" s="430"/>
      <c r="M100" s="480"/>
      <c r="N100" s="430"/>
      <c r="O100" s="480"/>
      <c r="P100" s="430"/>
      <c r="Q100" s="480"/>
    </row>
    <row r="101" ht="15.75" customHeight="1">
      <c r="A101" s="430"/>
      <c r="B101" s="480"/>
      <c r="C101" s="480"/>
      <c r="D101" s="430"/>
      <c r="E101" s="480"/>
      <c r="F101" s="480"/>
      <c r="G101" s="430"/>
      <c r="H101" s="480"/>
      <c r="I101" s="480"/>
      <c r="J101" s="430"/>
      <c r="K101" s="480"/>
      <c r="L101" s="430"/>
      <c r="M101" s="480"/>
      <c r="N101" s="430"/>
      <c r="O101" s="480"/>
      <c r="P101" s="430"/>
      <c r="Q101" s="480"/>
    </row>
    <row r="102" ht="15.75" customHeight="1">
      <c r="A102" s="430"/>
      <c r="B102" s="480"/>
      <c r="C102" s="480"/>
      <c r="D102" s="430"/>
      <c r="E102" s="480"/>
      <c r="F102" s="480"/>
      <c r="G102" s="430"/>
      <c r="H102" s="480"/>
      <c r="I102" s="480"/>
      <c r="J102" s="430"/>
      <c r="K102" s="480"/>
      <c r="L102" s="430"/>
      <c r="M102" s="480"/>
      <c r="N102" s="430"/>
      <c r="O102" s="480"/>
      <c r="P102" s="430"/>
      <c r="Q102" s="480"/>
    </row>
    <row r="103" ht="15.75" customHeight="1">
      <c r="A103" s="430"/>
      <c r="B103" s="480"/>
      <c r="C103" s="480"/>
      <c r="D103" s="430"/>
      <c r="E103" s="480"/>
      <c r="F103" s="480"/>
      <c r="G103" s="430"/>
      <c r="H103" s="480"/>
      <c r="I103" s="480"/>
      <c r="J103" s="430"/>
      <c r="K103" s="480"/>
      <c r="L103" s="430"/>
      <c r="M103" s="480"/>
      <c r="N103" s="430"/>
      <c r="O103" s="480"/>
      <c r="P103" s="430"/>
      <c r="Q103" s="480"/>
    </row>
    <row r="104" ht="15.75" customHeight="1">
      <c r="A104" s="430"/>
      <c r="B104" s="480"/>
      <c r="C104" s="480"/>
      <c r="D104" s="430"/>
      <c r="E104" s="480"/>
      <c r="F104" s="480"/>
      <c r="G104" s="430"/>
      <c r="H104" s="480"/>
      <c r="I104" s="480"/>
      <c r="J104" s="430"/>
      <c r="K104" s="480"/>
      <c r="L104" s="430"/>
      <c r="M104" s="480"/>
      <c r="N104" s="430"/>
      <c r="O104" s="480"/>
      <c r="P104" s="430"/>
      <c r="Q104" s="480"/>
    </row>
    <row r="105" ht="15.75" customHeight="1">
      <c r="A105" s="430"/>
      <c r="B105" s="480"/>
      <c r="C105" s="480"/>
      <c r="D105" s="430"/>
      <c r="E105" s="480"/>
      <c r="F105" s="480"/>
      <c r="G105" s="430"/>
      <c r="H105" s="480"/>
      <c r="I105" s="480"/>
      <c r="J105" s="430"/>
      <c r="K105" s="480"/>
      <c r="L105" s="430"/>
      <c r="M105" s="480"/>
      <c r="N105" s="430"/>
      <c r="O105" s="480"/>
      <c r="P105" s="430"/>
      <c r="Q105" s="480"/>
    </row>
    <row r="106" ht="15.75" customHeight="1">
      <c r="A106" s="430"/>
      <c r="B106" s="480"/>
      <c r="C106" s="480"/>
      <c r="D106" s="430"/>
      <c r="E106" s="480"/>
      <c r="F106" s="480"/>
      <c r="G106" s="430"/>
      <c r="H106" s="480"/>
      <c r="I106" s="480"/>
      <c r="J106" s="430"/>
      <c r="K106" s="480"/>
      <c r="L106" s="430"/>
      <c r="M106" s="480"/>
      <c r="N106" s="430"/>
      <c r="O106" s="480"/>
      <c r="P106" s="430"/>
      <c r="Q106" s="480"/>
    </row>
    <row r="107" ht="15.75" customHeight="1">
      <c r="A107" s="430"/>
      <c r="B107" s="480"/>
      <c r="C107" s="480"/>
      <c r="D107" s="430"/>
      <c r="E107" s="480"/>
      <c r="F107" s="480"/>
      <c r="G107" s="430"/>
      <c r="H107" s="480"/>
      <c r="I107" s="480"/>
      <c r="J107" s="430"/>
      <c r="K107" s="480"/>
      <c r="L107" s="430"/>
      <c r="M107" s="480"/>
      <c r="N107" s="430"/>
      <c r="O107" s="480"/>
      <c r="P107" s="430"/>
      <c r="Q107" s="480"/>
    </row>
    <row r="108" ht="15.75" customHeight="1">
      <c r="A108" s="430"/>
      <c r="B108" s="480"/>
      <c r="C108" s="480"/>
      <c r="D108" s="430"/>
      <c r="E108" s="480"/>
      <c r="F108" s="480"/>
      <c r="G108" s="430"/>
      <c r="H108" s="480"/>
      <c r="I108" s="480"/>
      <c r="J108" s="430"/>
      <c r="K108" s="480"/>
      <c r="L108" s="430"/>
      <c r="M108" s="480"/>
      <c r="N108" s="430"/>
      <c r="O108" s="480"/>
      <c r="P108" s="430"/>
      <c r="Q108" s="480"/>
    </row>
    <row r="109" ht="15.75" customHeight="1">
      <c r="A109" s="430"/>
      <c r="B109" s="480"/>
      <c r="C109" s="480"/>
      <c r="D109" s="430"/>
      <c r="E109" s="480"/>
      <c r="F109" s="480"/>
      <c r="G109" s="430"/>
      <c r="H109" s="480"/>
      <c r="I109" s="480"/>
      <c r="J109" s="430"/>
      <c r="K109" s="480"/>
      <c r="L109" s="430"/>
      <c r="M109" s="480"/>
      <c r="N109" s="430"/>
      <c r="O109" s="480"/>
      <c r="P109" s="430"/>
      <c r="Q109" s="480"/>
    </row>
    <row r="110" ht="15.75" customHeight="1">
      <c r="A110" s="430"/>
      <c r="B110" s="480"/>
      <c r="C110" s="480"/>
      <c r="D110" s="430"/>
      <c r="E110" s="480"/>
      <c r="F110" s="480"/>
      <c r="G110" s="430"/>
      <c r="H110" s="480"/>
      <c r="I110" s="480"/>
      <c r="J110" s="430"/>
      <c r="K110" s="480"/>
      <c r="L110" s="430"/>
      <c r="M110" s="480"/>
      <c r="N110" s="430"/>
      <c r="O110" s="480"/>
      <c r="P110" s="430"/>
      <c r="Q110" s="480"/>
    </row>
    <row r="111" ht="15.75" customHeight="1">
      <c r="A111" s="430"/>
      <c r="B111" s="480"/>
      <c r="C111" s="480"/>
      <c r="D111" s="430"/>
      <c r="E111" s="480"/>
      <c r="F111" s="480"/>
      <c r="G111" s="430"/>
      <c r="H111" s="480"/>
      <c r="I111" s="480"/>
      <c r="J111" s="430"/>
      <c r="K111" s="480"/>
      <c r="L111" s="430"/>
      <c r="M111" s="480"/>
      <c r="N111" s="430"/>
      <c r="O111" s="480"/>
      <c r="P111" s="430"/>
      <c r="Q111" s="480"/>
    </row>
    <row r="112" ht="15.75" customHeight="1">
      <c r="A112" s="430"/>
      <c r="B112" s="480"/>
      <c r="C112" s="480"/>
      <c r="D112" s="430"/>
      <c r="E112" s="480"/>
      <c r="F112" s="480"/>
      <c r="G112" s="430"/>
      <c r="H112" s="480"/>
      <c r="I112" s="480"/>
      <c r="J112" s="430"/>
      <c r="K112" s="480"/>
      <c r="L112" s="430"/>
      <c r="M112" s="480"/>
      <c r="N112" s="430"/>
      <c r="O112" s="480"/>
      <c r="P112" s="430"/>
      <c r="Q112" s="480"/>
    </row>
    <row r="113" ht="15.75" customHeight="1">
      <c r="A113" s="430"/>
      <c r="B113" s="480"/>
      <c r="C113" s="480"/>
      <c r="D113" s="430"/>
      <c r="E113" s="480"/>
      <c r="F113" s="480"/>
      <c r="G113" s="430"/>
      <c r="H113" s="480"/>
      <c r="I113" s="480"/>
      <c r="J113" s="430"/>
      <c r="K113" s="480"/>
      <c r="L113" s="430"/>
      <c r="M113" s="480"/>
      <c r="N113" s="430"/>
      <c r="O113" s="480"/>
      <c r="P113" s="430"/>
      <c r="Q113" s="480"/>
    </row>
    <row r="114" ht="15.75" customHeight="1">
      <c r="A114" s="430"/>
      <c r="B114" s="480"/>
      <c r="C114" s="480"/>
      <c r="D114" s="430"/>
      <c r="E114" s="480"/>
      <c r="F114" s="480"/>
      <c r="G114" s="430"/>
      <c r="H114" s="480"/>
      <c r="I114" s="480"/>
      <c r="J114" s="430"/>
      <c r="K114" s="480"/>
      <c r="L114" s="430"/>
      <c r="M114" s="480"/>
      <c r="N114" s="430"/>
      <c r="O114" s="480"/>
      <c r="P114" s="430"/>
      <c r="Q114" s="480"/>
    </row>
    <row r="115" ht="15.75" customHeight="1">
      <c r="A115" s="430"/>
      <c r="B115" s="480"/>
      <c r="C115" s="480"/>
      <c r="D115" s="430"/>
      <c r="E115" s="480"/>
      <c r="F115" s="480"/>
      <c r="G115" s="430"/>
      <c r="H115" s="480"/>
      <c r="I115" s="480"/>
      <c r="J115" s="430"/>
      <c r="K115" s="480"/>
      <c r="L115" s="430"/>
      <c r="M115" s="480"/>
      <c r="N115" s="430"/>
      <c r="O115" s="480"/>
      <c r="P115" s="430"/>
      <c r="Q115" s="480"/>
    </row>
    <row r="116" ht="15.75" customHeight="1">
      <c r="A116" s="430"/>
      <c r="B116" s="480"/>
      <c r="C116" s="480"/>
      <c r="D116" s="430"/>
      <c r="E116" s="480"/>
      <c r="F116" s="480"/>
      <c r="G116" s="430"/>
      <c r="H116" s="480"/>
      <c r="I116" s="480"/>
      <c r="J116" s="430"/>
      <c r="K116" s="480"/>
      <c r="L116" s="430"/>
      <c r="M116" s="480"/>
      <c r="N116" s="430"/>
      <c r="O116" s="480"/>
      <c r="P116" s="430"/>
      <c r="Q116" s="480"/>
    </row>
    <row r="117" ht="15.75" customHeight="1">
      <c r="A117" s="430"/>
      <c r="B117" s="480"/>
      <c r="C117" s="480"/>
      <c r="D117" s="430"/>
      <c r="E117" s="480"/>
      <c r="F117" s="480"/>
      <c r="G117" s="430"/>
      <c r="H117" s="480"/>
      <c r="I117" s="480"/>
      <c r="J117" s="430"/>
      <c r="K117" s="480"/>
      <c r="L117" s="430"/>
      <c r="M117" s="480"/>
      <c r="N117" s="430"/>
      <c r="O117" s="480"/>
      <c r="P117" s="430"/>
      <c r="Q117" s="480"/>
    </row>
    <row r="118" ht="15.75" customHeight="1">
      <c r="A118" s="430"/>
      <c r="B118" s="480"/>
      <c r="C118" s="480"/>
      <c r="D118" s="430"/>
      <c r="E118" s="480"/>
      <c r="F118" s="480"/>
      <c r="G118" s="430"/>
      <c r="H118" s="480"/>
      <c r="I118" s="480"/>
      <c r="J118" s="430"/>
      <c r="K118" s="480"/>
      <c r="L118" s="430"/>
      <c r="M118" s="480"/>
      <c r="N118" s="430"/>
      <c r="O118" s="480"/>
      <c r="P118" s="430"/>
      <c r="Q118" s="480"/>
    </row>
    <row r="119" ht="15.75" customHeight="1">
      <c r="A119" s="430"/>
      <c r="B119" s="480"/>
      <c r="C119" s="480"/>
      <c r="D119" s="430"/>
      <c r="E119" s="480"/>
      <c r="F119" s="480"/>
      <c r="G119" s="430"/>
      <c r="H119" s="480"/>
      <c r="I119" s="480"/>
      <c r="J119" s="430"/>
      <c r="K119" s="480"/>
      <c r="L119" s="430"/>
      <c r="M119" s="480"/>
      <c r="N119" s="430"/>
      <c r="O119" s="480"/>
      <c r="P119" s="430"/>
      <c r="Q119" s="480"/>
    </row>
    <row r="120" ht="15.75" customHeight="1">
      <c r="A120" s="430"/>
      <c r="B120" s="480"/>
      <c r="C120" s="480"/>
      <c r="D120" s="430"/>
      <c r="E120" s="480"/>
      <c r="F120" s="480"/>
      <c r="G120" s="430"/>
      <c r="H120" s="480"/>
      <c r="I120" s="480"/>
      <c r="J120" s="430"/>
      <c r="K120" s="480"/>
      <c r="L120" s="430"/>
      <c r="M120" s="480"/>
      <c r="N120" s="430"/>
      <c r="O120" s="480"/>
      <c r="P120" s="430"/>
      <c r="Q120" s="480"/>
    </row>
    <row r="121" ht="15.75" customHeight="1">
      <c r="A121" s="430"/>
      <c r="B121" s="480"/>
      <c r="C121" s="480"/>
      <c r="D121" s="430"/>
      <c r="E121" s="480"/>
      <c r="F121" s="480"/>
      <c r="G121" s="430"/>
      <c r="H121" s="480"/>
      <c r="I121" s="480"/>
      <c r="J121" s="430"/>
      <c r="K121" s="480"/>
      <c r="L121" s="430"/>
      <c r="M121" s="480"/>
      <c r="N121" s="430"/>
      <c r="O121" s="480"/>
      <c r="P121" s="430"/>
      <c r="Q121" s="480"/>
    </row>
    <row r="122" ht="15.75" customHeight="1">
      <c r="A122" s="430"/>
      <c r="B122" s="480"/>
      <c r="C122" s="480"/>
      <c r="D122" s="430"/>
      <c r="E122" s="480"/>
      <c r="F122" s="480"/>
      <c r="G122" s="430"/>
      <c r="H122" s="480"/>
      <c r="I122" s="480"/>
      <c r="J122" s="430"/>
      <c r="K122" s="480"/>
      <c r="L122" s="430"/>
      <c r="M122" s="480"/>
      <c r="N122" s="430"/>
      <c r="O122" s="480"/>
      <c r="P122" s="430"/>
      <c r="Q122" s="480"/>
    </row>
    <row r="123" ht="15.75" customHeight="1">
      <c r="A123" s="430"/>
      <c r="B123" s="480"/>
      <c r="C123" s="480"/>
      <c r="D123" s="430"/>
      <c r="E123" s="480"/>
      <c r="F123" s="480"/>
      <c r="G123" s="430"/>
      <c r="H123" s="480"/>
      <c r="I123" s="480"/>
      <c r="J123" s="430"/>
      <c r="K123" s="480"/>
      <c r="L123" s="430"/>
      <c r="M123" s="480"/>
      <c r="N123" s="430"/>
      <c r="O123" s="480"/>
      <c r="P123" s="430"/>
      <c r="Q123" s="480"/>
    </row>
    <row r="124" ht="15.75" customHeight="1">
      <c r="A124" s="430"/>
      <c r="B124" s="480"/>
      <c r="C124" s="480"/>
      <c r="D124" s="430"/>
      <c r="E124" s="480"/>
      <c r="F124" s="480"/>
      <c r="G124" s="430"/>
      <c r="H124" s="480"/>
      <c r="I124" s="480"/>
      <c r="J124" s="430"/>
      <c r="K124" s="480"/>
      <c r="L124" s="430"/>
      <c r="M124" s="480"/>
      <c r="N124" s="430"/>
      <c r="O124" s="480"/>
      <c r="P124" s="430"/>
      <c r="Q124" s="480"/>
    </row>
    <row r="125" ht="15.75" customHeight="1">
      <c r="A125" s="430"/>
      <c r="B125" s="480"/>
      <c r="C125" s="480"/>
      <c r="D125" s="430"/>
      <c r="E125" s="480"/>
      <c r="F125" s="480"/>
      <c r="G125" s="430"/>
      <c r="H125" s="480"/>
      <c r="I125" s="480"/>
      <c r="J125" s="430"/>
      <c r="K125" s="480"/>
      <c r="L125" s="430"/>
      <c r="M125" s="480"/>
      <c r="N125" s="430"/>
      <c r="O125" s="480"/>
      <c r="P125" s="430"/>
      <c r="Q125" s="480"/>
    </row>
    <row r="126" ht="15.75" customHeight="1">
      <c r="A126" s="430"/>
      <c r="B126" s="480"/>
      <c r="C126" s="480"/>
      <c r="D126" s="430"/>
      <c r="E126" s="480"/>
      <c r="F126" s="480"/>
      <c r="G126" s="430"/>
      <c r="H126" s="480"/>
      <c r="I126" s="480"/>
      <c r="J126" s="430"/>
      <c r="K126" s="480"/>
      <c r="L126" s="430"/>
      <c r="M126" s="480"/>
      <c r="N126" s="430"/>
      <c r="O126" s="480"/>
      <c r="P126" s="430"/>
      <c r="Q126" s="480"/>
    </row>
    <row r="127" ht="15.75" customHeight="1">
      <c r="A127" s="430"/>
      <c r="B127" s="480"/>
      <c r="C127" s="480"/>
      <c r="D127" s="430"/>
      <c r="E127" s="480"/>
      <c r="F127" s="480"/>
      <c r="G127" s="430"/>
      <c r="H127" s="480"/>
      <c r="I127" s="480"/>
      <c r="J127" s="430"/>
      <c r="K127" s="480"/>
      <c r="L127" s="430"/>
      <c r="M127" s="480"/>
      <c r="N127" s="430"/>
      <c r="O127" s="480"/>
      <c r="P127" s="430"/>
      <c r="Q127" s="480"/>
    </row>
    <row r="128" ht="15.75" customHeight="1">
      <c r="A128" s="430"/>
      <c r="B128" s="480"/>
      <c r="C128" s="480"/>
      <c r="D128" s="430"/>
      <c r="E128" s="480"/>
      <c r="F128" s="480"/>
      <c r="G128" s="430"/>
      <c r="H128" s="480"/>
      <c r="I128" s="480"/>
      <c r="J128" s="430"/>
      <c r="K128" s="480"/>
      <c r="L128" s="430"/>
      <c r="M128" s="480"/>
      <c r="N128" s="430"/>
      <c r="O128" s="480"/>
      <c r="P128" s="430"/>
      <c r="Q128" s="480"/>
    </row>
    <row r="129" ht="15.75" customHeight="1">
      <c r="A129" s="430"/>
      <c r="B129" s="480"/>
      <c r="C129" s="480"/>
      <c r="D129" s="430"/>
      <c r="E129" s="480"/>
      <c r="F129" s="480"/>
      <c r="G129" s="430"/>
      <c r="H129" s="480"/>
      <c r="I129" s="480"/>
      <c r="J129" s="430"/>
      <c r="K129" s="480"/>
      <c r="L129" s="430"/>
      <c r="M129" s="480"/>
      <c r="N129" s="430"/>
      <c r="O129" s="480"/>
      <c r="P129" s="430"/>
      <c r="Q129" s="480"/>
    </row>
    <row r="130" ht="15.75" customHeight="1">
      <c r="A130" s="430"/>
      <c r="B130" s="480"/>
      <c r="C130" s="480"/>
      <c r="D130" s="430"/>
      <c r="E130" s="480"/>
      <c r="F130" s="480"/>
      <c r="G130" s="430"/>
      <c r="H130" s="480"/>
      <c r="I130" s="480"/>
      <c r="J130" s="430"/>
      <c r="K130" s="480"/>
      <c r="L130" s="430"/>
      <c r="M130" s="480"/>
      <c r="N130" s="430"/>
      <c r="O130" s="480"/>
      <c r="P130" s="430"/>
      <c r="Q130" s="480"/>
    </row>
    <row r="131" ht="15.75" customHeight="1">
      <c r="A131" s="430"/>
      <c r="B131" s="480"/>
      <c r="C131" s="480"/>
      <c r="D131" s="430"/>
      <c r="E131" s="480"/>
      <c r="F131" s="480"/>
      <c r="G131" s="430"/>
      <c r="H131" s="480"/>
      <c r="I131" s="480"/>
      <c r="J131" s="430"/>
      <c r="K131" s="480"/>
      <c r="L131" s="430"/>
      <c r="M131" s="480"/>
      <c r="N131" s="430"/>
      <c r="O131" s="480"/>
      <c r="P131" s="430"/>
      <c r="Q131" s="480"/>
    </row>
    <row r="132" ht="15.75" customHeight="1">
      <c r="A132" s="430"/>
      <c r="B132" s="480"/>
      <c r="C132" s="480"/>
      <c r="D132" s="430"/>
      <c r="E132" s="480"/>
      <c r="F132" s="480"/>
      <c r="G132" s="430"/>
      <c r="H132" s="480"/>
      <c r="I132" s="480"/>
      <c r="J132" s="430"/>
      <c r="K132" s="480"/>
      <c r="L132" s="430"/>
      <c r="M132" s="480"/>
      <c r="N132" s="430"/>
      <c r="O132" s="480"/>
      <c r="P132" s="430"/>
      <c r="Q132" s="480"/>
    </row>
    <row r="133" ht="15.75" customHeight="1">
      <c r="A133" s="430"/>
      <c r="B133" s="480"/>
      <c r="C133" s="480"/>
      <c r="D133" s="430"/>
      <c r="E133" s="480"/>
      <c r="F133" s="480"/>
      <c r="G133" s="430"/>
      <c r="H133" s="480"/>
      <c r="I133" s="480"/>
      <c r="J133" s="430"/>
      <c r="K133" s="480"/>
      <c r="L133" s="430"/>
      <c r="M133" s="480"/>
      <c r="N133" s="430"/>
      <c r="O133" s="480"/>
      <c r="P133" s="430"/>
      <c r="Q133" s="480"/>
    </row>
    <row r="134" ht="15.75" customHeight="1">
      <c r="A134" s="430"/>
      <c r="B134" s="480"/>
      <c r="C134" s="480"/>
      <c r="D134" s="430"/>
      <c r="E134" s="480"/>
      <c r="F134" s="480"/>
      <c r="G134" s="430"/>
      <c r="H134" s="480"/>
      <c r="I134" s="480"/>
      <c r="J134" s="430"/>
      <c r="K134" s="480"/>
      <c r="L134" s="430"/>
      <c r="M134" s="480"/>
      <c r="N134" s="430"/>
      <c r="O134" s="480"/>
      <c r="P134" s="430"/>
      <c r="Q134" s="480"/>
    </row>
    <row r="135" ht="15.75" customHeight="1">
      <c r="A135" s="430"/>
      <c r="B135" s="480"/>
      <c r="C135" s="480"/>
      <c r="D135" s="430"/>
      <c r="E135" s="480"/>
      <c r="F135" s="480"/>
      <c r="G135" s="430"/>
      <c r="H135" s="480"/>
      <c r="I135" s="480"/>
      <c r="J135" s="430"/>
      <c r="K135" s="480"/>
      <c r="L135" s="430"/>
      <c r="M135" s="480"/>
      <c r="N135" s="430"/>
      <c r="O135" s="480"/>
      <c r="P135" s="430"/>
      <c r="Q135" s="480"/>
    </row>
    <row r="136" ht="15.75" customHeight="1">
      <c r="A136" s="430"/>
      <c r="B136" s="480"/>
      <c r="C136" s="480"/>
      <c r="D136" s="430"/>
      <c r="E136" s="480"/>
      <c r="F136" s="480"/>
      <c r="G136" s="430"/>
      <c r="H136" s="480"/>
      <c r="I136" s="480"/>
      <c r="J136" s="430"/>
      <c r="K136" s="480"/>
      <c r="L136" s="430"/>
      <c r="M136" s="480"/>
      <c r="N136" s="430"/>
      <c r="O136" s="480"/>
      <c r="P136" s="430"/>
      <c r="Q136" s="480"/>
    </row>
    <row r="137" ht="15.75" customHeight="1">
      <c r="A137" s="430"/>
      <c r="B137" s="480"/>
      <c r="C137" s="480"/>
      <c r="D137" s="430"/>
      <c r="E137" s="480"/>
      <c r="F137" s="480"/>
      <c r="G137" s="430"/>
      <c r="H137" s="480"/>
      <c r="I137" s="480"/>
      <c r="J137" s="430"/>
      <c r="K137" s="480"/>
      <c r="L137" s="430"/>
      <c r="M137" s="480"/>
      <c r="N137" s="430"/>
      <c r="O137" s="480"/>
      <c r="P137" s="430"/>
      <c r="Q137" s="480"/>
    </row>
    <row r="138" ht="15.75" customHeight="1">
      <c r="A138" s="430"/>
      <c r="B138" s="480"/>
      <c r="C138" s="480"/>
      <c r="D138" s="430"/>
      <c r="E138" s="480"/>
      <c r="F138" s="480"/>
      <c r="G138" s="430"/>
      <c r="H138" s="480"/>
      <c r="I138" s="480"/>
      <c r="J138" s="430"/>
      <c r="K138" s="480"/>
      <c r="L138" s="430"/>
      <c r="M138" s="480"/>
      <c r="N138" s="430"/>
      <c r="O138" s="480"/>
      <c r="P138" s="430"/>
      <c r="Q138" s="480"/>
    </row>
    <row r="139" ht="15.75" customHeight="1">
      <c r="A139" s="430"/>
      <c r="B139" s="480"/>
      <c r="C139" s="480"/>
      <c r="D139" s="430"/>
      <c r="E139" s="480"/>
      <c r="F139" s="480"/>
      <c r="G139" s="430"/>
      <c r="H139" s="480"/>
      <c r="I139" s="480"/>
      <c r="J139" s="430"/>
      <c r="K139" s="480"/>
      <c r="L139" s="430"/>
      <c r="M139" s="480"/>
      <c r="N139" s="430"/>
      <c r="O139" s="480"/>
      <c r="P139" s="430"/>
      <c r="Q139" s="480"/>
    </row>
    <row r="140" ht="15.75" customHeight="1">
      <c r="A140" s="430"/>
      <c r="B140" s="480"/>
      <c r="C140" s="480"/>
      <c r="D140" s="430"/>
      <c r="E140" s="480"/>
      <c r="F140" s="480"/>
      <c r="G140" s="430"/>
      <c r="H140" s="480"/>
      <c r="I140" s="480"/>
      <c r="J140" s="430"/>
      <c r="K140" s="480"/>
      <c r="L140" s="430"/>
      <c r="M140" s="480"/>
      <c r="N140" s="430"/>
      <c r="O140" s="480"/>
      <c r="P140" s="430"/>
      <c r="Q140" s="480"/>
    </row>
    <row r="141" ht="15.75" customHeight="1">
      <c r="A141" s="430"/>
      <c r="B141" s="480"/>
      <c r="C141" s="480"/>
      <c r="D141" s="430"/>
      <c r="E141" s="480"/>
      <c r="F141" s="480"/>
      <c r="G141" s="430"/>
      <c r="H141" s="480"/>
      <c r="I141" s="480"/>
      <c r="J141" s="430"/>
      <c r="K141" s="480"/>
      <c r="L141" s="430"/>
      <c r="M141" s="480"/>
      <c r="N141" s="430"/>
      <c r="O141" s="480"/>
      <c r="P141" s="430"/>
      <c r="Q141" s="480"/>
    </row>
    <row r="142" ht="15.75" customHeight="1">
      <c r="A142" s="430"/>
      <c r="B142" s="480"/>
      <c r="C142" s="480"/>
      <c r="D142" s="430"/>
      <c r="E142" s="480"/>
      <c r="F142" s="480"/>
      <c r="G142" s="430"/>
      <c r="H142" s="480"/>
      <c r="I142" s="480"/>
      <c r="J142" s="430"/>
      <c r="K142" s="480"/>
      <c r="L142" s="430"/>
      <c r="M142" s="480"/>
      <c r="N142" s="430"/>
      <c r="O142" s="480"/>
      <c r="P142" s="430"/>
      <c r="Q142" s="480"/>
    </row>
    <row r="143" ht="15.75" customHeight="1">
      <c r="A143" s="430"/>
      <c r="B143" s="480"/>
      <c r="C143" s="480"/>
      <c r="D143" s="430"/>
      <c r="E143" s="480"/>
      <c r="F143" s="480"/>
      <c r="G143" s="430"/>
      <c r="H143" s="480"/>
      <c r="I143" s="480"/>
      <c r="J143" s="430"/>
      <c r="K143" s="480"/>
      <c r="L143" s="430"/>
      <c r="M143" s="480"/>
      <c r="N143" s="430"/>
      <c r="O143" s="480"/>
      <c r="P143" s="430"/>
      <c r="Q143" s="480"/>
    </row>
    <row r="144" ht="15.75" customHeight="1">
      <c r="A144" s="430"/>
      <c r="B144" s="480"/>
      <c r="C144" s="480"/>
      <c r="D144" s="430"/>
      <c r="E144" s="480"/>
      <c r="F144" s="480"/>
      <c r="G144" s="430"/>
      <c r="H144" s="480"/>
      <c r="I144" s="480"/>
      <c r="J144" s="430"/>
      <c r="K144" s="480"/>
      <c r="L144" s="430"/>
      <c r="M144" s="480"/>
      <c r="N144" s="430"/>
      <c r="O144" s="480"/>
      <c r="P144" s="430"/>
      <c r="Q144" s="480"/>
    </row>
    <row r="145" ht="15.75" customHeight="1">
      <c r="A145" s="430"/>
      <c r="B145" s="480"/>
      <c r="C145" s="480"/>
      <c r="D145" s="430"/>
      <c r="E145" s="480"/>
      <c r="F145" s="480"/>
      <c r="G145" s="430"/>
      <c r="H145" s="480"/>
      <c r="I145" s="480"/>
      <c r="J145" s="430"/>
      <c r="K145" s="480"/>
      <c r="L145" s="430"/>
      <c r="M145" s="480"/>
      <c r="N145" s="430"/>
      <c r="O145" s="480"/>
      <c r="P145" s="430"/>
      <c r="Q145" s="480"/>
    </row>
    <row r="146" ht="15.75" customHeight="1">
      <c r="A146" s="430"/>
      <c r="B146" s="480"/>
      <c r="C146" s="480"/>
      <c r="D146" s="430"/>
      <c r="E146" s="480"/>
      <c r="F146" s="480"/>
      <c r="G146" s="430"/>
      <c r="H146" s="480"/>
      <c r="I146" s="480"/>
      <c r="J146" s="430"/>
      <c r="K146" s="480"/>
      <c r="L146" s="430"/>
      <c r="M146" s="480"/>
      <c r="N146" s="430"/>
      <c r="O146" s="480"/>
      <c r="P146" s="430"/>
      <c r="Q146" s="480"/>
    </row>
    <row r="147" ht="15.75" customHeight="1">
      <c r="A147" s="430"/>
      <c r="B147" s="480"/>
      <c r="C147" s="480"/>
      <c r="D147" s="430"/>
      <c r="E147" s="480"/>
      <c r="F147" s="480"/>
      <c r="G147" s="430"/>
      <c r="H147" s="480"/>
      <c r="I147" s="480"/>
      <c r="J147" s="430"/>
      <c r="K147" s="480"/>
      <c r="L147" s="430"/>
      <c r="M147" s="480"/>
      <c r="N147" s="430"/>
      <c r="O147" s="480"/>
      <c r="P147" s="430"/>
      <c r="Q147" s="480"/>
    </row>
    <row r="148" ht="15.75" customHeight="1">
      <c r="A148" s="430"/>
      <c r="B148" s="480"/>
      <c r="C148" s="480"/>
      <c r="D148" s="430"/>
      <c r="E148" s="480"/>
      <c r="F148" s="480"/>
      <c r="G148" s="430"/>
      <c r="H148" s="480"/>
      <c r="I148" s="480"/>
      <c r="J148" s="430"/>
      <c r="K148" s="480"/>
      <c r="L148" s="430"/>
      <c r="M148" s="480"/>
      <c r="N148" s="430"/>
      <c r="O148" s="480"/>
      <c r="P148" s="430"/>
      <c r="Q148" s="480"/>
    </row>
    <row r="149" ht="15.75" customHeight="1">
      <c r="A149" s="430"/>
      <c r="B149" s="480"/>
      <c r="C149" s="480"/>
      <c r="D149" s="430"/>
      <c r="E149" s="480"/>
      <c r="F149" s="480"/>
      <c r="G149" s="430"/>
      <c r="H149" s="480"/>
      <c r="I149" s="480"/>
      <c r="J149" s="430"/>
      <c r="K149" s="480"/>
      <c r="L149" s="430"/>
      <c r="M149" s="480"/>
      <c r="N149" s="430"/>
      <c r="O149" s="480"/>
      <c r="P149" s="430"/>
      <c r="Q149" s="480"/>
    </row>
    <row r="150" ht="15.75" customHeight="1">
      <c r="A150" s="430"/>
      <c r="B150" s="480"/>
      <c r="C150" s="480"/>
      <c r="D150" s="430"/>
      <c r="E150" s="480"/>
      <c r="F150" s="480"/>
      <c r="G150" s="430"/>
      <c r="H150" s="480"/>
      <c r="I150" s="480"/>
      <c r="J150" s="430"/>
      <c r="K150" s="480"/>
      <c r="L150" s="430"/>
      <c r="M150" s="480"/>
      <c r="N150" s="430"/>
      <c r="O150" s="480"/>
      <c r="P150" s="430"/>
      <c r="Q150" s="480"/>
    </row>
    <row r="151" ht="15.75" customHeight="1">
      <c r="A151" s="430"/>
      <c r="B151" s="480"/>
      <c r="C151" s="480"/>
      <c r="D151" s="430"/>
      <c r="E151" s="480"/>
      <c r="F151" s="480"/>
      <c r="G151" s="430"/>
      <c r="H151" s="480"/>
      <c r="I151" s="480"/>
      <c r="J151" s="430"/>
      <c r="K151" s="480"/>
      <c r="L151" s="430"/>
      <c r="M151" s="480"/>
      <c r="N151" s="430"/>
      <c r="O151" s="480"/>
      <c r="P151" s="430"/>
      <c r="Q151" s="480"/>
    </row>
    <row r="152" ht="15.75" customHeight="1">
      <c r="A152" s="430"/>
      <c r="B152" s="480"/>
      <c r="C152" s="480"/>
      <c r="D152" s="430"/>
      <c r="E152" s="480"/>
      <c r="F152" s="480"/>
      <c r="G152" s="430"/>
      <c r="H152" s="480"/>
      <c r="I152" s="480"/>
      <c r="J152" s="430"/>
      <c r="K152" s="480"/>
      <c r="L152" s="430"/>
      <c r="M152" s="480"/>
      <c r="N152" s="430"/>
      <c r="O152" s="480"/>
      <c r="P152" s="430"/>
      <c r="Q152" s="480"/>
    </row>
    <row r="153" ht="15.75" customHeight="1">
      <c r="A153" s="430"/>
      <c r="B153" s="480"/>
      <c r="C153" s="480"/>
      <c r="D153" s="430"/>
      <c r="E153" s="480"/>
      <c r="F153" s="480"/>
      <c r="G153" s="430"/>
      <c r="H153" s="480"/>
      <c r="I153" s="480"/>
      <c r="J153" s="430"/>
      <c r="K153" s="480"/>
      <c r="L153" s="430"/>
      <c r="M153" s="480"/>
      <c r="N153" s="430"/>
      <c r="O153" s="480"/>
      <c r="P153" s="430"/>
      <c r="Q153" s="480"/>
    </row>
    <row r="154" ht="15.75" customHeight="1">
      <c r="A154" s="430"/>
      <c r="B154" s="480"/>
      <c r="C154" s="480"/>
      <c r="D154" s="430"/>
      <c r="E154" s="480"/>
      <c r="F154" s="480"/>
      <c r="G154" s="430"/>
      <c r="H154" s="480"/>
      <c r="I154" s="480"/>
      <c r="J154" s="430"/>
      <c r="K154" s="480"/>
      <c r="L154" s="430"/>
      <c r="M154" s="480"/>
      <c r="N154" s="430"/>
      <c r="O154" s="480"/>
      <c r="P154" s="430"/>
      <c r="Q154" s="480"/>
    </row>
    <row r="155" ht="15.75" customHeight="1">
      <c r="A155" s="430"/>
      <c r="B155" s="480"/>
      <c r="C155" s="480"/>
      <c r="D155" s="430"/>
      <c r="E155" s="480"/>
      <c r="F155" s="480"/>
      <c r="G155" s="430"/>
      <c r="H155" s="480"/>
      <c r="I155" s="480"/>
      <c r="J155" s="430"/>
      <c r="K155" s="480"/>
      <c r="L155" s="430"/>
      <c r="M155" s="480"/>
      <c r="N155" s="430"/>
      <c r="O155" s="480"/>
      <c r="P155" s="430"/>
      <c r="Q155" s="480"/>
    </row>
    <row r="156" ht="15.75" customHeight="1">
      <c r="A156" s="430"/>
      <c r="B156" s="480"/>
      <c r="C156" s="480"/>
      <c r="D156" s="430"/>
      <c r="E156" s="480"/>
      <c r="F156" s="480"/>
      <c r="G156" s="430"/>
      <c r="H156" s="480"/>
      <c r="I156" s="480"/>
      <c r="J156" s="430"/>
      <c r="K156" s="480"/>
      <c r="L156" s="430"/>
      <c r="M156" s="480"/>
      <c r="N156" s="430"/>
      <c r="O156" s="480"/>
      <c r="P156" s="430"/>
      <c r="Q156" s="480"/>
    </row>
    <row r="157" ht="15.75" customHeight="1">
      <c r="A157" s="430"/>
      <c r="B157" s="480"/>
      <c r="C157" s="480"/>
      <c r="D157" s="430"/>
      <c r="E157" s="480"/>
      <c r="F157" s="480"/>
      <c r="G157" s="430"/>
      <c r="H157" s="480"/>
      <c r="I157" s="480"/>
      <c r="J157" s="430"/>
      <c r="K157" s="480"/>
      <c r="L157" s="430"/>
      <c r="M157" s="480"/>
      <c r="N157" s="430"/>
      <c r="O157" s="480"/>
      <c r="P157" s="430"/>
      <c r="Q157" s="480"/>
    </row>
    <row r="158" ht="15.75" customHeight="1">
      <c r="A158" s="430"/>
      <c r="B158" s="480"/>
      <c r="C158" s="480"/>
      <c r="D158" s="430"/>
      <c r="E158" s="480"/>
      <c r="F158" s="480"/>
      <c r="G158" s="430"/>
      <c r="H158" s="480"/>
      <c r="I158" s="480"/>
      <c r="J158" s="430"/>
      <c r="K158" s="480"/>
      <c r="L158" s="430"/>
      <c r="M158" s="480"/>
      <c r="N158" s="430"/>
      <c r="O158" s="480"/>
      <c r="P158" s="430"/>
      <c r="Q158" s="480"/>
    </row>
    <row r="159" ht="15.75" customHeight="1">
      <c r="A159" s="430"/>
      <c r="B159" s="480"/>
      <c r="C159" s="480"/>
      <c r="D159" s="430"/>
      <c r="E159" s="480"/>
      <c r="F159" s="480"/>
      <c r="G159" s="430"/>
      <c r="H159" s="480"/>
      <c r="I159" s="480"/>
      <c r="J159" s="430"/>
      <c r="K159" s="480"/>
      <c r="L159" s="430"/>
      <c r="M159" s="480"/>
      <c r="N159" s="430"/>
      <c r="O159" s="480"/>
      <c r="P159" s="430"/>
      <c r="Q159" s="480"/>
    </row>
    <row r="160" ht="15.75" customHeight="1">
      <c r="A160" s="430"/>
      <c r="B160" s="480"/>
      <c r="C160" s="480"/>
      <c r="D160" s="430"/>
      <c r="E160" s="480"/>
      <c r="F160" s="480"/>
      <c r="G160" s="430"/>
      <c r="H160" s="480"/>
      <c r="I160" s="480"/>
      <c r="J160" s="430"/>
      <c r="K160" s="480"/>
      <c r="L160" s="430"/>
      <c r="M160" s="480"/>
      <c r="N160" s="430"/>
      <c r="O160" s="480"/>
      <c r="P160" s="430"/>
      <c r="Q160" s="480"/>
    </row>
    <row r="161" ht="15.75" customHeight="1">
      <c r="A161" s="430"/>
      <c r="B161" s="480"/>
      <c r="C161" s="480"/>
      <c r="D161" s="430"/>
      <c r="E161" s="480"/>
      <c r="F161" s="480"/>
      <c r="G161" s="430"/>
      <c r="H161" s="480"/>
      <c r="I161" s="480"/>
      <c r="J161" s="430"/>
      <c r="K161" s="480"/>
      <c r="L161" s="430"/>
      <c r="M161" s="480"/>
      <c r="N161" s="430"/>
      <c r="O161" s="480"/>
      <c r="P161" s="430"/>
      <c r="Q161" s="480"/>
    </row>
    <row r="162" ht="15.75" customHeight="1">
      <c r="A162" s="430"/>
      <c r="B162" s="480"/>
      <c r="C162" s="480"/>
      <c r="D162" s="430"/>
      <c r="E162" s="480"/>
      <c r="F162" s="480"/>
      <c r="G162" s="430"/>
      <c r="H162" s="480"/>
      <c r="I162" s="480"/>
      <c r="J162" s="430"/>
      <c r="K162" s="480"/>
      <c r="L162" s="430"/>
      <c r="M162" s="480"/>
      <c r="N162" s="430"/>
      <c r="O162" s="480"/>
      <c r="P162" s="430"/>
      <c r="Q162" s="480"/>
    </row>
    <row r="163" ht="15.75" customHeight="1">
      <c r="A163" s="430"/>
      <c r="B163" s="480"/>
      <c r="C163" s="480"/>
      <c r="D163" s="430"/>
      <c r="E163" s="480"/>
      <c r="F163" s="480"/>
      <c r="G163" s="430"/>
      <c r="H163" s="480"/>
      <c r="I163" s="480"/>
      <c r="J163" s="430"/>
      <c r="K163" s="480"/>
      <c r="L163" s="430"/>
      <c r="M163" s="480"/>
      <c r="N163" s="430"/>
      <c r="O163" s="480"/>
      <c r="P163" s="430"/>
      <c r="Q163" s="480"/>
    </row>
    <row r="164" ht="15.75" customHeight="1">
      <c r="A164" s="430"/>
      <c r="B164" s="480"/>
      <c r="C164" s="480"/>
      <c r="D164" s="430"/>
      <c r="E164" s="480"/>
      <c r="F164" s="480"/>
      <c r="G164" s="430"/>
      <c r="H164" s="480"/>
      <c r="I164" s="480"/>
      <c r="J164" s="430"/>
      <c r="K164" s="480"/>
      <c r="L164" s="430"/>
      <c r="M164" s="480"/>
      <c r="N164" s="430"/>
      <c r="O164" s="480"/>
      <c r="P164" s="430"/>
      <c r="Q164" s="480"/>
    </row>
    <row r="165" ht="15.75" customHeight="1">
      <c r="A165" s="430"/>
      <c r="B165" s="480"/>
      <c r="C165" s="480"/>
      <c r="D165" s="430"/>
      <c r="E165" s="480"/>
      <c r="F165" s="480"/>
      <c r="G165" s="430"/>
      <c r="H165" s="480"/>
      <c r="I165" s="480"/>
      <c r="J165" s="430"/>
      <c r="K165" s="480"/>
      <c r="L165" s="430"/>
      <c r="M165" s="480"/>
      <c r="N165" s="430"/>
      <c r="O165" s="480"/>
      <c r="P165" s="430"/>
      <c r="Q165" s="480"/>
    </row>
    <row r="166" ht="15.75" customHeight="1">
      <c r="A166" s="430"/>
      <c r="B166" s="480"/>
      <c r="C166" s="480"/>
      <c r="D166" s="430"/>
      <c r="E166" s="480"/>
      <c r="F166" s="480"/>
      <c r="G166" s="430"/>
      <c r="H166" s="480"/>
      <c r="I166" s="480"/>
      <c r="J166" s="430"/>
      <c r="K166" s="480"/>
      <c r="L166" s="430"/>
      <c r="M166" s="480"/>
      <c r="N166" s="430"/>
      <c r="O166" s="480"/>
      <c r="P166" s="430"/>
      <c r="Q166" s="480"/>
    </row>
    <row r="167" ht="15.75" customHeight="1">
      <c r="A167" s="430"/>
      <c r="B167" s="480"/>
      <c r="C167" s="480"/>
      <c r="D167" s="430"/>
      <c r="E167" s="480"/>
      <c r="F167" s="480"/>
      <c r="G167" s="430"/>
      <c r="H167" s="480"/>
      <c r="I167" s="480"/>
      <c r="J167" s="430"/>
      <c r="K167" s="480"/>
      <c r="L167" s="430"/>
      <c r="M167" s="480"/>
      <c r="N167" s="430"/>
      <c r="O167" s="480"/>
      <c r="P167" s="430"/>
      <c r="Q167" s="480"/>
    </row>
    <row r="168" ht="15.75" customHeight="1">
      <c r="A168" s="430"/>
      <c r="B168" s="480"/>
      <c r="C168" s="480"/>
      <c r="D168" s="430"/>
      <c r="E168" s="480"/>
      <c r="F168" s="480"/>
      <c r="G168" s="430"/>
      <c r="H168" s="480"/>
      <c r="I168" s="480"/>
      <c r="J168" s="430"/>
      <c r="K168" s="480"/>
      <c r="L168" s="430"/>
      <c r="M168" s="480"/>
      <c r="N168" s="430"/>
      <c r="O168" s="480"/>
      <c r="P168" s="430"/>
      <c r="Q168" s="480"/>
    </row>
    <row r="169" ht="15.75" customHeight="1">
      <c r="A169" s="430"/>
      <c r="B169" s="480"/>
      <c r="C169" s="480"/>
      <c r="D169" s="430"/>
      <c r="E169" s="480"/>
      <c r="F169" s="480"/>
      <c r="G169" s="430"/>
      <c r="H169" s="480"/>
      <c r="I169" s="480"/>
      <c r="J169" s="430"/>
      <c r="K169" s="480"/>
      <c r="L169" s="430"/>
      <c r="M169" s="480"/>
      <c r="N169" s="430"/>
      <c r="O169" s="480"/>
      <c r="P169" s="430"/>
      <c r="Q169" s="480"/>
    </row>
    <row r="170" ht="15.75" customHeight="1">
      <c r="A170" s="430"/>
      <c r="B170" s="480"/>
      <c r="C170" s="480"/>
      <c r="D170" s="430"/>
      <c r="E170" s="480"/>
      <c r="F170" s="480"/>
      <c r="G170" s="430"/>
      <c r="H170" s="480"/>
      <c r="I170" s="480"/>
      <c r="J170" s="430"/>
      <c r="K170" s="480"/>
      <c r="L170" s="430"/>
      <c r="M170" s="480"/>
      <c r="N170" s="430"/>
      <c r="O170" s="480"/>
      <c r="P170" s="430"/>
      <c r="Q170" s="480"/>
    </row>
    <row r="171" ht="15.75" customHeight="1">
      <c r="A171" s="430"/>
      <c r="B171" s="480"/>
      <c r="C171" s="480"/>
      <c r="D171" s="430"/>
      <c r="E171" s="480"/>
      <c r="F171" s="480"/>
      <c r="G171" s="430"/>
      <c r="H171" s="480"/>
      <c r="I171" s="480"/>
      <c r="J171" s="430"/>
      <c r="K171" s="480"/>
      <c r="L171" s="430"/>
      <c r="M171" s="480"/>
      <c r="N171" s="430"/>
      <c r="O171" s="480"/>
      <c r="P171" s="430"/>
      <c r="Q171" s="480"/>
    </row>
    <row r="172" ht="15.75" customHeight="1">
      <c r="A172" s="430"/>
      <c r="B172" s="480"/>
      <c r="C172" s="480"/>
      <c r="D172" s="430"/>
      <c r="E172" s="480"/>
      <c r="F172" s="480"/>
      <c r="G172" s="430"/>
      <c r="H172" s="480"/>
      <c r="I172" s="480"/>
      <c r="J172" s="430"/>
      <c r="K172" s="480"/>
      <c r="L172" s="430"/>
      <c r="M172" s="480"/>
      <c r="N172" s="430"/>
      <c r="O172" s="480"/>
      <c r="P172" s="430"/>
      <c r="Q172" s="480"/>
    </row>
    <row r="173" ht="15.75" customHeight="1">
      <c r="A173" s="430"/>
      <c r="B173" s="480"/>
      <c r="C173" s="480"/>
      <c r="D173" s="430"/>
      <c r="E173" s="480"/>
      <c r="F173" s="480"/>
      <c r="G173" s="430"/>
      <c r="H173" s="480"/>
      <c r="I173" s="480"/>
      <c r="J173" s="430"/>
      <c r="K173" s="480"/>
      <c r="L173" s="430"/>
      <c r="M173" s="480"/>
      <c r="N173" s="430"/>
      <c r="O173" s="480"/>
      <c r="P173" s="430"/>
      <c r="Q173" s="480"/>
    </row>
    <row r="174" ht="15.75" customHeight="1">
      <c r="A174" s="430"/>
      <c r="B174" s="480"/>
      <c r="C174" s="480"/>
      <c r="D174" s="430"/>
      <c r="E174" s="480"/>
      <c r="F174" s="480"/>
      <c r="G174" s="430"/>
      <c r="H174" s="480"/>
      <c r="I174" s="480"/>
      <c r="J174" s="430"/>
      <c r="K174" s="480"/>
      <c r="L174" s="430"/>
      <c r="M174" s="480"/>
      <c r="N174" s="430"/>
      <c r="O174" s="480"/>
      <c r="P174" s="430"/>
      <c r="Q174" s="480"/>
    </row>
    <row r="175" ht="15.75" customHeight="1">
      <c r="A175" s="430"/>
      <c r="B175" s="480"/>
      <c r="C175" s="480"/>
      <c r="D175" s="430"/>
      <c r="E175" s="480"/>
      <c r="F175" s="480"/>
      <c r="G175" s="430"/>
      <c r="H175" s="480"/>
      <c r="I175" s="480"/>
      <c r="J175" s="430"/>
      <c r="K175" s="480"/>
      <c r="L175" s="430"/>
      <c r="M175" s="480"/>
      <c r="N175" s="430"/>
      <c r="O175" s="480"/>
      <c r="P175" s="430"/>
      <c r="Q175" s="480"/>
    </row>
    <row r="176" ht="15.75" customHeight="1">
      <c r="A176" s="430"/>
      <c r="B176" s="480"/>
      <c r="C176" s="480"/>
      <c r="D176" s="430"/>
      <c r="E176" s="480"/>
      <c r="F176" s="480"/>
      <c r="G176" s="430"/>
      <c r="H176" s="480"/>
      <c r="I176" s="480"/>
      <c r="J176" s="430"/>
      <c r="K176" s="480"/>
      <c r="L176" s="430"/>
      <c r="M176" s="480"/>
      <c r="N176" s="430"/>
      <c r="O176" s="480"/>
      <c r="P176" s="430"/>
      <c r="Q176" s="480"/>
    </row>
    <row r="177" ht="15.75" customHeight="1">
      <c r="A177" s="430"/>
      <c r="B177" s="480"/>
      <c r="C177" s="480"/>
      <c r="D177" s="430"/>
      <c r="E177" s="480"/>
      <c r="F177" s="480"/>
      <c r="G177" s="430"/>
      <c r="H177" s="480"/>
      <c r="I177" s="480"/>
      <c r="J177" s="430"/>
      <c r="K177" s="480"/>
      <c r="L177" s="430"/>
      <c r="M177" s="480"/>
      <c r="N177" s="430"/>
      <c r="O177" s="480"/>
      <c r="P177" s="430"/>
      <c r="Q177" s="480"/>
    </row>
    <row r="178" ht="15.75" customHeight="1">
      <c r="A178" s="430"/>
      <c r="B178" s="480"/>
      <c r="C178" s="480"/>
      <c r="D178" s="430"/>
      <c r="E178" s="480"/>
      <c r="F178" s="480"/>
      <c r="G178" s="430"/>
      <c r="H178" s="480"/>
      <c r="I178" s="480"/>
      <c r="J178" s="430"/>
      <c r="K178" s="480"/>
      <c r="L178" s="430"/>
      <c r="M178" s="480"/>
      <c r="N178" s="430"/>
      <c r="O178" s="480"/>
      <c r="P178" s="430"/>
      <c r="Q178" s="480"/>
    </row>
    <row r="179" ht="15.75" customHeight="1">
      <c r="A179" s="430"/>
      <c r="B179" s="480"/>
      <c r="C179" s="480"/>
      <c r="D179" s="430"/>
      <c r="E179" s="480"/>
      <c r="F179" s="480"/>
      <c r="G179" s="430"/>
      <c r="H179" s="480"/>
      <c r="I179" s="480"/>
      <c r="J179" s="430"/>
      <c r="K179" s="480"/>
      <c r="L179" s="430"/>
      <c r="M179" s="480"/>
      <c r="N179" s="430"/>
      <c r="O179" s="480"/>
      <c r="P179" s="430"/>
      <c r="Q179" s="480"/>
    </row>
    <row r="180" ht="15.75" customHeight="1">
      <c r="A180" s="430"/>
      <c r="B180" s="480"/>
      <c r="C180" s="480"/>
      <c r="D180" s="430"/>
      <c r="E180" s="480"/>
      <c r="F180" s="480"/>
      <c r="G180" s="430"/>
      <c r="H180" s="480"/>
      <c r="I180" s="480"/>
      <c r="J180" s="430"/>
      <c r="K180" s="480"/>
      <c r="L180" s="430"/>
      <c r="M180" s="480"/>
      <c r="N180" s="430"/>
      <c r="O180" s="480"/>
      <c r="P180" s="430"/>
      <c r="Q180" s="480"/>
    </row>
    <row r="181" ht="15.75" customHeight="1">
      <c r="A181" s="430"/>
      <c r="B181" s="480"/>
      <c r="C181" s="480"/>
      <c r="D181" s="430"/>
      <c r="E181" s="480"/>
      <c r="F181" s="480"/>
      <c r="G181" s="430"/>
      <c r="H181" s="480"/>
      <c r="I181" s="480"/>
      <c r="J181" s="430"/>
      <c r="K181" s="480"/>
      <c r="L181" s="430"/>
      <c r="M181" s="480"/>
      <c r="N181" s="430"/>
      <c r="O181" s="480"/>
      <c r="P181" s="430"/>
      <c r="Q181" s="480"/>
    </row>
    <row r="182" ht="15.75" customHeight="1">
      <c r="A182" s="430"/>
      <c r="B182" s="480"/>
      <c r="C182" s="480"/>
      <c r="D182" s="430"/>
      <c r="E182" s="480"/>
      <c r="F182" s="480"/>
      <c r="G182" s="430"/>
      <c r="H182" s="480"/>
      <c r="I182" s="480"/>
      <c r="J182" s="430"/>
      <c r="K182" s="480"/>
      <c r="L182" s="430"/>
      <c r="M182" s="480"/>
      <c r="N182" s="430"/>
      <c r="O182" s="480"/>
      <c r="P182" s="430"/>
      <c r="Q182" s="480"/>
    </row>
    <row r="183" ht="15.75" customHeight="1">
      <c r="A183" s="430"/>
      <c r="B183" s="480"/>
      <c r="C183" s="480"/>
      <c r="D183" s="430"/>
      <c r="E183" s="480"/>
      <c r="F183" s="480"/>
      <c r="G183" s="430"/>
      <c r="H183" s="480"/>
      <c r="I183" s="480"/>
      <c r="J183" s="430"/>
      <c r="K183" s="480"/>
      <c r="L183" s="430"/>
      <c r="M183" s="480"/>
      <c r="N183" s="430"/>
      <c r="O183" s="480"/>
      <c r="P183" s="430"/>
      <c r="Q183" s="480"/>
    </row>
    <row r="184" ht="15.75" customHeight="1">
      <c r="A184" s="430"/>
      <c r="B184" s="480"/>
      <c r="C184" s="480"/>
      <c r="D184" s="430"/>
      <c r="E184" s="480"/>
      <c r="F184" s="480"/>
      <c r="G184" s="430"/>
      <c r="H184" s="480"/>
      <c r="I184" s="480"/>
      <c r="J184" s="430"/>
      <c r="K184" s="480"/>
      <c r="L184" s="430"/>
      <c r="M184" s="480"/>
      <c r="N184" s="430"/>
      <c r="O184" s="480"/>
      <c r="P184" s="430"/>
      <c r="Q184" s="480"/>
    </row>
    <row r="185" ht="15.75" customHeight="1">
      <c r="A185" s="430"/>
      <c r="B185" s="480"/>
      <c r="C185" s="480"/>
      <c r="D185" s="430"/>
      <c r="E185" s="480"/>
      <c r="F185" s="480"/>
      <c r="G185" s="430"/>
      <c r="H185" s="480"/>
      <c r="I185" s="480"/>
      <c r="J185" s="430"/>
      <c r="K185" s="480"/>
      <c r="L185" s="430"/>
      <c r="M185" s="480"/>
      <c r="N185" s="430"/>
      <c r="O185" s="480"/>
      <c r="P185" s="430"/>
      <c r="Q185" s="480"/>
    </row>
    <row r="186" ht="15.75" customHeight="1">
      <c r="A186" s="430"/>
      <c r="B186" s="480"/>
      <c r="C186" s="480"/>
      <c r="D186" s="430"/>
      <c r="E186" s="480"/>
      <c r="F186" s="480"/>
      <c r="G186" s="430"/>
      <c r="H186" s="480"/>
      <c r="I186" s="480"/>
      <c r="J186" s="430"/>
      <c r="K186" s="480"/>
      <c r="L186" s="430"/>
      <c r="M186" s="480"/>
      <c r="N186" s="430"/>
      <c r="O186" s="480"/>
      <c r="P186" s="430"/>
      <c r="Q186" s="480"/>
    </row>
    <row r="187" ht="15.75" customHeight="1">
      <c r="A187" s="430"/>
      <c r="B187" s="480"/>
      <c r="C187" s="480"/>
      <c r="D187" s="430"/>
      <c r="E187" s="480"/>
      <c r="F187" s="480"/>
      <c r="G187" s="430"/>
      <c r="H187" s="480"/>
      <c r="I187" s="480"/>
      <c r="J187" s="430"/>
      <c r="K187" s="480"/>
      <c r="L187" s="430"/>
      <c r="M187" s="480"/>
      <c r="N187" s="430"/>
      <c r="O187" s="480"/>
      <c r="P187" s="430"/>
      <c r="Q187" s="480"/>
    </row>
    <row r="188" ht="15.75" customHeight="1">
      <c r="A188" s="430"/>
      <c r="B188" s="480"/>
      <c r="C188" s="480"/>
      <c r="D188" s="430"/>
      <c r="E188" s="480"/>
      <c r="F188" s="480"/>
      <c r="G188" s="430"/>
      <c r="H188" s="480"/>
      <c r="I188" s="480"/>
      <c r="J188" s="430"/>
      <c r="K188" s="480"/>
      <c r="L188" s="430"/>
      <c r="M188" s="480"/>
      <c r="N188" s="430"/>
      <c r="O188" s="480"/>
      <c r="P188" s="430"/>
      <c r="Q188" s="480"/>
    </row>
    <row r="189" ht="15.75" customHeight="1">
      <c r="A189" s="430"/>
      <c r="B189" s="480"/>
      <c r="C189" s="480"/>
      <c r="D189" s="430"/>
      <c r="E189" s="480"/>
      <c r="F189" s="480"/>
      <c r="G189" s="430"/>
      <c r="H189" s="480"/>
      <c r="I189" s="480"/>
      <c r="J189" s="430"/>
      <c r="K189" s="480"/>
      <c r="L189" s="430"/>
      <c r="M189" s="480"/>
      <c r="N189" s="430"/>
      <c r="O189" s="480"/>
      <c r="P189" s="430"/>
      <c r="Q189" s="480"/>
    </row>
    <row r="190" ht="15.75" customHeight="1">
      <c r="A190" s="430"/>
      <c r="B190" s="480"/>
      <c r="C190" s="480"/>
      <c r="D190" s="430"/>
      <c r="E190" s="480"/>
      <c r="F190" s="480"/>
      <c r="G190" s="430"/>
      <c r="H190" s="480"/>
      <c r="I190" s="480"/>
      <c r="J190" s="430"/>
      <c r="K190" s="480"/>
      <c r="L190" s="430"/>
      <c r="M190" s="480"/>
      <c r="N190" s="430"/>
      <c r="O190" s="480"/>
      <c r="P190" s="430"/>
      <c r="Q190" s="480"/>
    </row>
    <row r="191" ht="15.75" customHeight="1">
      <c r="A191" s="430"/>
      <c r="B191" s="480"/>
      <c r="C191" s="480"/>
      <c r="D191" s="430"/>
      <c r="E191" s="480"/>
      <c r="F191" s="480"/>
      <c r="G191" s="430"/>
      <c r="H191" s="480"/>
      <c r="I191" s="480"/>
      <c r="J191" s="430"/>
      <c r="K191" s="480"/>
      <c r="L191" s="430"/>
      <c r="M191" s="480"/>
      <c r="N191" s="430"/>
      <c r="O191" s="480"/>
      <c r="P191" s="430"/>
      <c r="Q191" s="480"/>
    </row>
    <row r="192" ht="15.75" customHeight="1">
      <c r="A192" s="430"/>
      <c r="B192" s="480"/>
      <c r="C192" s="480"/>
      <c r="D192" s="430"/>
      <c r="E192" s="480"/>
      <c r="F192" s="480"/>
      <c r="G192" s="430"/>
      <c r="H192" s="480"/>
      <c r="I192" s="480"/>
      <c r="J192" s="430"/>
      <c r="K192" s="480"/>
      <c r="L192" s="430"/>
      <c r="M192" s="480"/>
      <c r="N192" s="430"/>
      <c r="O192" s="480"/>
      <c r="P192" s="430"/>
      <c r="Q192" s="480"/>
    </row>
    <row r="193" ht="15.75" customHeight="1">
      <c r="A193" s="430"/>
      <c r="B193" s="480"/>
      <c r="C193" s="480"/>
      <c r="D193" s="430"/>
      <c r="E193" s="480"/>
      <c r="F193" s="480"/>
      <c r="G193" s="430"/>
      <c r="H193" s="480"/>
      <c r="I193" s="480"/>
      <c r="J193" s="430"/>
      <c r="K193" s="480"/>
      <c r="L193" s="430"/>
      <c r="M193" s="480"/>
      <c r="N193" s="430"/>
      <c r="O193" s="480"/>
      <c r="P193" s="430"/>
      <c r="Q193" s="480"/>
    </row>
    <row r="194" ht="15.75" customHeight="1">
      <c r="A194" s="430"/>
      <c r="B194" s="480"/>
      <c r="C194" s="480"/>
      <c r="D194" s="430"/>
      <c r="E194" s="480"/>
      <c r="F194" s="480"/>
      <c r="G194" s="430"/>
      <c r="H194" s="480"/>
      <c r="I194" s="480"/>
      <c r="J194" s="430"/>
      <c r="K194" s="480"/>
      <c r="L194" s="430"/>
      <c r="M194" s="480"/>
      <c r="N194" s="430"/>
      <c r="O194" s="480"/>
      <c r="P194" s="430"/>
      <c r="Q194" s="480"/>
    </row>
    <row r="195" ht="15.75" customHeight="1">
      <c r="A195" s="430"/>
      <c r="B195" s="480"/>
      <c r="C195" s="480"/>
      <c r="D195" s="430"/>
      <c r="E195" s="480"/>
      <c r="F195" s="480"/>
      <c r="G195" s="430"/>
      <c r="H195" s="480"/>
      <c r="I195" s="480"/>
      <c r="J195" s="430"/>
      <c r="K195" s="480"/>
      <c r="L195" s="430"/>
      <c r="M195" s="480"/>
      <c r="N195" s="430"/>
      <c r="O195" s="480"/>
      <c r="P195" s="430"/>
      <c r="Q195" s="480"/>
    </row>
    <row r="196" ht="15.75" customHeight="1">
      <c r="A196" s="430"/>
      <c r="B196" s="480"/>
      <c r="C196" s="480"/>
      <c r="D196" s="430"/>
      <c r="E196" s="480"/>
      <c r="F196" s="480"/>
      <c r="G196" s="430"/>
      <c r="H196" s="480"/>
      <c r="I196" s="480"/>
      <c r="J196" s="430"/>
      <c r="K196" s="480"/>
      <c r="L196" s="430"/>
      <c r="M196" s="480"/>
      <c r="N196" s="430"/>
      <c r="O196" s="480"/>
      <c r="P196" s="430"/>
      <c r="Q196" s="480"/>
    </row>
    <row r="197" ht="15.75" customHeight="1">
      <c r="A197" s="430"/>
      <c r="B197" s="480"/>
      <c r="C197" s="480"/>
      <c r="D197" s="430"/>
      <c r="E197" s="480"/>
      <c r="F197" s="480"/>
      <c r="G197" s="430"/>
      <c r="H197" s="480"/>
      <c r="I197" s="480"/>
      <c r="J197" s="430"/>
      <c r="K197" s="480"/>
      <c r="L197" s="430"/>
      <c r="M197" s="480"/>
      <c r="N197" s="430"/>
      <c r="O197" s="480"/>
      <c r="P197" s="430"/>
      <c r="Q197" s="480"/>
    </row>
    <row r="198" ht="15.75" customHeight="1">
      <c r="A198" s="430"/>
      <c r="B198" s="480"/>
      <c r="C198" s="480"/>
      <c r="D198" s="430"/>
      <c r="E198" s="480"/>
      <c r="F198" s="480"/>
      <c r="G198" s="430"/>
      <c r="H198" s="480"/>
      <c r="I198" s="480"/>
      <c r="J198" s="430"/>
      <c r="K198" s="480"/>
      <c r="L198" s="430"/>
      <c r="M198" s="480"/>
      <c r="N198" s="430"/>
      <c r="O198" s="480"/>
      <c r="P198" s="430"/>
      <c r="Q198" s="480"/>
    </row>
    <row r="199" ht="15.75" customHeight="1">
      <c r="A199" s="430"/>
      <c r="B199" s="480"/>
      <c r="C199" s="480"/>
      <c r="D199" s="430"/>
      <c r="E199" s="480"/>
      <c r="F199" s="480"/>
      <c r="G199" s="430"/>
      <c r="H199" s="480"/>
      <c r="I199" s="480"/>
      <c r="J199" s="430"/>
      <c r="K199" s="480"/>
      <c r="L199" s="430"/>
      <c r="M199" s="480"/>
      <c r="N199" s="430"/>
      <c r="O199" s="480"/>
      <c r="P199" s="430"/>
      <c r="Q199" s="480"/>
    </row>
    <row r="200" ht="15.75" customHeight="1">
      <c r="A200" s="430"/>
      <c r="B200" s="480"/>
      <c r="C200" s="480"/>
      <c r="D200" s="430"/>
      <c r="E200" s="480"/>
      <c r="F200" s="480"/>
      <c r="G200" s="430"/>
      <c r="H200" s="480"/>
      <c r="I200" s="480"/>
      <c r="J200" s="430"/>
      <c r="K200" s="480"/>
      <c r="L200" s="430"/>
      <c r="M200" s="480"/>
      <c r="N200" s="430"/>
      <c r="O200" s="480"/>
      <c r="P200" s="430"/>
      <c r="Q200" s="480"/>
    </row>
    <row r="201" ht="15.75" customHeight="1">
      <c r="A201" s="430"/>
      <c r="B201" s="480"/>
      <c r="C201" s="480"/>
      <c r="D201" s="430"/>
      <c r="E201" s="480"/>
      <c r="F201" s="480"/>
      <c r="G201" s="430"/>
      <c r="H201" s="480"/>
      <c r="I201" s="480"/>
      <c r="J201" s="430"/>
      <c r="K201" s="480"/>
      <c r="L201" s="430"/>
      <c r="M201" s="480"/>
      <c r="N201" s="430"/>
      <c r="O201" s="480"/>
      <c r="P201" s="430"/>
      <c r="Q201" s="480"/>
    </row>
    <row r="202" ht="15.75" customHeight="1">
      <c r="A202" s="430"/>
      <c r="B202" s="480"/>
      <c r="C202" s="480"/>
      <c r="D202" s="430"/>
      <c r="E202" s="480"/>
      <c r="F202" s="480"/>
      <c r="G202" s="430"/>
      <c r="H202" s="480"/>
      <c r="I202" s="480"/>
      <c r="J202" s="430"/>
      <c r="K202" s="480"/>
      <c r="L202" s="430"/>
      <c r="M202" s="480"/>
      <c r="N202" s="430"/>
      <c r="O202" s="480"/>
      <c r="P202" s="430"/>
      <c r="Q202" s="480"/>
    </row>
    <row r="203" ht="15.75" customHeight="1">
      <c r="A203" s="430"/>
      <c r="B203" s="480"/>
      <c r="C203" s="480"/>
      <c r="D203" s="430"/>
      <c r="E203" s="480"/>
      <c r="F203" s="480"/>
      <c r="G203" s="430"/>
      <c r="H203" s="480"/>
      <c r="I203" s="480"/>
      <c r="J203" s="430"/>
      <c r="K203" s="480"/>
      <c r="L203" s="430"/>
      <c r="M203" s="480"/>
      <c r="N203" s="430"/>
      <c r="O203" s="480"/>
      <c r="P203" s="430"/>
      <c r="Q203" s="480"/>
    </row>
    <row r="204" ht="15.75" customHeight="1">
      <c r="A204" s="430"/>
      <c r="B204" s="480"/>
      <c r="C204" s="480"/>
      <c r="D204" s="430"/>
      <c r="E204" s="480"/>
      <c r="F204" s="480"/>
      <c r="G204" s="430"/>
      <c r="H204" s="480"/>
      <c r="I204" s="480"/>
      <c r="J204" s="430"/>
      <c r="K204" s="480"/>
      <c r="L204" s="430"/>
      <c r="M204" s="480"/>
      <c r="N204" s="430"/>
      <c r="O204" s="480"/>
      <c r="P204" s="430"/>
      <c r="Q204" s="480"/>
    </row>
    <row r="205" ht="15.75" customHeight="1">
      <c r="A205" s="430"/>
      <c r="B205" s="480"/>
      <c r="C205" s="480"/>
      <c r="D205" s="430"/>
      <c r="E205" s="480"/>
      <c r="F205" s="480"/>
      <c r="G205" s="430"/>
      <c r="H205" s="480"/>
      <c r="I205" s="480"/>
      <c r="J205" s="430"/>
      <c r="K205" s="480"/>
      <c r="L205" s="430"/>
      <c r="M205" s="480"/>
      <c r="N205" s="430"/>
      <c r="O205" s="480"/>
      <c r="P205" s="430"/>
      <c r="Q205" s="480"/>
    </row>
    <row r="206" ht="15.75" customHeight="1">
      <c r="A206" s="430"/>
      <c r="B206" s="480"/>
      <c r="C206" s="480"/>
      <c r="D206" s="430"/>
      <c r="E206" s="480"/>
      <c r="F206" s="480"/>
      <c r="G206" s="430"/>
      <c r="H206" s="480"/>
      <c r="I206" s="480"/>
      <c r="J206" s="430"/>
      <c r="K206" s="480"/>
      <c r="L206" s="430"/>
      <c r="M206" s="480"/>
      <c r="N206" s="430"/>
      <c r="O206" s="480"/>
      <c r="P206" s="430"/>
      <c r="Q206" s="480"/>
    </row>
    <row r="207" ht="15.75" customHeight="1">
      <c r="A207" s="430"/>
      <c r="B207" s="480"/>
      <c r="C207" s="480"/>
      <c r="D207" s="430"/>
      <c r="E207" s="480"/>
      <c r="F207" s="480"/>
      <c r="G207" s="430"/>
      <c r="H207" s="480"/>
      <c r="I207" s="480"/>
      <c r="J207" s="430"/>
      <c r="K207" s="480"/>
      <c r="L207" s="430"/>
      <c r="M207" s="480"/>
      <c r="N207" s="430"/>
      <c r="O207" s="480"/>
      <c r="P207" s="430"/>
      <c r="Q207" s="480"/>
    </row>
    <row r="208" ht="15.75" customHeight="1">
      <c r="A208" s="430"/>
      <c r="B208" s="480"/>
      <c r="C208" s="480"/>
      <c r="D208" s="430"/>
      <c r="E208" s="480"/>
      <c r="F208" s="480"/>
      <c r="G208" s="430"/>
      <c r="H208" s="480"/>
      <c r="I208" s="480"/>
      <c r="J208" s="430"/>
      <c r="K208" s="480"/>
      <c r="L208" s="430"/>
      <c r="M208" s="480"/>
      <c r="N208" s="430"/>
      <c r="O208" s="480"/>
      <c r="P208" s="430"/>
      <c r="Q208" s="480"/>
    </row>
    <row r="209" ht="15.75" customHeight="1">
      <c r="A209" s="430"/>
      <c r="B209" s="480"/>
      <c r="C209" s="480"/>
      <c r="D209" s="430"/>
      <c r="E209" s="480"/>
      <c r="F209" s="480"/>
      <c r="G209" s="430"/>
      <c r="H209" s="480"/>
      <c r="I209" s="480"/>
      <c r="J209" s="430"/>
      <c r="K209" s="480"/>
      <c r="L209" s="430"/>
      <c r="M209" s="480"/>
      <c r="N209" s="430"/>
      <c r="O209" s="480"/>
      <c r="P209" s="430"/>
      <c r="Q209" s="480"/>
    </row>
    <row r="210" ht="15.75" customHeight="1">
      <c r="A210" s="430"/>
      <c r="B210" s="480"/>
      <c r="C210" s="480"/>
      <c r="D210" s="430"/>
      <c r="E210" s="480"/>
      <c r="F210" s="480"/>
      <c r="G210" s="430"/>
      <c r="H210" s="480"/>
      <c r="I210" s="480"/>
      <c r="J210" s="430"/>
      <c r="K210" s="480"/>
      <c r="L210" s="430"/>
      <c r="M210" s="480"/>
      <c r="N210" s="430"/>
      <c r="O210" s="480"/>
      <c r="P210" s="430"/>
      <c r="Q210" s="480"/>
    </row>
    <row r="211" ht="15.75" customHeight="1">
      <c r="A211" s="430"/>
      <c r="B211" s="480"/>
      <c r="C211" s="480"/>
      <c r="D211" s="430"/>
      <c r="E211" s="480"/>
      <c r="F211" s="480"/>
      <c r="G211" s="430"/>
      <c r="H211" s="480"/>
      <c r="I211" s="480"/>
      <c r="J211" s="430"/>
      <c r="K211" s="480"/>
      <c r="L211" s="430"/>
      <c r="M211" s="480"/>
      <c r="N211" s="430"/>
      <c r="O211" s="480"/>
      <c r="P211" s="430"/>
      <c r="Q211" s="480"/>
    </row>
    <row r="212" ht="15.75" customHeight="1">
      <c r="A212" s="430"/>
      <c r="B212" s="480"/>
      <c r="C212" s="480"/>
      <c r="D212" s="430"/>
      <c r="E212" s="480"/>
      <c r="F212" s="480"/>
      <c r="G212" s="430"/>
      <c r="H212" s="480"/>
      <c r="I212" s="480"/>
      <c r="J212" s="430"/>
      <c r="K212" s="480"/>
      <c r="L212" s="430"/>
      <c r="M212" s="480"/>
      <c r="N212" s="430"/>
      <c r="O212" s="480"/>
      <c r="P212" s="430"/>
      <c r="Q212" s="480"/>
    </row>
    <row r="213" ht="15.75" customHeight="1">
      <c r="A213" s="430"/>
      <c r="B213" s="480"/>
      <c r="C213" s="480"/>
      <c r="D213" s="430"/>
      <c r="E213" s="480"/>
      <c r="F213" s="480"/>
      <c r="G213" s="430"/>
      <c r="H213" s="480"/>
      <c r="I213" s="480"/>
      <c r="J213" s="430"/>
      <c r="K213" s="480"/>
      <c r="L213" s="430"/>
      <c r="M213" s="480"/>
      <c r="N213" s="430"/>
      <c r="O213" s="480"/>
      <c r="P213" s="430"/>
      <c r="Q213" s="480"/>
    </row>
    <row r="214" ht="15.75" customHeight="1">
      <c r="A214" s="430"/>
      <c r="B214" s="480"/>
      <c r="C214" s="480"/>
      <c r="D214" s="430"/>
      <c r="E214" s="480"/>
      <c r="F214" s="480"/>
      <c r="G214" s="430"/>
      <c r="H214" s="480"/>
      <c r="I214" s="480"/>
      <c r="J214" s="430"/>
      <c r="K214" s="480"/>
      <c r="L214" s="430"/>
      <c r="M214" s="480"/>
      <c r="N214" s="430"/>
      <c r="O214" s="480"/>
      <c r="P214" s="430"/>
      <c r="Q214" s="480"/>
    </row>
    <row r="215" ht="15.75" customHeight="1">
      <c r="A215" s="430"/>
      <c r="B215" s="480"/>
      <c r="C215" s="480"/>
      <c r="D215" s="430"/>
      <c r="E215" s="480"/>
      <c r="F215" s="480"/>
      <c r="G215" s="430"/>
      <c r="H215" s="480"/>
      <c r="I215" s="480"/>
      <c r="J215" s="430"/>
      <c r="K215" s="480"/>
      <c r="L215" s="430"/>
      <c r="M215" s="480"/>
      <c r="N215" s="430"/>
      <c r="O215" s="480"/>
      <c r="P215" s="430"/>
      <c r="Q215" s="480"/>
    </row>
    <row r="216" ht="15.75" customHeight="1">
      <c r="A216" s="430"/>
      <c r="B216" s="480"/>
      <c r="C216" s="480"/>
      <c r="D216" s="430"/>
      <c r="E216" s="480"/>
      <c r="F216" s="480"/>
      <c r="G216" s="430"/>
      <c r="H216" s="480"/>
      <c r="I216" s="480"/>
      <c r="J216" s="430"/>
      <c r="K216" s="480"/>
      <c r="L216" s="430"/>
      <c r="M216" s="480"/>
      <c r="N216" s="430"/>
      <c r="O216" s="480"/>
      <c r="P216" s="430"/>
      <c r="Q216" s="480"/>
    </row>
    <row r="217" ht="15.75" customHeight="1">
      <c r="A217" s="430"/>
      <c r="B217" s="480"/>
      <c r="C217" s="480"/>
      <c r="D217" s="430"/>
      <c r="E217" s="480"/>
      <c r="F217" s="480"/>
      <c r="G217" s="430"/>
      <c r="H217" s="480"/>
      <c r="I217" s="480"/>
      <c r="J217" s="430"/>
      <c r="K217" s="480"/>
      <c r="L217" s="430"/>
      <c r="M217" s="480"/>
      <c r="N217" s="430"/>
      <c r="O217" s="480"/>
      <c r="P217" s="430"/>
      <c r="Q217" s="480"/>
    </row>
    <row r="218" ht="15.75" customHeight="1">
      <c r="A218" s="430"/>
      <c r="B218" s="480"/>
      <c r="C218" s="480"/>
      <c r="D218" s="430"/>
      <c r="E218" s="480"/>
      <c r="F218" s="480"/>
      <c r="G218" s="430"/>
      <c r="H218" s="480"/>
      <c r="I218" s="480"/>
      <c r="J218" s="430"/>
      <c r="K218" s="480"/>
      <c r="L218" s="430"/>
      <c r="M218" s="480"/>
      <c r="N218" s="430"/>
      <c r="O218" s="480"/>
      <c r="P218" s="430"/>
      <c r="Q218" s="480"/>
    </row>
    <row r="219" ht="15.75" customHeight="1">
      <c r="A219" s="430"/>
      <c r="B219" s="480"/>
      <c r="C219" s="480"/>
      <c r="D219" s="430"/>
      <c r="E219" s="480"/>
      <c r="F219" s="480"/>
      <c r="G219" s="430"/>
      <c r="H219" s="480"/>
      <c r="I219" s="480"/>
      <c r="J219" s="430"/>
      <c r="K219" s="480"/>
      <c r="L219" s="430"/>
      <c r="M219" s="480"/>
      <c r="N219" s="430"/>
      <c r="O219" s="480"/>
      <c r="P219" s="430"/>
      <c r="Q219" s="480"/>
    </row>
    <row r="220" ht="15.75" customHeight="1">
      <c r="A220" s="430"/>
      <c r="B220" s="480"/>
      <c r="C220" s="480"/>
      <c r="D220" s="430"/>
      <c r="E220" s="480"/>
      <c r="F220" s="480"/>
      <c r="G220" s="430"/>
      <c r="H220" s="480"/>
      <c r="I220" s="480"/>
      <c r="J220" s="430"/>
      <c r="K220" s="480"/>
      <c r="L220" s="430"/>
      <c r="M220" s="480"/>
      <c r="N220" s="430"/>
      <c r="O220" s="480"/>
      <c r="P220" s="430"/>
      <c r="Q220" s="480"/>
    </row>
    <row r="221" ht="15.75" customHeight="1">
      <c r="A221" s="430"/>
      <c r="B221" s="480"/>
      <c r="C221" s="480"/>
      <c r="D221" s="430"/>
      <c r="E221" s="480"/>
      <c r="F221" s="480"/>
      <c r="G221" s="430"/>
      <c r="H221" s="480"/>
      <c r="I221" s="480"/>
      <c r="J221" s="430"/>
      <c r="K221" s="480"/>
      <c r="L221" s="430"/>
      <c r="M221" s="480"/>
      <c r="N221" s="430"/>
      <c r="O221" s="480"/>
      <c r="P221" s="430"/>
      <c r="Q221" s="480"/>
    </row>
    <row r="222" ht="15.75" customHeight="1">
      <c r="A222" s="430"/>
      <c r="B222" s="480"/>
      <c r="C222" s="480"/>
      <c r="D222" s="430"/>
      <c r="E222" s="480"/>
      <c r="F222" s="480"/>
      <c r="G222" s="430"/>
      <c r="H222" s="480"/>
      <c r="I222" s="480"/>
      <c r="J222" s="430"/>
      <c r="K222" s="480"/>
      <c r="L222" s="430"/>
      <c r="M222" s="480"/>
      <c r="N222" s="430"/>
      <c r="O222" s="480"/>
      <c r="P222" s="430"/>
      <c r="Q222" s="480"/>
    </row>
    <row r="223" ht="15.75" customHeight="1">
      <c r="A223" s="430"/>
      <c r="B223" s="480"/>
      <c r="C223" s="480"/>
      <c r="D223" s="430"/>
      <c r="E223" s="480"/>
      <c r="F223" s="480"/>
      <c r="G223" s="430"/>
      <c r="H223" s="480"/>
      <c r="I223" s="480"/>
      <c r="J223" s="430"/>
      <c r="K223" s="480"/>
      <c r="L223" s="430"/>
      <c r="M223" s="480"/>
      <c r="N223" s="430"/>
      <c r="O223" s="480"/>
      <c r="P223" s="430"/>
      <c r="Q223" s="480"/>
    </row>
    <row r="224" ht="15.75" customHeight="1">
      <c r="A224" s="430"/>
      <c r="B224" s="480"/>
      <c r="C224" s="480"/>
      <c r="D224" s="430"/>
      <c r="E224" s="480"/>
      <c r="F224" s="480"/>
      <c r="G224" s="430"/>
      <c r="H224" s="480"/>
      <c r="I224" s="480"/>
      <c r="J224" s="430"/>
      <c r="K224" s="480"/>
      <c r="L224" s="430"/>
      <c r="M224" s="480"/>
      <c r="N224" s="430"/>
      <c r="O224" s="480"/>
      <c r="P224" s="430"/>
      <c r="Q224" s="480"/>
    </row>
    <row r="225" ht="15.75" customHeight="1">
      <c r="A225" s="430"/>
      <c r="B225" s="480"/>
      <c r="C225" s="480"/>
      <c r="D225" s="430"/>
      <c r="E225" s="480"/>
      <c r="F225" s="480"/>
      <c r="G225" s="430"/>
      <c r="H225" s="480"/>
      <c r="I225" s="480"/>
      <c r="J225" s="430"/>
      <c r="K225" s="480"/>
      <c r="L225" s="430"/>
      <c r="M225" s="480"/>
      <c r="N225" s="430"/>
      <c r="O225" s="480"/>
      <c r="P225" s="430"/>
      <c r="Q225" s="480"/>
    </row>
    <row r="226" ht="15.75" customHeight="1">
      <c r="A226" s="430"/>
      <c r="B226" s="480"/>
      <c r="C226" s="480"/>
      <c r="D226" s="430"/>
      <c r="E226" s="480"/>
      <c r="F226" s="480"/>
      <c r="G226" s="430"/>
      <c r="H226" s="480"/>
      <c r="I226" s="480"/>
      <c r="J226" s="430"/>
      <c r="K226" s="480"/>
      <c r="L226" s="430"/>
      <c r="M226" s="480"/>
      <c r="N226" s="430"/>
      <c r="O226" s="480"/>
      <c r="P226" s="430"/>
      <c r="Q226" s="480"/>
    </row>
    <row r="227" ht="15.75" customHeight="1">
      <c r="A227" s="430"/>
      <c r="B227" s="480"/>
      <c r="C227" s="480"/>
      <c r="D227" s="430"/>
      <c r="E227" s="480"/>
      <c r="F227" s="480"/>
      <c r="G227" s="430"/>
      <c r="H227" s="480"/>
      <c r="I227" s="480"/>
      <c r="J227" s="430"/>
      <c r="K227" s="480"/>
      <c r="L227" s="430"/>
      <c r="M227" s="480"/>
      <c r="N227" s="430"/>
      <c r="O227" s="480"/>
      <c r="P227" s="430"/>
      <c r="Q227" s="480"/>
    </row>
    <row r="228" ht="15.75" customHeight="1">
      <c r="A228" s="430"/>
      <c r="B228" s="480"/>
      <c r="C228" s="480"/>
      <c r="D228" s="430"/>
      <c r="E228" s="480"/>
      <c r="F228" s="480"/>
      <c r="G228" s="430"/>
      <c r="H228" s="480"/>
      <c r="I228" s="480"/>
      <c r="J228" s="430"/>
      <c r="K228" s="480"/>
      <c r="L228" s="430"/>
      <c r="M228" s="480"/>
      <c r="N228" s="430"/>
      <c r="O228" s="480"/>
      <c r="P228" s="430"/>
      <c r="Q228" s="480"/>
    </row>
    <row r="229" ht="15.75" customHeight="1">
      <c r="A229" s="430"/>
      <c r="B229" s="480"/>
      <c r="C229" s="480"/>
      <c r="D229" s="430"/>
      <c r="E229" s="480"/>
      <c r="F229" s="480"/>
      <c r="G229" s="430"/>
      <c r="H229" s="480"/>
      <c r="I229" s="480"/>
      <c r="J229" s="430"/>
      <c r="K229" s="480"/>
      <c r="L229" s="430"/>
      <c r="M229" s="480"/>
      <c r="N229" s="430"/>
      <c r="O229" s="480"/>
      <c r="P229" s="430"/>
      <c r="Q229" s="480"/>
    </row>
    <row r="230" ht="15.75" customHeight="1">
      <c r="A230" s="430"/>
      <c r="B230" s="480"/>
      <c r="C230" s="480"/>
      <c r="D230" s="430"/>
      <c r="E230" s="480"/>
      <c r="F230" s="480"/>
      <c r="G230" s="430"/>
      <c r="H230" s="480"/>
      <c r="I230" s="480"/>
      <c r="J230" s="430"/>
      <c r="K230" s="480"/>
      <c r="L230" s="430"/>
      <c r="M230" s="480"/>
      <c r="N230" s="430"/>
      <c r="O230" s="480"/>
      <c r="P230" s="430"/>
      <c r="Q230" s="480"/>
    </row>
    <row r="231" ht="15.75" customHeight="1">
      <c r="A231" s="430"/>
      <c r="B231" s="480"/>
      <c r="C231" s="480"/>
      <c r="D231" s="430"/>
      <c r="E231" s="480"/>
      <c r="F231" s="480"/>
      <c r="G231" s="430"/>
      <c r="H231" s="480"/>
      <c r="I231" s="480"/>
      <c r="J231" s="430"/>
      <c r="K231" s="480"/>
      <c r="L231" s="430"/>
      <c r="M231" s="480"/>
      <c r="N231" s="430"/>
      <c r="O231" s="480"/>
      <c r="P231" s="430"/>
      <c r="Q231" s="480"/>
    </row>
    <row r="232" ht="15.75" customHeight="1">
      <c r="A232" s="430"/>
      <c r="B232" s="480"/>
      <c r="C232" s="480"/>
      <c r="D232" s="430"/>
      <c r="E232" s="480"/>
      <c r="F232" s="480"/>
      <c r="G232" s="430"/>
      <c r="H232" s="480"/>
      <c r="I232" s="480"/>
      <c r="J232" s="430"/>
      <c r="K232" s="480"/>
      <c r="L232" s="430"/>
      <c r="M232" s="480"/>
      <c r="N232" s="430"/>
      <c r="O232" s="480"/>
      <c r="P232" s="430"/>
      <c r="Q232" s="480"/>
    </row>
    <row r="233" ht="15.75" customHeight="1">
      <c r="A233" s="430"/>
      <c r="B233" s="480"/>
      <c r="C233" s="480"/>
      <c r="D233" s="430"/>
      <c r="E233" s="480"/>
      <c r="F233" s="480"/>
      <c r="G233" s="430"/>
      <c r="H233" s="480"/>
      <c r="I233" s="480"/>
      <c r="J233" s="430"/>
      <c r="K233" s="480"/>
      <c r="L233" s="430"/>
      <c r="M233" s="480"/>
      <c r="N233" s="430"/>
      <c r="O233" s="480"/>
      <c r="P233" s="430"/>
      <c r="Q233" s="480"/>
    </row>
    <row r="234" ht="15.75" customHeight="1">
      <c r="A234" s="430"/>
      <c r="B234" s="480"/>
      <c r="C234" s="480"/>
      <c r="D234" s="430"/>
      <c r="E234" s="480"/>
      <c r="F234" s="480"/>
      <c r="G234" s="430"/>
      <c r="H234" s="480"/>
      <c r="I234" s="480"/>
      <c r="J234" s="430"/>
      <c r="K234" s="480"/>
      <c r="L234" s="430"/>
      <c r="M234" s="480"/>
      <c r="N234" s="430"/>
      <c r="O234" s="480"/>
      <c r="P234" s="430"/>
      <c r="Q234" s="480"/>
    </row>
    <row r="235" ht="15.75" customHeight="1">
      <c r="A235" s="430"/>
      <c r="B235" s="480"/>
      <c r="C235" s="480"/>
      <c r="D235" s="430"/>
      <c r="E235" s="480"/>
      <c r="F235" s="480"/>
      <c r="G235" s="430"/>
      <c r="H235" s="480"/>
      <c r="I235" s="480"/>
      <c r="J235" s="430"/>
      <c r="K235" s="480"/>
      <c r="L235" s="430"/>
      <c r="M235" s="480"/>
      <c r="N235" s="430"/>
      <c r="O235" s="480"/>
      <c r="P235" s="430"/>
      <c r="Q235" s="480"/>
    </row>
    <row r="236" ht="15.75" customHeight="1">
      <c r="A236" s="430"/>
      <c r="B236" s="480"/>
      <c r="C236" s="480"/>
      <c r="D236" s="430"/>
      <c r="E236" s="480"/>
      <c r="F236" s="480"/>
      <c r="G236" s="430"/>
      <c r="H236" s="480"/>
      <c r="I236" s="480"/>
      <c r="J236" s="430"/>
      <c r="K236" s="480"/>
      <c r="L236" s="430"/>
      <c r="M236" s="480"/>
      <c r="N236" s="430"/>
      <c r="O236" s="480"/>
      <c r="P236" s="430"/>
      <c r="Q236" s="480"/>
    </row>
    <row r="237" ht="15.75" customHeight="1">
      <c r="A237" s="430"/>
      <c r="B237" s="480"/>
      <c r="C237" s="480"/>
      <c r="D237" s="430"/>
      <c r="E237" s="480"/>
      <c r="F237" s="480"/>
      <c r="G237" s="430"/>
      <c r="H237" s="480"/>
      <c r="I237" s="480"/>
      <c r="J237" s="430"/>
      <c r="K237" s="480"/>
      <c r="L237" s="430"/>
      <c r="M237" s="480"/>
      <c r="N237" s="430"/>
      <c r="O237" s="480"/>
      <c r="P237" s="430"/>
      <c r="Q237" s="480"/>
    </row>
    <row r="238" ht="15.75" customHeight="1">
      <c r="A238" s="430"/>
      <c r="B238" s="480"/>
      <c r="C238" s="480"/>
      <c r="D238" s="430"/>
      <c r="E238" s="480"/>
      <c r="F238" s="480"/>
      <c r="G238" s="430"/>
      <c r="H238" s="480"/>
      <c r="I238" s="480"/>
      <c r="J238" s="430"/>
      <c r="K238" s="480"/>
      <c r="L238" s="430"/>
      <c r="M238" s="480"/>
      <c r="N238" s="430"/>
      <c r="O238" s="480"/>
      <c r="P238" s="430"/>
      <c r="Q238" s="480"/>
    </row>
    <row r="239" ht="15.75" customHeight="1">
      <c r="A239" s="430"/>
      <c r="B239" s="480"/>
      <c r="C239" s="480"/>
      <c r="D239" s="430"/>
      <c r="E239" s="480"/>
      <c r="F239" s="480"/>
      <c r="G239" s="430"/>
      <c r="H239" s="480"/>
      <c r="I239" s="480"/>
      <c r="J239" s="430"/>
      <c r="K239" s="480"/>
      <c r="L239" s="430"/>
      <c r="M239" s="480"/>
      <c r="N239" s="430"/>
      <c r="O239" s="480"/>
      <c r="P239" s="430"/>
      <c r="Q239" s="480"/>
    </row>
    <row r="240" ht="15.75" customHeight="1">
      <c r="A240" s="430"/>
      <c r="B240" s="480"/>
      <c r="C240" s="480"/>
      <c r="D240" s="430"/>
      <c r="E240" s="480"/>
      <c r="F240" s="480"/>
      <c r="G240" s="430"/>
      <c r="H240" s="480"/>
      <c r="I240" s="480"/>
      <c r="J240" s="430"/>
      <c r="K240" s="480"/>
      <c r="L240" s="430"/>
      <c r="M240" s="480"/>
      <c r="N240" s="430"/>
      <c r="O240" s="480"/>
      <c r="P240" s="430"/>
      <c r="Q240" s="480"/>
    </row>
    <row r="241" ht="15.75" customHeight="1">
      <c r="A241" s="430"/>
      <c r="B241" s="480"/>
      <c r="C241" s="480"/>
      <c r="D241" s="430"/>
      <c r="E241" s="480"/>
      <c r="F241" s="480"/>
      <c r="G241" s="430"/>
      <c r="H241" s="480"/>
      <c r="I241" s="480"/>
      <c r="J241" s="430"/>
      <c r="K241" s="480"/>
      <c r="L241" s="430"/>
      <c r="M241" s="480"/>
      <c r="N241" s="430"/>
      <c r="O241" s="480"/>
      <c r="P241" s="430"/>
      <c r="Q241" s="480"/>
    </row>
    <row r="242" ht="15.75" customHeight="1">
      <c r="A242" s="430"/>
      <c r="B242" s="480"/>
      <c r="C242" s="480"/>
      <c r="D242" s="430"/>
      <c r="E242" s="480"/>
      <c r="F242" s="480"/>
      <c r="G242" s="430"/>
      <c r="H242" s="480"/>
      <c r="I242" s="480"/>
      <c r="J242" s="430"/>
      <c r="K242" s="480"/>
      <c r="L242" s="430"/>
      <c r="M242" s="480"/>
      <c r="N242" s="430"/>
      <c r="O242" s="480"/>
      <c r="P242" s="430"/>
      <c r="Q242" s="480"/>
    </row>
    <row r="243" ht="15.75" customHeight="1">
      <c r="A243" s="430"/>
      <c r="B243" s="480"/>
      <c r="C243" s="480"/>
      <c r="D243" s="430"/>
      <c r="E243" s="480"/>
      <c r="F243" s="480"/>
      <c r="G243" s="430"/>
      <c r="H243" s="480"/>
      <c r="I243" s="480"/>
      <c r="J243" s="430"/>
      <c r="K243" s="480"/>
      <c r="L243" s="430"/>
      <c r="M243" s="480"/>
      <c r="N243" s="430"/>
      <c r="O243" s="480"/>
      <c r="P243" s="430"/>
      <c r="Q243" s="480"/>
    </row>
    <row r="244" ht="15.75" customHeight="1">
      <c r="A244" s="430"/>
      <c r="B244" s="480"/>
      <c r="C244" s="480"/>
      <c r="D244" s="430"/>
      <c r="E244" s="480"/>
      <c r="F244" s="480"/>
      <c r="G244" s="430"/>
      <c r="H244" s="480"/>
      <c r="I244" s="480"/>
      <c r="J244" s="430"/>
      <c r="K244" s="480"/>
      <c r="L244" s="430"/>
      <c r="M244" s="480"/>
      <c r="N244" s="430"/>
      <c r="O244" s="480"/>
      <c r="P244" s="430"/>
      <c r="Q244" s="480"/>
    </row>
    <row r="245" ht="15.75" customHeight="1">
      <c r="A245" s="430"/>
      <c r="B245" s="480"/>
      <c r="C245" s="480"/>
      <c r="D245" s="430"/>
      <c r="E245" s="480"/>
      <c r="F245" s="480"/>
      <c r="G245" s="430"/>
      <c r="H245" s="480"/>
      <c r="I245" s="480"/>
      <c r="J245" s="430"/>
      <c r="K245" s="480"/>
      <c r="L245" s="430"/>
      <c r="M245" s="480"/>
      <c r="N245" s="430"/>
      <c r="O245" s="480"/>
      <c r="P245" s="430"/>
      <c r="Q245" s="480"/>
    </row>
    <row r="246" ht="15.75" customHeight="1">
      <c r="A246" s="430"/>
      <c r="B246" s="480"/>
      <c r="C246" s="480"/>
      <c r="D246" s="430"/>
      <c r="E246" s="480"/>
      <c r="F246" s="480"/>
      <c r="G246" s="430"/>
      <c r="H246" s="480"/>
      <c r="I246" s="480"/>
      <c r="J246" s="430"/>
      <c r="K246" s="480"/>
      <c r="L246" s="430"/>
      <c r="M246" s="480"/>
      <c r="N246" s="430"/>
      <c r="O246" s="480"/>
      <c r="P246" s="430"/>
      <c r="Q246" s="480"/>
    </row>
    <row r="247" ht="15.75" customHeight="1">
      <c r="A247" s="430"/>
      <c r="B247" s="480"/>
      <c r="C247" s="480"/>
      <c r="D247" s="430"/>
      <c r="E247" s="480"/>
      <c r="F247" s="480"/>
      <c r="G247" s="430"/>
      <c r="H247" s="480"/>
      <c r="I247" s="480"/>
      <c r="J247" s="430"/>
      <c r="K247" s="480"/>
      <c r="L247" s="430"/>
      <c r="M247" s="480"/>
      <c r="N247" s="430"/>
      <c r="O247" s="480"/>
      <c r="P247" s="430"/>
      <c r="Q247" s="480"/>
    </row>
    <row r="248" ht="15.75" customHeight="1">
      <c r="A248" s="430"/>
      <c r="B248" s="480"/>
      <c r="C248" s="480"/>
      <c r="D248" s="430"/>
      <c r="E248" s="480"/>
      <c r="F248" s="480"/>
      <c r="G248" s="430"/>
      <c r="H248" s="480"/>
      <c r="I248" s="480"/>
      <c r="J248" s="430"/>
      <c r="K248" s="480"/>
      <c r="L248" s="430"/>
      <c r="M248" s="480"/>
      <c r="N248" s="430"/>
      <c r="O248" s="480"/>
      <c r="P248" s="430"/>
      <c r="Q248" s="480"/>
    </row>
    <row r="249" ht="15.75" customHeight="1">
      <c r="A249" s="430"/>
      <c r="B249" s="480"/>
      <c r="C249" s="480"/>
      <c r="D249" s="430"/>
      <c r="E249" s="480"/>
      <c r="F249" s="480"/>
      <c r="G249" s="430"/>
      <c r="H249" s="480"/>
      <c r="I249" s="480"/>
      <c r="J249" s="430"/>
      <c r="K249" s="480"/>
      <c r="L249" s="430"/>
      <c r="M249" s="480"/>
      <c r="N249" s="430"/>
      <c r="O249" s="480"/>
      <c r="P249" s="430"/>
      <c r="Q249" s="480"/>
    </row>
    <row r="250" ht="15.75" customHeight="1">
      <c r="A250" s="430"/>
      <c r="B250" s="480"/>
      <c r="C250" s="480"/>
      <c r="D250" s="430"/>
      <c r="E250" s="480"/>
      <c r="F250" s="480"/>
      <c r="G250" s="430"/>
      <c r="H250" s="480"/>
      <c r="I250" s="480"/>
      <c r="J250" s="430"/>
      <c r="K250" s="480"/>
      <c r="L250" s="430"/>
      <c r="M250" s="480"/>
      <c r="N250" s="430"/>
      <c r="O250" s="480"/>
      <c r="P250" s="430"/>
      <c r="Q250" s="480"/>
    </row>
    <row r="251" ht="15.75" customHeight="1">
      <c r="A251" s="430"/>
      <c r="B251" s="480"/>
      <c r="C251" s="480"/>
      <c r="D251" s="430"/>
      <c r="E251" s="480"/>
      <c r="F251" s="480"/>
      <c r="G251" s="430"/>
      <c r="H251" s="480"/>
      <c r="I251" s="480"/>
      <c r="J251" s="430"/>
      <c r="K251" s="480"/>
      <c r="L251" s="430"/>
      <c r="M251" s="480"/>
      <c r="N251" s="430"/>
      <c r="O251" s="480"/>
      <c r="P251" s="430"/>
      <c r="Q251" s="480"/>
    </row>
    <row r="252" ht="15.75" customHeight="1">
      <c r="A252" s="430"/>
      <c r="B252" s="480"/>
      <c r="C252" s="480"/>
      <c r="D252" s="430"/>
      <c r="E252" s="480"/>
      <c r="F252" s="480"/>
      <c r="G252" s="430"/>
      <c r="H252" s="480"/>
      <c r="I252" s="480"/>
      <c r="J252" s="430"/>
      <c r="K252" s="480"/>
      <c r="L252" s="430"/>
      <c r="M252" s="480"/>
      <c r="N252" s="430"/>
      <c r="O252" s="480"/>
      <c r="P252" s="430"/>
      <c r="Q252" s="480"/>
    </row>
    <row r="253" ht="15.75" customHeight="1">
      <c r="A253" s="430"/>
      <c r="B253" s="480"/>
      <c r="C253" s="480"/>
      <c r="D253" s="430"/>
      <c r="E253" s="480"/>
      <c r="F253" s="480"/>
      <c r="G253" s="430"/>
      <c r="H253" s="480"/>
      <c r="I253" s="480"/>
      <c r="J253" s="430"/>
      <c r="K253" s="480"/>
      <c r="L253" s="430"/>
      <c r="M253" s="480"/>
      <c r="N253" s="430"/>
      <c r="O253" s="480"/>
      <c r="P253" s="430"/>
      <c r="Q253" s="480"/>
    </row>
    <row r="254" ht="15.75" customHeight="1">
      <c r="A254" s="430"/>
      <c r="B254" s="480"/>
      <c r="C254" s="480"/>
      <c r="D254" s="430"/>
      <c r="E254" s="480"/>
      <c r="F254" s="480"/>
      <c r="G254" s="430"/>
      <c r="H254" s="480"/>
      <c r="I254" s="480"/>
      <c r="J254" s="430"/>
      <c r="K254" s="480"/>
      <c r="L254" s="430"/>
      <c r="M254" s="480"/>
      <c r="N254" s="430"/>
      <c r="O254" s="480"/>
      <c r="P254" s="430"/>
      <c r="Q254" s="480"/>
    </row>
    <row r="255" ht="15.75" customHeight="1">
      <c r="A255" s="430"/>
      <c r="B255" s="480"/>
      <c r="C255" s="480"/>
      <c r="D255" s="430"/>
      <c r="E255" s="480"/>
      <c r="F255" s="480"/>
      <c r="G255" s="430"/>
      <c r="H255" s="480"/>
      <c r="I255" s="480"/>
      <c r="J255" s="430"/>
      <c r="K255" s="480"/>
      <c r="L255" s="430"/>
      <c r="M255" s="480"/>
      <c r="N255" s="430"/>
      <c r="O255" s="480"/>
      <c r="P255" s="430"/>
      <c r="Q255" s="480"/>
    </row>
    <row r="256" ht="15.75" customHeight="1">
      <c r="A256" s="430"/>
      <c r="B256" s="480"/>
      <c r="C256" s="480"/>
      <c r="D256" s="430"/>
      <c r="E256" s="480"/>
      <c r="F256" s="480"/>
      <c r="G256" s="430"/>
      <c r="H256" s="480"/>
      <c r="I256" s="480"/>
      <c r="J256" s="430"/>
      <c r="K256" s="480"/>
      <c r="L256" s="430"/>
      <c r="M256" s="480"/>
      <c r="N256" s="430"/>
      <c r="O256" s="480"/>
      <c r="P256" s="430"/>
      <c r="Q256" s="480"/>
    </row>
    <row r="257" ht="15.75" customHeight="1">
      <c r="A257" s="430"/>
      <c r="B257" s="480"/>
      <c r="C257" s="480"/>
      <c r="D257" s="430"/>
      <c r="E257" s="480"/>
      <c r="F257" s="480"/>
      <c r="G257" s="430"/>
      <c r="H257" s="480"/>
      <c r="I257" s="480"/>
      <c r="J257" s="430"/>
      <c r="K257" s="480"/>
      <c r="L257" s="430"/>
      <c r="M257" s="480"/>
      <c r="N257" s="430"/>
      <c r="O257" s="480"/>
      <c r="P257" s="430"/>
      <c r="Q257" s="480"/>
    </row>
    <row r="258" ht="15.75" customHeight="1">
      <c r="A258" s="430"/>
      <c r="B258" s="480"/>
      <c r="C258" s="480"/>
      <c r="D258" s="430"/>
      <c r="E258" s="480"/>
      <c r="F258" s="480"/>
      <c r="G258" s="430"/>
      <c r="H258" s="480"/>
      <c r="I258" s="480"/>
      <c r="J258" s="430"/>
      <c r="K258" s="480"/>
      <c r="L258" s="430"/>
      <c r="M258" s="480"/>
      <c r="N258" s="430"/>
      <c r="O258" s="480"/>
      <c r="P258" s="430"/>
      <c r="Q258" s="480"/>
    </row>
    <row r="259" ht="15.75" customHeight="1">
      <c r="A259" s="430"/>
      <c r="B259" s="480"/>
      <c r="C259" s="480"/>
      <c r="D259" s="430"/>
      <c r="E259" s="480"/>
      <c r="F259" s="480"/>
      <c r="G259" s="430"/>
      <c r="H259" s="480"/>
      <c r="I259" s="480"/>
      <c r="J259" s="430"/>
      <c r="K259" s="480"/>
      <c r="L259" s="430"/>
      <c r="M259" s="480"/>
      <c r="N259" s="430"/>
      <c r="O259" s="480"/>
      <c r="P259" s="430"/>
      <c r="Q259" s="480"/>
    </row>
    <row r="260" ht="15.75" customHeight="1">
      <c r="A260" s="430"/>
      <c r="B260" s="480"/>
      <c r="C260" s="480"/>
      <c r="D260" s="430"/>
      <c r="E260" s="480"/>
      <c r="F260" s="480"/>
      <c r="G260" s="430"/>
      <c r="H260" s="480"/>
      <c r="I260" s="480"/>
      <c r="J260" s="430"/>
      <c r="K260" s="480"/>
      <c r="L260" s="430"/>
      <c r="M260" s="480"/>
      <c r="N260" s="430"/>
      <c r="O260" s="480"/>
      <c r="P260" s="430"/>
      <c r="Q260" s="480"/>
    </row>
    <row r="261" ht="15.75" customHeight="1">
      <c r="A261" s="430"/>
      <c r="B261" s="480"/>
      <c r="C261" s="480"/>
      <c r="D261" s="430"/>
      <c r="E261" s="480"/>
      <c r="F261" s="480"/>
      <c r="G261" s="430"/>
      <c r="H261" s="480"/>
      <c r="I261" s="480"/>
      <c r="J261" s="430"/>
      <c r="K261" s="480"/>
      <c r="L261" s="430"/>
      <c r="M261" s="480"/>
      <c r="N261" s="430"/>
      <c r="O261" s="480"/>
      <c r="P261" s="430"/>
      <c r="Q261" s="480"/>
    </row>
    <row r="262" ht="15.75" customHeight="1">
      <c r="A262" s="430"/>
      <c r="B262" s="480"/>
      <c r="C262" s="480"/>
      <c r="D262" s="430"/>
      <c r="E262" s="480"/>
      <c r="F262" s="480"/>
      <c r="G262" s="430"/>
      <c r="H262" s="480"/>
      <c r="I262" s="480"/>
      <c r="J262" s="430"/>
      <c r="K262" s="480"/>
      <c r="L262" s="430"/>
      <c r="M262" s="480"/>
      <c r="N262" s="430"/>
      <c r="O262" s="480"/>
      <c r="P262" s="430"/>
      <c r="Q262" s="480"/>
    </row>
    <row r="263" ht="15.75" customHeight="1">
      <c r="A263" s="430"/>
      <c r="B263" s="480"/>
      <c r="C263" s="480"/>
      <c r="D263" s="430"/>
      <c r="E263" s="480"/>
      <c r="F263" s="480"/>
      <c r="G263" s="430"/>
      <c r="H263" s="480"/>
      <c r="I263" s="480"/>
      <c r="J263" s="430"/>
      <c r="K263" s="480"/>
      <c r="L263" s="430"/>
      <c r="M263" s="480"/>
      <c r="N263" s="430"/>
      <c r="O263" s="480"/>
      <c r="P263" s="430"/>
      <c r="Q263" s="480"/>
    </row>
    <row r="264" ht="15.75" customHeight="1">
      <c r="A264" s="430"/>
      <c r="B264" s="480"/>
      <c r="C264" s="480"/>
      <c r="D264" s="430"/>
      <c r="E264" s="480"/>
      <c r="F264" s="480"/>
      <c r="G264" s="430"/>
      <c r="H264" s="480"/>
      <c r="I264" s="480"/>
      <c r="J264" s="430"/>
      <c r="K264" s="480"/>
      <c r="L264" s="430"/>
      <c r="M264" s="480"/>
      <c r="N264" s="430"/>
      <c r="O264" s="480"/>
      <c r="P264" s="430"/>
      <c r="Q264" s="480"/>
    </row>
    <row r="265" ht="15.75" customHeight="1">
      <c r="A265" s="430"/>
      <c r="B265" s="480"/>
      <c r="C265" s="480"/>
      <c r="D265" s="430"/>
      <c r="E265" s="480"/>
      <c r="F265" s="480"/>
      <c r="G265" s="430"/>
      <c r="H265" s="480"/>
      <c r="I265" s="480"/>
      <c r="J265" s="430"/>
      <c r="K265" s="480"/>
      <c r="L265" s="430"/>
      <c r="M265" s="480"/>
      <c r="N265" s="430"/>
      <c r="O265" s="480"/>
      <c r="P265" s="430"/>
      <c r="Q265" s="480"/>
    </row>
    <row r="266" ht="15.75" customHeight="1">
      <c r="A266" s="430"/>
      <c r="B266" s="480"/>
      <c r="C266" s="480"/>
      <c r="D266" s="430"/>
      <c r="E266" s="480"/>
      <c r="F266" s="480"/>
      <c r="G266" s="430"/>
      <c r="H266" s="480"/>
      <c r="I266" s="480"/>
      <c r="J266" s="430"/>
      <c r="K266" s="480"/>
      <c r="L266" s="430"/>
      <c r="M266" s="480"/>
      <c r="N266" s="430"/>
      <c r="O266" s="480"/>
      <c r="P266" s="430"/>
      <c r="Q266" s="480"/>
    </row>
    <row r="267" ht="15.75" customHeight="1">
      <c r="A267" s="430"/>
      <c r="B267" s="480"/>
      <c r="C267" s="480"/>
      <c r="D267" s="430"/>
      <c r="E267" s="480"/>
      <c r="F267" s="480"/>
      <c r="G267" s="430"/>
      <c r="H267" s="480"/>
      <c r="I267" s="480"/>
      <c r="J267" s="430"/>
      <c r="K267" s="480"/>
      <c r="L267" s="430"/>
      <c r="M267" s="480"/>
      <c r="N267" s="430"/>
      <c r="O267" s="480"/>
      <c r="P267" s="430"/>
      <c r="Q267" s="480"/>
    </row>
    <row r="268" ht="15.75" customHeight="1">
      <c r="A268" s="430"/>
      <c r="B268" s="480"/>
      <c r="C268" s="480"/>
      <c r="D268" s="430"/>
      <c r="E268" s="480"/>
      <c r="F268" s="480"/>
      <c r="G268" s="430"/>
      <c r="H268" s="480"/>
      <c r="I268" s="480"/>
      <c r="J268" s="430"/>
      <c r="K268" s="480"/>
      <c r="L268" s="430"/>
      <c r="M268" s="480"/>
      <c r="N268" s="430"/>
      <c r="O268" s="480"/>
      <c r="P268" s="430"/>
      <c r="Q268" s="480"/>
    </row>
    <row r="269" ht="15.75" customHeight="1">
      <c r="A269" s="430"/>
      <c r="B269" s="480"/>
      <c r="C269" s="480"/>
      <c r="D269" s="430"/>
      <c r="E269" s="480"/>
      <c r="F269" s="480"/>
      <c r="G269" s="430"/>
      <c r="H269" s="480"/>
      <c r="I269" s="480"/>
      <c r="J269" s="430"/>
      <c r="K269" s="480"/>
      <c r="L269" s="430"/>
      <c r="M269" s="480"/>
      <c r="N269" s="430"/>
      <c r="O269" s="480"/>
      <c r="P269" s="430"/>
      <c r="Q269" s="480"/>
    </row>
    <row r="270" ht="15.75" customHeight="1">
      <c r="A270" s="430"/>
      <c r="B270" s="480"/>
      <c r="C270" s="480"/>
      <c r="D270" s="430"/>
      <c r="E270" s="480"/>
      <c r="F270" s="480"/>
      <c r="G270" s="430"/>
      <c r="H270" s="480"/>
      <c r="I270" s="480"/>
      <c r="J270" s="430"/>
      <c r="K270" s="480"/>
      <c r="L270" s="430"/>
      <c r="M270" s="480"/>
      <c r="N270" s="430"/>
      <c r="O270" s="480"/>
      <c r="P270" s="430"/>
      <c r="Q270" s="480"/>
    </row>
    <row r="271" ht="15.75" customHeight="1">
      <c r="A271" s="430"/>
      <c r="B271" s="480"/>
      <c r="C271" s="480"/>
      <c r="D271" s="430"/>
      <c r="E271" s="480"/>
      <c r="F271" s="480"/>
      <c r="G271" s="430"/>
      <c r="H271" s="480"/>
      <c r="I271" s="480"/>
      <c r="J271" s="430"/>
      <c r="K271" s="480"/>
      <c r="L271" s="430"/>
      <c r="M271" s="480"/>
      <c r="N271" s="430"/>
      <c r="O271" s="480"/>
      <c r="P271" s="430"/>
      <c r="Q271" s="480"/>
    </row>
    <row r="272" ht="15.75" customHeight="1">
      <c r="A272" s="430"/>
      <c r="B272" s="480"/>
      <c r="C272" s="480"/>
      <c r="D272" s="430"/>
      <c r="E272" s="480"/>
      <c r="F272" s="480"/>
      <c r="G272" s="430"/>
      <c r="H272" s="480"/>
      <c r="I272" s="480"/>
      <c r="J272" s="430"/>
      <c r="K272" s="480"/>
      <c r="L272" s="430"/>
      <c r="M272" s="480"/>
      <c r="N272" s="430"/>
      <c r="O272" s="480"/>
      <c r="P272" s="430"/>
      <c r="Q272" s="480"/>
    </row>
    <row r="273" ht="15.75" customHeight="1">
      <c r="A273" s="430"/>
      <c r="B273" s="480"/>
      <c r="C273" s="480"/>
      <c r="D273" s="430"/>
      <c r="E273" s="480"/>
      <c r="F273" s="480"/>
      <c r="G273" s="430"/>
      <c r="H273" s="480"/>
      <c r="I273" s="480"/>
      <c r="J273" s="430"/>
      <c r="K273" s="480"/>
      <c r="L273" s="430"/>
      <c r="M273" s="480"/>
      <c r="N273" s="430"/>
      <c r="O273" s="480"/>
      <c r="P273" s="430"/>
      <c r="Q273" s="480"/>
    </row>
    <row r="274" ht="15.75" customHeight="1">
      <c r="A274" s="430"/>
      <c r="B274" s="480"/>
      <c r="C274" s="480"/>
      <c r="D274" s="430"/>
      <c r="E274" s="480"/>
      <c r="F274" s="480"/>
      <c r="G274" s="430"/>
      <c r="H274" s="480"/>
      <c r="I274" s="480"/>
      <c r="J274" s="430"/>
      <c r="K274" s="480"/>
      <c r="L274" s="430"/>
      <c r="M274" s="480"/>
      <c r="N274" s="430"/>
      <c r="O274" s="480"/>
      <c r="P274" s="430"/>
      <c r="Q274" s="480"/>
    </row>
    <row r="275" ht="15.75" customHeight="1">
      <c r="A275" s="430"/>
      <c r="B275" s="480"/>
      <c r="C275" s="480"/>
      <c r="D275" s="430"/>
      <c r="E275" s="480"/>
      <c r="F275" s="480"/>
      <c r="G275" s="430"/>
      <c r="H275" s="480"/>
      <c r="I275" s="480"/>
      <c r="J275" s="430"/>
      <c r="K275" s="480"/>
      <c r="L275" s="430"/>
      <c r="M275" s="480"/>
      <c r="N275" s="430"/>
      <c r="O275" s="480"/>
      <c r="P275" s="430"/>
      <c r="Q275" s="480"/>
    </row>
    <row r="276" ht="15.75" customHeight="1">
      <c r="A276" s="430"/>
      <c r="B276" s="480"/>
      <c r="C276" s="480"/>
      <c r="D276" s="430"/>
      <c r="E276" s="480"/>
      <c r="F276" s="480"/>
      <c r="G276" s="430"/>
      <c r="H276" s="480"/>
      <c r="I276" s="480"/>
      <c r="J276" s="430"/>
      <c r="K276" s="480"/>
      <c r="L276" s="430"/>
      <c r="M276" s="480"/>
      <c r="N276" s="430"/>
      <c r="O276" s="480"/>
      <c r="P276" s="430"/>
      <c r="Q276" s="480"/>
    </row>
    <row r="277" ht="15.75" customHeight="1">
      <c r="A277" s="430"/>
      <c r="B277" s="480"/>
      <c r="C277" s="480"/>
      <c r="D277" s="430"/>
      <c r="E277" s="480"/>
      <c r="F277" s="480"/>
      <c r="G277" s="430"/>
      <c r="H277" s="480"/>
      <c r="I277" s="480"/>
      <c r="J277" s="430"/>
      <c r="K277" s="480"/>
      <c r="L277" s="430"/>
      <c r="M277" s="480"/>
      <c r="N277" s="430"/>
      <c r="O277" s="480"/>
      <c r="P277" s="430"/>
      <c r="Q277" s="480"/>
    </row>
    <row r="278" ht="15.75" customHeight="1">
      <c r="A278" s="430"/>
      <c r="B278" s="480"/>
      <c r="C278" s="480"/>
      <c r="D278" s="430"/>
      <c r="E278" s="480"/>
      <c r="F278" s="480"/>
      <c r="G278" s="430"/>
      <c r="H278" s="480"/>
      <c r="I278" s="480"/>
      <c r="J278" s="430"/>
      <c r="K278" s="480"/>
      <c r="L278" s="430"/>
      <c r="M278" s="480"/>
      <c r="N278" s="430"/>
      <c r="O278" s="480"/>
      <c r="P278" s="430"/>
      <c r="Q278" s="480"/>
    </row>
    <row r="279" ht="15.75" customHeight="1">
      <c r="A279" s="430"/>
      <c r="B279" s="480"/>
      <c r="C279" s="480"/>
      <c r="D279" s="430"/>
      <c r="E279" s="480"/>
      <c r="F279" s="480"/>
      <c r="G279" s="430"/>
      <c r="H279" s="480"/>
      <c r="I279" s="480"/>
      <c r="J279" s="430"/>
      <c r="K279" s="480"/>
      <c r="L279" s="430"/>
      <c r="M279" s="480"/>
      <c r="N279" s="430"/>
      <c r="O279" s="480"/>
      <c r="P279" s="430"/>
      <c r="Q279" s="480"/>
    </row>
    <row r="280" ht="15.75" customHeight="1">
      <c r="A280" s="430"/>
      <c r="B280" s="480"/>
      <c r="C280" s="480"/>
      <c r="D280" s="430"/>
      <c r="E280" s="480"/>
      <c r="F280" s="480"/>
      <c r="G280" s="430"/>
      <c r="H280" s="480"/>
      <c r="I280" s="480"/>
      <c r="J280" s="430"/>
      <c r="K280" s="480"/>
      <c r="L280" s="430"/>
      <c r="M280" s="480"/>
      <c r="N280" s="430"/>
      <c r="O280" s="480"/>
      <c r="P280" s="430"/>
      <c r="Q280" s="480"/>
    </row>
    <row r="281" ht="15.75" customHeight="1">
      <c r="A281" s="430"/>
      <c r="B281" s="480"/>
      <c r="C281" s="480"/>
      <c r="D281" s="430"/>
      <c r="E281" s="480"/>
      <c r="F281" s="480"/>
      <c r="G281" s="430"/>
      <c r="H281" s="480"/>
      <c r="I281" s="480"/>
      <c r="J281" s="430"/>
      <c r="K281" s="480"/>
      <c r="L281" s="430"/>
      <c r="M281" s="480"/>
      <c r="N281" s="430"/>
      <c r="O281" s="480"/>
      <c r="P281" s="430"/>
      <c r="Q281" s="480"/>
    </row>
    <row r="282" ht="15.75" customHeight="1">
      <c r="A282" s="430"/>
      <c r="B282" s="480"/>
      <c r="C282" s="480"/>
      <c r="D282" s="430"/>
      <c r="E282" s="480"/>
      <c r="F282" s="480"/>
      <c r="G282" s="430"/>
      <c r="H282" s="480"/>
      <c r="I282" s="480"/>
      <c r="J282" s="430"/>
      <c r="K282" s="480"/>
      <c r="L282" s="430"/>
      <c r="M282" s="480"/>
      <c r="N282" s="430"/>
      <c r="O282" s="480"/>
      <c r="P282" s="430"/>
      <c r="Q282" s="480"/>
    </row>
    <row r="283" ht="15.75" customHeight="1">
      <c r="A283" s="430"/>
      <c r="B283" s="480"/>
      <c r="C283" s="480"/>
      <c r="D283" s="430"/>
      <c r="E283" s="480"/>
      <c r="F283" s="480"/>
      <c r="G283" s="430"/>
      <c r="H283" s="480"/>
      <c r="I283" s="480"/>
      <c r="J283" s="430"/>
      <c r="K283" s="480"/>
      <c r="L283" s="430"/>
      <c r="M283" s="480"/>
      <c r="N283" s="430"/>
      <c r="O283" s="480"/>
      <c r="P283" s="430"/>
      <c r="Q283" s="480"/>
    </row>
    <row r="284" ht="15.75" customHeight="1">
      <c r="A284" s="430"/>
      <c r="B284" s="480"/>
      <c r="C284" s="480"/>
      <c r="D284" s="430"/>
      <c r="E284" s="480"/>
      <c r="F284" s="480"/>
      <c r="G284" s="430"/>
      <c r="H284" s="480"/>
      <c r="I284" s="480"/>
      <c r="J284" s="430"/>
      <c r="K284" s="480"/>
      <c r="L284" s="430"/>
      <c r="M284" s="480"/>
      <c r="N284" s="430"/>
      <c r="O284" s="480"/>
      <c r="P284" s="430"/>
      <c r="Q284" s="480"/>
    </row>
    <row r="285" ht="15.75" customHeight="1">
      <c r="A285" s="430"/>
      <c r="B285" s="480"/>
      <c r="C285" s="480"/>
      <c r="D285" s="430"/>
      <c r="E285" s="480"/>
      <c r="F285" s="480"/>
      <c r="G285" s="430"/>
      <c r="H285" s="480"/>
      <c r="I285" s="480"/>
      <c r="J285" s="430"/>
      <c r="K285" s="480"/>
      <c r="L285" s="430"/>
      <c r="M285" s="480"/>
      <c r="N285" s="430"/>
      <c r="O285" s="480"/>
      <c r="P285" s="430"/>
      <c r="Q285" s="480"/>
    </row>
    <row r="286" ht="15.75" customHeight="1">
      <c r="A286" s="430"/>
      <c r="B286" s="480"/>
      <c r="C286" s="480"/>
      <c r="D286" s="430"/>
      <c r="E286" s="480"/>
      <c r="F286" s="480"/>
      <c r="G286" s="430"/>
      <c r="H286" s="480"/>
      <c r="I286" s="480"/>
      <c r="J286" s="430"/>
      <c r="K286" s="480"/>
      <c r="L286" s="430"/>
      <c r="M286" s="480"/>
      <c r="N286" s="430"/>
      <c r="O286" s="480"/>
      <c r="P286" s="430"/>
      <c r="Q286" s="480"/>
    </row>
    <row r="287" ht="15.75" customHeight="1">
      <c r="A287" s="430"/>
      <c r="B287" s="480"/>
      <c r="C287" s="480"/>
      <c r="D287" s="430"/>
      <c r="E287" s="480"/>
      <c r="F287" s="480"/>
      <c r="G287" s="430"/>
      <c r="H287" s="480"/>
      <c r="I287" s="480"/>
      <c r="J287" s="430"/>
      <c r="K287" s="480"/>
      <c r="L287" s="430"/>
      <c r="M287" s="480"/>
      <c r="N287" s="430"/>
      <c r="O287" s="480"/>
      <c r="P287" s="430"/>
      <c r="Q287" s="480"/>
    </row>
    <row r="288" ht="15.75" customHeight="1">
      <c r="A288" s="430"/>
      <c r="B288" s="480"/>
      <c r="C288" s="480"/>
      <c r="D288" s="430"/>
      <c r="E288" s="480"/>
      <c r="F288" s="480"/>
      <c r="G288" s="430"/>
      <c r="H288" s="480"/>
      <c r="I288" s="480"/>
      <c r="J288" s="430"/>
      <c r="K288" s="480"/>
      <c r="L288" s="430"/>
      <c r="M288" s="480"/>
      <c r="N288" s="430"/>
      <c r="O288" s="480"/>
      <c r="P288" s="430"/>
      <c r="Q288" s="480"/>
    </row>
    <row r="289" ht="15.75" customHeight="1">
      <c r="A289" s="430"/>
      <c r="B289" s="480"/>
      <c r="C289" s="480"/>
      <c r="D289" s="430"/>
      <c r="E289" s="480"/>
      <c r="F289" s="480"/>
      <c r="G289" s="430"/>
      <c r="H289" s="480"/>
      <c r="I289" s="480"/>
      <c r="J289" s="430"/>
      <c r="K289" s="480"/>
      <c r="L289" s="430"/>
      <c r="M289" s="480"/>
      <c r="N289" s="430"/>
      <c r="O289" s="480"/>
      <c r="P289" s="430"/>
      <c r="Q289" s="480"/>
    </row>
    <row r="290" ht="15.75" customHeight="1">
      <c r="A290" s="430"/>
      <c r="B290" s="480"/>
      <c r="C290" s="480"/>
      <c r="D290" s="430"/>
      <c r="E290" s="480"/>
      <c r="F290" s="480"/>
      <c r="G290" s="430"/>
      <c r="H290" s="480"/>
      <c r="I290" s="480"/>
      <c r="J290" s="430"/>
      <c r="K290" s="480"/>
      <c r="L290" s="430"/>
      <c r="M290" s="480"/>
      <c r="N290" s="430"/>
      <c r="O290" s="480"/>
      <c r="P290" s="430"/>
      <c r="Q290" s="480"/>
    </row>
    <row r="291" ht="15.75" customHeight="1">
      <c r="A291" s="430"/>
      <c r="B291" s="480"/>
      <c r="C291" s="480"/>
      <c r="D291" s="430"/>
      <c r="E291" s="480"/>
      <c r="F291" s="480"/>
      <c r="G291" s="430"/>
      <c r="H291" s="480"/>
      <c r="I291" s="480"/>
      <c r="J291" s="430"/>
      <c r="K291" s="480"/>
      <c r="L291" s="430"/>
      <c r="M291" s="480"/>
      <c r="N291" s="430"/>
      <c r="O291" s="480"/>
      <c r="P291" s="430"/>
      <c r="Q291" s="480"/>
    </row>
    <row r="292" ht="15.75" customHeight="1">
      <c r="A292" s="430"/>
      <c r="B292" s="480"/>
      <c r="C292" s="480"/>
      <c r="D292" s="430"/>
      <c r="E292" s="480"/>
      <c r="F292" s="480"/>
      <c r="G292" s="430"/>
      <c r="H292" s="480"/>
      <c r="I292" s="480"/>
      <c r="J292" s="430"/>
      <c r="K292" s="480"/>
      <c r="L292" s="430"/>
      <c r="M292" s="480"/>
      <c r="N292" s="430"/>
      <c r="O292" s="480"/>
      <c r="P292" s="430"/>
      <c r="Q292" s="480"/>
    </row>
    <row r="293" ht="15.75" customHeight="1">
      <c r="A293" s="430"/>
      <c r="B293" s="480"/>
      <c r="C293" s="480"/>
      <c r="D293" s="430"/>
      <c r="E293" s="480"/>
      <c r="F293" s="480"/>
      <c r="G293" s="430"/>
      <c r="H293" s="480"/>
      <c r="I293" s="480"/>
      <c r="J293" s="430"/>
      <c r="K293" s="480"/>
      <c r="L293" s="430"/>
      <c r="M293" s="480"/>
      <c r="N293" s="430"/>
      <c r="O293" s="480"/>
      <c r="P293" s="430"/>
      <c r="Q293" s="480"/>
    </row>
    <row r="294" ht="15.75" customHeight="1">
      <c r="A294" s="430"/>
      <c r="B294" s="480"/>
      <c r="C294" s="480"/>
      <c r="D294" s="430"/>
      <c r="E294" s="480"/>
      <c r="F294" s="480"/>
      <c r="G294" s="430"/>
      <c r="H294" s="480"/>
      <c r="I294" s="480"/>
      <c r="J294" s="430"/>
      <c r="K294" s="480"/>
      <c r="L294" s="430"/>
      <c r="M294" s="480"/>
      <c r="N294" s="430"/>
      <c r="O294" s="480"/>
      <c r="P294" s="430"/>
      <c r="Q294" s="480"/>
    </row>
    <row r="295" ht="15.75" customHeight="1">
      <c r="A295" s="430"/>
      <c r="B295" s="480"/>
      <c r="C295" s="480"/>
      <c r="D295" s="430"/>
      <c r="E295" s="480"/>
      <c r="F295" s="480"/>
      <c r="G295" s="430"/>
      <c r="H295" s="480"/>
      <c r="I295" s="480"/>
      <c r="J295" s="430"/>
      <c r="K295" s="480"/>
      <c r="L295" s="430"/>
      <c r="M295" s="480"/>
      <c r="N295" s="430"/>
      <c r="O295" s="480"/>
      <c r="P295" s="430"/>
      <c r="Q295" s="480"/>
    </row>
    <row r="296" ht="15.75" customHeight="1">
      <c r="A296" s="430"/>
      <c r="B296" s="480"/>
      <c r="C296" s="480"/>
      <c r="D296" s="430"/>
      <c r="E296" s="480"/>
      <c r="F296" s="480"/>
      <c r="G296" s="430"/>
      <c r="H296" s="480"/>
      <c r="I296" s="480"/>
      <c r="J296" s="430"/>
      <c r="K296" s="480"/>
      <c r="L296" s="430"/>
      <c r="M296" s="480"/>
      <c r="N296" s="430"/>
      <c r="O296" s="480"/>
      <c r="P296" s="430"/>
      <c r="Q296" s="480"/>
    </row>
    <row r="297" ht="15.75" customHeight="1">
      <c r="A297" s="430"/>
      <c r="B297" s="480"/>
      <c r="C297" s="480"/>
      <c r="D297" s="430"/>
      <c r="E297" s="480"/>
      <c r="F297" s="480"/>
      <c r="G297" s="430"/>
      <c r="H297" s="480"/>
      <c r="I297" s="480"/>
      <c r="J297" s="430"/>
      <c r="K297" s="480"/>
      <c r="L297" s="430"/>
      <c r="M297" s="480"/>
      <c r="N297" s="430"/>
      <c r="O297" s="480"/>
      <c r="P297" s="430"/>
      <c r="Q297" s="480"/>
    </row>
    <row r="298" ht="15.75" customHeight="1">
      <c r="A298" s="430"/>
      <c r="B298" s="480"/>
      <c r="C298" s="480"/>
      <c r="D298" s="430"/>
      <c r="E298" s="480"/>
      <c r="F298" s="480"/>
      <c r="G298" s="430"/>
      <c r="H298" s="480"/>
      <c r="I298" s="480"/>
      <c r="J298" s="430"/>
      <c r="K298" s="480"/>
      <c r="L298" s="430"/>
      <c r="M298" s="480"/>
      <c r="N298" s="430"/>
      <c r="O298" s="480"/>
      <c r="P298" s="430"/>
      <c r="Q298" s="480"/>
    </row>
    <row r="299" ht="15.75" customHeight="1">
      <c r="A299" s="430"/>
      <c r="B299" s="480"/>
      <c r="C299" s="480"/>
      <c r="D299" s="430"/>
      <c r="E299" s="480"/>
      <c r="F299" s="480"/>
      <c r="G299" s="430"/>
      <c r="H299" s="480"/>
      <c r="I299" s="480"/>
      <c r="J299" s="430"/>
      <c r="K299" s="480"/>
      <c r="L299" s="430"/>
      <c r="M299" s="480"/>
      <c r="N299" s="430"/>
      <c r="O299" s="480"/>
      <c r="P299" s="430"/>
      <c r="Q299" s="480"/>
    </row>
    <row r="300" ht="15.75" customHeight="1">
      <c r="A300" s="430"/>
      <c r="B300" s="480"/>
      <c r="C300" s="480"/>
      <c r="D300" s="430"/>
      <c r="E300" s="480"/>
      <c r="F300" s="480"/>
      <c r="G300" s="430"/>
      <c r="H300" s="480"/>
      <c r="I300" s="480"/>
      <c r="J300" s="430"/>
      <c r="K300" s="480"/>
      <c r="L300" s="430"/>
      <c r="M300" s="480"/>
      <c r="N300" s="430"/>
      <c r="O300" s="480"/>
      <c r="P300" s="430"/>
      <c r="Q300" s="480"/>
    </row>
    <row r="301" ht="15.75" customHeight="1">
      <c r="A301" s="430"/>
      <c r="B301" s="480"/>
      <c r="C301" s="480"/>
      <c r="D301" s="430"/>
      <c r="E301" s="480"/>
      <c r="F301" s="480"/>
      <c r="G301" s="430"/>
      <c r="H301" s="480"/>
      <c r="I301" s="480"/>
      <c r="J301" s="430"/>
      <c r="K301" s="480"/>
      <c r="L301" s="430"/>
      <c r="M301" s="480"/>
      <c r="N301" s="430"/>
      <c r="O301" s="480"/>
      <c r="P301" s="430"/>
      <c r="Q301" s="480"/>
    </row>
    <row r="302" ht="15.75" customHeight="1">
      <c r="A302" s="430"/>
      <c r="B302" s="480"/>
      <c r="C302" s="480"/>
      <c r="D302" s="430"/>
      <c r="E302" s="480"/>
      <c r="F302" s="480"/>
      <c r="G302" s="430"/>
      <c r="H302" s="480"/>
      <c r="I302" s="480"/>
      <c r="J302" s="430"/>
      <c r="K302" s="480"/>
      <c r="L302" s="430"/>
      <c r="M302" s="480"/>
      <c r="N302" s="430"/>
      <c r="O302" s="480"/>
      <c r="P302" s="430"/>
      <c r="Q302" s="480"/>
    </row>
    <row r="303" ht="15.75" customHeight="1">
      <c r="A303" s="430"/>
      <c r="B303" s="480"/>
      <c r="C303" s="480"/>
      <c r="D303" s="430"/>
      <c r="E303" s="480"/>
      <c r="F303" s="480"/>
      <c r="G303" s="430"/>
      <c r="H303" s="480"/>
      <c r="I303" s="480"/>
      <c r="J303" s="430"/>
      <c r="K303" s="480"/>
      <c r="L303" s="430"/>
      <c r="M303" s="480"/>
      <c r="N303" s="430"/>
      <c r="O303" s="480"/>
      <c r="P303" s="430"/>
      <c r="Q303" s="480"/>
    </row>
    <row r="304" ht="15.75" customHeight="1">
      <c r="A304" s="430"/>
      <c r="B304" s="480"/>
      <c r="C304" s="480"/>
      <c r="D304" s="430"/>
      <c r="E304" s="480"/>
      <c r="F304" s="480"/>
      <c r="G304" s="430"/>
      <c r="H304" s="480"/>
      <c r="I304" s="480"/>
      <c r="J304" s="430"/>
      <c r="K304" s="480"/>
      <c r="L304" s="430"/>
      <c r="M304" s="480"/>
      <c r="N304" s="430"/>
      <c r="O304" s="480"/>
      <c r="P304" s="430"/>
      <c r="Q304" s="480"/>
    </row>
    <row r="305" ht="15.75" customHeight="1">
      <c r="A305" s="430"/>
      <c r="B305" s="480"/>
      <c r="C305" s="480"/>
      <c r="D305" s="430"/>
      <c r="E305" s="480"/>
      <c r="F305" s="480"/>
      <c r="G305" s="430"/>
      <c r="H305" s="480"/>
      <c r="I305" s="480"/>
      <c r="J305" s="430"/>
      <c r="K305" s="480"/>
      <c r="L305" s="430"/>
      <c r="M305" s="480"/>
      <c r="N305" s="430"/>
      <c r="O305" s="480"/>
      <c r="P305" s="430"/>
      <c r="Q305" s="480"/>
    </row>
    <row r="306" ht="15.75" customHeight="1">
      <c r="A306" s="430"/>
      <c r="B306" s="480"/>
      <c r="C306" s="480"/>
      <c r="D306" s="430"/>
      <c r="E306" s="480"/>
      <c r="F306" s="480"/>
      <c r="G306" s="430"/>
      <c r="H306" s="480"/>
      <c r="I306" s="480"/>
      <c r="J306" s="430"/>
      <c r="K306" s="480"/>
      <c r="L306" s="430"/>
      <c r="M306" s="480"/>
      <c r="N306" s="430"/>
      <c r="O306" s="480"/>
      <c r="P306" s="430"/>
      <c r="Q306" s="480"/>
    </row>
    <row r="307" ht="15.75" customHeight="1">
      <c r="A307" s="430"/>
      <c r="B307" s="480"/>
      <c r="C307" s="480"/>
      <c r="D307" s="430"/>
      <c r="E307" s="480"/>
      <c r="F307" s="480"/>
      <c r="G307" s="430"/>
      <c r="H307" s="480"/>
      <c r="I307" s="480"/>
      <c r="J307" s="430"/>
      <c r="K307" s="480"/>
      <c r="L307" s="430"/>
      <c r="M307" s="480"/>
      <c r="N307" s="430"/>
      <c r="O307" s="480"/>
      <c r="P307" s="430"/>
      <c r="Q307" s="480"/>
    </row>
    <row r="308" ht="15.75" customHeight="1">
      <c r="A308" s="430"/>
      <c r="B308" s="480"/>
      <c r="C308" s="480"/>
      <c r="D308" s="430"/>
      <c r="E308" s="480"/>
      <c r="F308" s="480"/>
      <c r="G308" s="430"/>
      <c r="H308" s="480"/>
      <c r="I308" s="480"/>
      <c r="J308" s="430"/>
      <c r="K308" s="480"/>
      <c r="L308" s="430"/>
      <c r="M308" s="480"/>
      <c r="N308" s="430"/>
      <c r="O308" s="480"/>
      <c r="P308" s="430"/>
      <c r="Q308" s="480"/>
    </row>
    <row r="309" ht="15.75" customHeight="1">
      <c r="A309" s="430"/>
      <c r="B309" s="480"/>
      <c r="C309" s="480"/>
      <c r="D309" s="430"/>
      <c r="E309" s="480"/>
      <c r="F309" s="480"/>
      <c r="G309" s="430"/>
      <c r="H309" s="480"/>
      <c r="I309" s="480"/>
      <c r="J309" s="430"/>
      <c r="K309" s="480"/>
      <c r="L309" s="430"/>
      <c r="M309" s="480"/>
      <c r="N309" s="430"/>
      <c r="O309" s="480"/>
      <c r="P309" s="430"/>
      <c r="Q309" s="480"/>
    </row>
    <row r="310" ht="15.75" customHeight="1">
      <c r="A310" s="430"/>
      <c r="B310" s="480"/>
      <c r="C310" s="480"/>
      <c r="D310" s="430"/>
      <c r="E310" s="480"/>
      <c r="F310" s="480"/>
      <c r="G310" s="430"/>
      <c r="H310" s="480"/>
      <c r="I310" s="480"/>
      <c r="J310" s="430"/>
      <c r="K310" s="480"/>
      <c r="L310" s="430"/>
      <c r="M310" s="480"/>
      <c r="N310" s="430"/>
      <c r="O310" s="480"/>
      <c r="P310" s="430"/>
      <c r="Q310" s="480"/>
    </row>
    <row r="311" ht="15.75" customHeight="1">
      <c r="A311" s="430"/>
      <c r="B311" s="480"/>
      <c r="C311" s="480"/>
      <c r="D311" s="430"/>
      <c r="E311" s="480"/>
      <c r="F311" s="480"/>
      <c r="G311" s="430"/>
      <c r="H311" s="480"/>
      <c r="I311" s="480"/>
      <c r="J311" s="430"/>
      <c r="K311" s="480"/>
      <c r="L311" s="430"/>
      <c r="M311" s="480"/>
      <c r="N311" s="430"/>
      <c r="O311" s="480"/>
      <c r="P311" s="430"/>
      <c r="Q311" s="480"/>
    </row>
    <row r="312" ht="15.75" customHeight="1">
      <c r="A312" s="430"/>
      <c r="B312" s="480"/>
      <c r="C312" s="480"/>
      <c r="D312" s="430"/>
      <c r="E312" s="480"/>
      <c r="F312" s="480"/>
      <c r="G312" s="430"/>
      <c r="H312" s="480"/>
      <c r="I312" s="480"/>
      <c r="J312" s="430"/>
      <c r="K312" s="480"/>
      <c r="L312" s="430"/>
      <c r="M312" s="480"/>
      <c r="N312" s="430"/>
      <c r="O312" s="480"/>
      <c r="P312" s="430"/>
      <c r="Q312" s="480"/>
    </row>
    <row r="313" ht="15.75" customHeight="1">
      <c r="A313" s="430"/>
      <c r="B313" s="480"/>
      <c r="C313" s="480"/>
      <c r="D313" s="430"/>
      <c r="E313" s="480"/>
      <c r="F313" s="480"/>
      <c r="G313" s="430"/>
      <c r="H313" s="480"/>
      <c r="I313" s="480"/>
      <c r="J313" s="430"/>
      <c r="K313" s="480"/>
      <c r="L313" s="430"/>
      <c r="M313" s="480"/>
      <c r="N313" s="430"/>
      <c r="O313" s="480"/>
      <c r="P313" s="430"/>
      <c r="Q313" s="480"/>
    </row>
    <row r="314" ht="15.75" customHeight="1">
      <c r="A314" s="430"/>
      <c r="B314" s="480"/>
      <c r="C314" s="480"/>
      <c r="D314" s="430"/>
      <c r="E314" s="480"/>
      <c r="F314" s="480"/>
      <c r="G314" s="430"/>
      <c r="H314" s="480"/>
      <c r="I314" s="480"/>
      <c r="J314" s="430"/>
      <c r="K314" s="480"/>
      <c r="L314" s="430"/>
      <c r="M314" s="480"/>
      <c r="N314" s="430"/>
      <c r="O314" s="480"/>
      <c r="P314" s="430"/>
      <c r="Q314" s="480"/>
    </row>
    <row r="315" ht="15.75" customHeight="1">
      <c r="A315" s="430"/>
      <c r="B315" s="480"/>
      <c r="C315" s="480"/>
      <c r="D315" s="430"/>
      <c r="E315" s="480"/>
      <c r="F315" s="480"/>
      <c r="G315" s="430"/>
      <c r="H315" s="480"/>
      <c r="I315" s="480"/>
      <c r="J315" s="430"/>
      <c r="K315" s="480"/>
      <c r="L315" s="430"/>
      <c r="M315" s="480"/>
      <c r="N315" s="430"/>
      <c r="O315" s="480"/>
      <c r="P315" s="430"/>
      <c r="Q315" s="480"/>
    </row>
    <row r="316" ht="15.75" customHeight="1">
      <c r="A316" s="430"/>
      <c r="B316" s="480"/>
      <c r="C316" s="480"/>
      <c r="D316" s="430"/>
      <c r="E316" s="480"/>
      <c r="F316" s="480"/>
      <c r="G316" s="430"/>
      <c r="H316" s="480"/>
      <c r="I316" s="480"/>
      <c r="J316" s="430"/>
      <c r="K316" s="480"/>
      <c r="L316" s="430"/>
      <c r="M316" s="480"/>
      <c r="N316" s="430"/>
      <c r="O316" s="480"/>
      <c r="P316" s="430"/>
      <c r="Q316" s="480"/>
    </row>
    <row r="317" ht="15.75" customHeight="1">
      <c r="A317" s="430"/>
      <c r="B317" s="480"/>
      <c r="C317" s="480"/>
      <c r="D317" s="430"/>
      <c r="E317" s="480"/>
      <c r="F317" s="480"/>
      <c r="G317" s="430"/>
      <c r="H317" s="480"/>
      <c r="I317" s="480"/>
      <c r="J317" s="430"/>
      <c r="K317" s="480"/>
      <c r="L317" s="430"/>
      <c r="M317" s="480"/>
      <c r="N317" s="430"/>
      <c r="O317" s="480"/>
      <c r="P317" s="430"/>
      <c r="Q317" s="480"/>
    </row>
    <row r="318" ht="15.75" customHeight="1">
      <c r="A318" s="430"/>
      <c r="B318" s="480"/>
      <c r="C318" s="480"/>
      <c r="D318" s="430"/>
      <c r="E318" s="480"/>
      <c r="F318" s="480"/>
      <c r="G318" s="430"/>
      <c r="H318" s="480"/>
      <c r="I318" s="480"/>
      <c r="J318" s="430"/>
      <c r="K318" s="480"/>
      <c r="L318" s="430"/>
      <c r="M318" s="480"/>
      <c r="N318" s="430"/>
      <c r="O318" s="480"/>
      <c r="P318" s="430"/>
      <c r="Q318" s="480"/>
    </row>
    <row r="319" ht="15.75" customHeight="1">
      <c r="A319" s="430"/>
      <c r="B319" s="480"/>
      <c r="C319" s="480"/>
      <c r="D319" s="430"/>
      <c r="E319" s="480"/>
      <c r="F319" s="480"/>
      <c r="G319" s="430"/>
      <c r="H319" s="480"/>
      <c r="I319" s="480"/>
      <c r="J319" s="430"/>
      <c r="K319" s="480"/>
      <c r="L319" s="430"/>
      <c r="M319" s="480"/>
      <c r="N319" s="430"/>
      <c r="O319" s="480"/>
      <c r="P319" s="430"/>
      <c r="Q319" s="480"/>
    </row>
    <row r="320" ht="15.75" customHeight="1">
      <c r="A320" s="430"/>
      <c r="B320" s="480"/>
      <c r="C320" s="480"/>
      <c r="D320" s="430"/>
      <c r="E320" s="480"/>
      <c r="F320" s="480"/>
      <c r="G320" s="430"/>
      <c r="H320" s="480"/>
      <c r="I320" s="480"/>
      <c r="J320" s="430"/>
      <c r="K320" s="480"/>
      <c r="L320" s="430"/>
      <c r="M320" s="480"/>
      <c r="N320" s="430"/>
      <c r="O320" s="480"/>
      <c r="P320" s="430"/>
      <c r="Q320" s="480"/>
    </row>
    <row r="321" ht="15.75" customHeight="1">
      <c r="A321" s="430"/>
      <c r="B321" s="480"/>
      <c r="C321" s="480"/>
      <c r="D321" s="430"/>
      <c r="E321" s="480"/>
      <c r="F321" s="480"/>
      <c r="G321" s="430"/>
      <c r="H321" s="480"/>
      <c r="I321" s="480"/>
      <c r="J321" s="430"/>
      <c r="K321" s="480"/>
      <c r="L321" s="430"/>
      <c r="M321" s="480"/>
      <c r="N321" s="430"/>
      <c r="O321" s="480"/>
      <c r="P321" s="430"/>
      <c r="Q321" s="480"/>
    </row>
    <row r="322" ht="15.75" customHeight="1">
      <c r="A322" s="430"/>
      <c r="B322" s="480"/>
      <c r="C322" s="480"/>
      <c r="D322" s="430"/>
      <c r="E322" s="480"/>
      <c r="F322" s="480"/>
      <c r="G322" s="430"/>
      <c r="H322" s="480"/>
      <c r="I322" s="480"/>
      <c r="J322" s="430"/>
      <c r="K322" s="480"/>
      <c r="L322" s="430"/>
      <c r="M322" s="480"/>
      <c r="N322" s="430"/>
      <c r="O322" s="480"/>
      <c r="P322" s="430"/>
      <c r="Q322" s="480"/>
    </row>
    <row r="323" ht="15.75" customHeight="1">
      <c r="A323" s="430"/>
      <c r="B323" s="480"/>
      <c r="C323" s="480"/>
      <c r="D323" s="430"/>
      <c r="E323" s="480"/>
      <c r="F323" s="480"/>
      <c r="G323" s="430"/>
      <c r="H323" s="480"/>
      <c r="I323" s="480"/>
      <c r="J323" s="430"/>
      <c r="K323" s="480"/>
      <c r="L323" s="430"/>
      <c r="M323" s="480"/>
      <c r="N323" s="430"/>
      <c r="O323" s="480"/>
      <c r="P323" s="430"/>
      <c r="Q323" s="480"/>
    </row>
    <row r="324" ht="15.75" customHeight="1">
      <c r="A324" s="430"/>
      <c r="B324" s="480"/>
      <c r="C324" s="480"/>
      <c r="D324" s="430"/>
      <c r="E324" s="480"/>
      <c r="F324" s="480"/>
      <c r="G324" s="430"/>
      <c r="H324" s="480"/>
      <c r="I324" s="480"/>
      <c r="J324" s="430"/>
      <c r="K324" s="480"/>
      <c r="L324" s="430"/>
      <c r="M324" s="480"/>
      <c r="N324" s="430"/>
      <c r="O324" s="480"/>
      <c r="P324" s="430"/>
      <c r="Q324" s="480"/>
    </row>
    <row r="325" ht="15.75" customHeight="1">
      <c r="A325" s="430"/>
      <c r="B325" s="480"/>
      <c r="C325" s="480"/>
      <c r="D325" s="430"/>
      <c r="E325" s="480"/>
      <c r="F325" s="480"/>
      <c r="G325" s="430"/>
      <c r="H325" s="480"/>
      <c r="I325" s="480"/>
      <c r="J325" s="430"/>
      <c r="K325" s="480"/>
      <c r="L325" s="430"/>
      <c r="M325" s="480"/>
      <c r="N325" s="430"/>
      <c r="O325" s="480"/>
      <c r="P325" s="430"/>
      <c r="Q325" s="480"/>
    </row>
    <row r="326" ht="15.75" customHeight="1">
      <c r="A326" s="430"/>
      <c r="B326" s="480"/>
      <c r="C326" s="480"/>
      <c r="D326" s="430"/>
      <c r="E326" s="480"/>
      <c r="F326" s="480"/>
      <c r="G326" s="430"/>
      <c r="H326" s="480"/>
      <c r="I326" s="480"/>
      <c r="J326" s="430"/>
      <c r="K326" s="480"/>
      <c r="L326" s="430"/>
      <c r="M326" s="480"/>
      <c r="N326" s="430"/>
      <c r="O326" s="480"/>
      <c r="P326" s="430"/>
      <c r="Q326" s="480"/>
    </row>
    <row r="327" ht="15.75" customHeight="1">
      <c r="A327" s="430"/>
      <c r="B327" s="480"/>
      <c r="C327" s="480"/>
      <c r="D327" s="430"/>
      <c r="E327" s="480"/>
      <c r="F327" s="480"/>
      <c r="G327" s="430"/>
      <c r="H327" s="480"/>
      <c r="I327" s="480"/>
      <c r="J327" s="430"/>
      <c r="K327" s="480"/>
      <c r="L327" s="430"/>
      <c r="M327" s="480"/>
      <c r="N327" s="430"/>
      <c r="O327" s="480"/>
      <c r="P327" s="430"/>
      <c r="Q327" s="480"/>
    </row>
    <row r="328" ht="15.75" customHeight="1">
      <c r="A328" s="430"/>
      <c r="B328" s="480"/>
      <c r="C328" s="480"/>
      <c r="D328" s="430"/>
      <c r="E328" s="480"/>
      <c r="F328" s="480"/>
      <c r="G328" s="430"/>
      <c r="H328" s="480"/>
      <c r="I328" s="480"/>
      <c r="J328" s="430"/>
      <c r="K328" s="480"/>
      <c r="L328" s="430"/>
      <c r="M328" s="480"/>
      <c r="N328" s="430"/>
      <c r="O328" s="480"/>
      <c r="P328" s="430"/>
      <c r="Q328" s="480"/>
    </row>
    <row r="329" ht="15.75" customHeight="1">
      <c r="A329" s="430"/>
      <c r="B329" s="480"/>
      <c r="C329" s="480"/>
      <c r="D329" s="430"/>
      <c r="E329" s="480"/>
      <c r="F329" s="480"/>
      <c r="G329" s="430"/>
      <c r="H329" s="480"/>
      <c r="I329" s="480"/>
      <c r="J329" s="430"/>
      <c r="K329" s="480"/>
      <c r="L329" s="430"/>
      <c r="M329" s="480"/>
      <c r="N329" s="430"/>
      <c r="O329" s="480"/>
      <c r="P329" s="430"/>
      <c r="Q329" s="480"/>
    </row>
    <row r="330" ht="15.75" customHeight="1">
      <c r="A330" s="430"/>
      <c r="B330" s="480"/>
      <c r="C330" s="480"/>
      <c r="D330" s="430"/>
      <c r="E330" s="480"/>
      <c r="F330" s="480"/>
      <c r="G330" s="430"/>
      <c r="H330" s="480"/>
      <c r="I330" s="480"/>
      <c r="J330" s="430"/>
      <c r="K330" s="480"/>
      <c r="L330" s="430"/>
      <c r="M330" s="480"/>
      <c r="N330" s="430"/>
      <c r="O330" s="480"/>
      <c r="P330" s="430"/>
      <c r="Q330" s="480"/>
    </row>
    <row r="331" ht="15.75" customHeight="1">
      <c r="A331" s="430"/>
      <c r="B331" s="480"/>
      <c r="C331" s="480"/>
      <c r="D331" s="430"/>
      <c r="E331" s="480"/>
      <c r="F331" s="480"/>
      <c r="G331" s="430"/>
      <c r="H331" s="480"/>
      <c r="I331" s="480"/>
      <c r="J331" s="430"/>
      <c r="K331" s="480"/>
      <c r="L331" s="430"/>
      <c r="M331" s="480"/>
      <c r="N331" s="430"/>
      <c r="O331" s="480"/>
      <c r="P331" s="430"/>
      <c r="Q331" s="480"/>
    </row>
    <row r="332" ht="15.75" customHeight="1">
      <c r="A332" s="430"/>
      <c r="B332" s="480"/>
      <c r="C332" s="480"/>
      <c r="D332" s="430"/>
      <c r="E332" s="480"/>
      <c r="F332" s="480"/>
      <c r="G332" s="430"/>
      <c r="H332" s="480"/>
      <c r="I332" s="480"/>
      <c r="J332" s="430"/>
      <c r="K332" s="480"/>
      <c r="L332" s="430"/>
      <c r="M332" s="480"/>
      <c r="N332" s="430"/>
      <c r="O332" s="480"/>
      <c r="P332" s="430"/>
      <c r="Q332" s="480"/>
    </row>
    <row r="333" ht="15.75" customHeight="1">
      <c r="A333" s="430"/>
      <c r="B333" s="480"/>
      <c r="C333" s="480"/>
      <c r="D333" s="430"/>
      <c r="E333" s="480"/>
      <c r="F333" s="480"/>
      <c r="G333" s="430"/>
      <c r="H333" s="480"/>
      <c r="I333" s="480"/>
      <c r="J333" s="430"/>
      <c r="K333" s="480"/>
      <c r="L333" s="430"/>
      <c r="M333" s="480"/>
      <c r="N333" s="430"/>
      <c r="O333" s="480"/>
      <c r="P333" s="430"/>
      <c r="Q333" s="480"/>
    </row>
    <row r="334" ht="15.75" customHeight="1">
      <c r="A334" s="430"/>
      <c r="B334" s="480"/>
      <c r="C334" s="480"/>
      <c r="D334" s="430"/>
      <c r="E334" s="480"/>
      <c r="F334" s="480"/>
      <c r="G334" s="430"/>
      <c r="H334" s="480"/>
      <c r="I334" s="480"/>
      <c r="J334" s="430"/>
      <c r="K334" s="480"/>
      <c r="L334" s="430"/>
      <c r="M334" s="480"/>
      <c r="N334" s="430"/>
      <c r="O334" s="480"/>
      <c r="P334" s="430"/>
      <c r="Q334" s="480"/>
    </row>
    <row r="335" ht="15.75" customHeight="1">
      <c r="A335" s="430"/>
      <c r="B335" s="480"/>
      <c r="C335" s="480"/>
      <c r="D335" s="430"/>
      <c r="E335" s="480"/>
      <c r="F335" s="480"/>
      <c r="G335" s="430"/>
      <c r="H335" s="480"/>
      <c r="I335" s="480"/>
      <c r="J335" s="430"/>
      <c r="K335" s="480"/>
      <c r="L335" s="430"/>
      <c r="M335" s="480"/>
      <c r="N335" s="430"/>
      <c r="O335" s="480"/>
      <c r="P335" s="430"/>
      <c r="Q335" s="480"/>
    </row>
    <row r="336" ht="15.75" customHeight="1">
      <c r="A336" s="430"/>
      <c r="B336" s="480"/>
      <c r="C336" s="480"/>
      <c r="D336" s="430"/>
      <c r="E336" s="480"/>
      <c r="F336" s="480"/>
      <c r="G336" s="430"/>
      <c r="H336" s="480"/>
      <c r="I336" s="480"/>
      <c r="J336" s="430"/>
      <c r="K336" s="480"/>
      <c r="L336" s="430"/>
      <c r="M336" s="480"/>
      <c r="N336" s="430"/>
      <c r="O336" s="480"/>
      <c r="P336" s="430"/>
      <c r="Q336" s="480"/>
    </row>
    <row r="337" ht="15.75" customHeight="1">
      <c r="A337" s="430"/>
      <c r="B337" s="480"/>
      <c r="C337" s="480"/>
      <c r="D337" s="430"/>
      <c r="E337" s="480"/>
      <c r="F337" s="480"/>
      <c r="G337" s="430"/>
      <c r="H337" s="480"/>
      <c r="I337" s="480"/>
      <c r="J337" s="430"/>
      <c r="K337" s="480"/>
      <c r="L337" s="430"/>
      <c r="M337" s="480"/>
      <c r="N337" s="430"/>
      <c r="O337" s="480"/>
      <c r="P337" s="430"/>
      <c r="Q337" s="480"/>
    </row>
    <row r="338" ht="15.75" customHeight="1">
      <c r="A338" s="430"/>
      <c r="B338" s="480"/>
      <c r="C338" s="480"/>
      <c r="D338" s="430"/>
      <c r="E338" s="480"/>
      <c r="F338" s="480"/>
      <c r="G338" s="430"/>
      <c r="H338" s="480"/>
      <c r="I338" s="480"/>
      <c r="J338" s="430"/>
      <c r="K338" s="480"/>
      <c r="L338" s="430"/>
      <c r="M338" s="480"/>
      <c r="N338" s="430"/>
      <c r="O338" s="480"/>
      <c r="P338" s="430"/>
      <c r="Q338" s="480"/>
    </row>
    <row r="339" ht="15.75" customHeight="1">
      <c r="A339" s="430"/>
      <c r="B339" s="480"/>
      <c r="C339" s="480"/>
      <c r="D339" s="430"/>
      <c r="E339" s="480"/>
      <c r="F339" s="480"/>
      <c r="G339" s="430"/>
      <c r="H339" s="480"/>
      <c r="I339" s="480"/>
      <c r="J339" s="430"/>
      <c r="K339" s="480"/>
      <c r="L339" s="430"/>
      <c r="M339" s="480"/>
      <c r="N339" s="430"/>
      <c r="O339" s="480"/>
      <c r="P339" s="430"/>
      <c r="Q339" s="480"/>
    </row>
    <row r="340" ht="15.75" customHeight="1">
      <c r="A340" s="430"/>
      <c r="B340" s="480"/>
      <c r="C340" s="480"/>
      <c r="D340" s="430"/>
      <c r="E340" s="480"/>
      <c r="F340" s="480"/>
      <c r="G340" s="430"/>
      <c r="H340" s="480"/>
      <c r="I340" s="480"/>
      <c r="J340" s="430"/>
      <c r="K340" s="480"/>
      <c r="L340" s="430"/>
      <c r="M340" s="480"/>
      <c r="N340" s="430"/>
      <c r="O340" s="480"/>
      <c r="P340" s="430"/>
      <c r="Q340" s="480"/>
    </row>
    <row r="341" ht="15.75" customHeight="1">
      <c r="A341" s="430"/>
      <c r="B341" s="480"/>
      <c r="C341" s="480"/>
      <c r="D341" s="430"/>
      <c r="E341" s="480"/>
      <c r="F341" s="480"/>
      <c r="G341" s="430"/>
      <c r="H341" s="480"/>
      <c r="I341" s="480"/>
      <c r="J341" s="430"/>
      <c r="K341" s="480"/>
      <c r="L341" s="430"/>
      <c r="M341" s="480"/>
      <c r="N341" s="430"/>
      <c r="O341" s="480"/>
      <c r="P341" s="430"/>
      <c r="Q341" s="480"/>
    </row>
    <row r="342" ht="15.75" customHeight="1">
      <c r="A342" s="430"/>
      <c r="B342" s="480"/>
      <c r="C342" s="480"/>
      <c r="D342" s="430"/>
      <c r="E342" s="480"/>
      <c r="F342" s="480"/>
      <c r="G342" s="430"/>
      <c r="H342" s="480"/>
      <c r="I342" s="480"/>
      <c r="J342" s="430"/>
      <c r="K342" s="480"/>
      <c r="L342" s="430"/>
      <c r="M342" s="480"/>
      <c r="N342" s="430"/>
      <c r="O342" s="480"/>
      <c r="P342" s="430"/>
      <c r="Q342" s="480"/>
    </row>
    <row r="343" ht="15.75" customHeight="1">
      <c r="A343" s="430"/>
      <c r="B343" s="480"/>
      <c r="C343" s="480"/>
      <c r="D343" s="430"/>
      <c r="E343" s="480"/>
      <c r="F343" s="480"/>
      <c r="G343" s="430"/>
      <c r="H343" s="480"/>
      <c r="I343" s="480"/>
      <c r="J343" s="430"/>
      <c r="K343" s="480"/>
      <c r="L343" s="430"/>
      <c r="M343" s="480"/>
      <c r="N343" s="430"/>
      <c r="O343" s="480"/>
      <c r="P343" s="430"/>
      <c r="Q343" s="480"/>
    </row>
    <row r="344" ht="15.75" customHeight="1">
      <c r="A344" s="430"/>
      <c r="B344" s="480"/>
      <c r="C344" s="480"/>
      <c r="D344" s="430"/>
      <c r="E344" s="480"/>
      <c r="F344" s="480"/>
      <c r="G344" s="430"/>
      <c r="H344" s="480"/>
      <c r="I344" s="480"/>
      <c r="J344" s="430"/>
      <c r="K344" s="480"/>
      <c r="L344" s="430"/>
      <c r="M344" s="480"/>
      <c r="N344" s="430"/>
      <c r="O344" s="480"/>
      <c r="P344" s="430"/>
      <c r="Q344" s="480"/>
    </row>
    <row r="345" ht="15.75" customHeight="1">
      <c r="A345" s="430"/>
      <c r="B345" s="480"/>
      <c r="C345" s="480"/>
      <c r="D345" s="430"/>
      <c r="E345" s="480"/>
      <c r="F345" s="480"/>
      <c r="G345" s="430"/>
      <c r="H345" s="480"/>
      <c r="I345" s="480"/>
      <c r="J345" s="430"/>
      <c r="K345" s="480"/>
      <c r="L345" s="430"/>
      <c r="M345" s="480"/>
      <c r="N345" s="430"/>
      <c r="O345" s="480"/>
      <c r="P345" s="430"/>
      <c r="Q345" s="480"/>
    </row>
    <row r="346" ht="15.75" customHeight="1">
      <c r="A346" s="430"/>
      <c r="B346" s="480"/>
      <c r="C346" s="480"/>
      <c r="D346" s="430"/>
      <c r="E346" s="480"/>
      <c r="F346" s="480"/>
      <c r="G346" s="430"/>
      <c r="H346" s="480"/>
      <c r="I346" s="480"/>
      <c r="J346" s="430"/>
      <c r="K346" s="480"/>
      <c r="L346" s="430"/>
      <c r="M346" s="480"/>
      <c r="N346" s="430"/>
      <c r="O346" s="480"/>
      <c r="P346" s="430"/>
      <c r="Q346" s="480"/>
    </row>
    <row r="347" ht="15.75" customHeight="1">
      <c r="A347" s="430"/>
      <c r="B347" s="480"/>
      <c r="C347" s="480"/>
      <c r="D347" s="430"/>
      <c r="E347" s="480"/>
      <c r="F347" s="480"/>
      <c r="G347" s="430"/>
      <c r="H347" s="480"/>
      <c r="I347" s="480"/>
      <c r="J347" s="430"/>
      <c r="K347" s="480"/>
      <c r="L347" s="430"/>
      <c r="M347" s="480"/>
      <c r="N347" s="430"/>
      <c r="O347" s="480"/>
      <c r="P347" s="430"/>
      <c r="Q347" s="480"/>
    </row>
    <row r="348" ht="15.75" customHeight="1">
      <c r="A348" s="430"/>
      <c r="B348" s="480"/>
      <c r="C348" s="480"/>
      <c r="D348" s="430"/>
      <c r="E348" s="480"/>
      <c r="F348" s="480"/>
      <c r="G348" s="430"/>
      <c r="H348" s="480"/>
      <c r="I348" s="480"/>
      <c r="J348" s="430"/>
      <c r="K348" s="480"/>
      <c r="L348" s="430"/>
      <c r="M348" s="480"/>
      <c r="N348" s="430"/>
      <c r="O348" s="480"/>
      <c r="P348" s="430"/>
      <c r="Q348" s="480"/>
    </row>
    <row r="349" ht="15.75" customHeight="1">
      <c r="A349" s="430"/>
      <c r="B349" s="480"/>
      <c r="C349" s="480"/>
      <c r="D349" s="430"/>
      <c r="E349" s="480"/>
      <c r="F349" s="480"/>
      <c r="G349" s="430"/>
      <c r="H349" s="480"/>
      <c r="I349" s="480"/>
      <c r="J349" s="430"/>
      <c r="K349" s="480"/>
      <c r="L349" s="430"/>
      <c r="M349" s="480"/>
      <c r="N349" s="430"/>
      <c r="O349" s="480"/>
      <c r="P349" s="430"/>
      <c r="Q349" s="480"/>
    </row>
    <row r="350" ht="15.75" customHeight="1">
      <c r="A350" s="430"/>
      <c r="B350" s="480"/>
      <c r="C350" s="480"/>
      <c r="D350" s="430"/>
      <c r="E350" s="480"/>
      <c r="F350" s="480"/>
      <c r="G350" s="430"/>
      <c r="H350" s="480"/>
      <c r="I350" s="480"/>
      <c r="J350" s="430"/>
      <c r="K350" s="480"/>
      <c r="L350" s="430"/>
      <c r="M350" s="480"/>
      <c r="N350" s="430"/>
      <c r="O350" s="480"/>
      <c r="P350" s="430"/>
      <c r="Q350" s="480"/>
    </row>
    <row r="351" ht="15.75" customHeight="1">
      <c r="A351" s="430"/>
      <c r="B351" s="480"/>
      <c r="C351" s="480"/>
      <c r="D351" s="430"/>
      <c r="E351" s="480"/>
      <c r="F351" s="480"/>
      <c r="G351" s="430"/>
      <c r="H351" s="480"/>
      <c r="I351" s="480"/>
      <c r="J351" s="430"/>
      <c r="K351" s="480"/>
      <c r="L351" s="430"/>
      <c r="M351" s="480"/>
      <c r="N351" s="430"/>
      <c r="O351" s="480"/>
      <c r="P351" s="430"/>
      <c r="Q351" s="480"/>
    </row>
    <row r="352" ht="15.75" customHeight="1">
      <c r="A352" s="430"/>
      <c r="B352" s="480"/>
      <c r="C352" s="480"/>
      <c r="D352" s="430"/>
      <c r="E352" s="480"/>
      <c r="F352" s="480"/>
      <c r="G352" s="430"/>
      <c r="H352" s="480"/>
      <c r="I352" s="480"/>
      <c r="J352" s="430"/>
      <c r="K352" s="480"/>
      <c r="L352" s="430"/>
      <c r="M352" s="480"/>
      <c r="N352" s="430"/>
      <c r="O352" s="480"/>
      <c r="P352" s="430"/>
      <c r="Q352" s="480"/>
    </row>
    <row r="353" ht="15.75" customHeight="1">
      <c r="A353" s="430"/>
      <c r="B353" s="480"/>
      <c r="C353" s="480"/>
      <c r="D353" s="430"/>
      <c r="E353" s="480"/>
      <c r="F353" s="480"/>
      <c r="G353" s="430"/>
      <c r="H353" s="480"/>
      <c r="I353" s="480"/>
      <c r="J353" s="430"/>
      <c r="K353" s="480"/>
      <c r="L353" s="430"/>
      <c r="M353" s="480"/>
      <c r="N353" s="430"/>
      <c r="O353" s="480"/>
      <c r="P353" s="430"/>
      <c r="Q353" s="480"/>
    </row>
    <row r="354" ht="15.75" customHeight="1">
      <c r="A354" s="430"/>
      <c r="B354" s="480"/>
      <c r="C354" s="480"/>
      <c r="D354" s="430"/>
      <c r="E354" s="480"/>
      <c r="F354" s="480"/>
      <c r="G354" s="430"/>
      <c r="H354" s="480"/>
      <c r="I354" s="480"/>
      <c r="J354" s="430"/>
      <c r="K354" s="480"/>
      <c r="L354" s="430"/>
      <c r="M354" s="480"/>
      <c r="N354" s="430"/>
      <c r="O354" s="480"/>
      <c r="P354" s="430"/>
      <c r="Q354" s="480"/>
    </row>
    <row r="355" ht="15.75" customHeight="1">
      <c r="A355" s="430"/>
      <c r="B355" s="480"/>
      <c r="C355" s="480"/>
      <c r="D355" s="430"/>
      <c r="E355" s="480"/>
      <c r="F355" s="480"/>
      <c r="G355" s="430"/>
      <c r="H355" s="480"/>
      <c r="I355" s="480"/>
      <c r="J355" s="430"/>
      <c r="K355" s="480"/>
      <c r="L355" s="430"/>
      <c r="M355" s="480"/>
      <c r="N355" s="430"/>
      <c r="O355" s="480"/>
      <c r="P355" s="430"/>
      <c r="Q355" s="480"/>
    </row>
    <row r="356" ht="15.75" customHeight="1">
      <c r="A356" s="430"/>
      <c r="B356" s="480"/>
      <c r="C356" s="480"/>
      <c r="D356" s="430"/>
      <c r="E356" s="480"/>
      <c r="F356" s="480"/>
      <c r="G356" s="430"/>
      <c r="H356" s="480"/>
      <c r="I356" s="480"/>
      <c r="J356" s="430"/>
      <c r="K356" s="480"/>
      <c r="L356" s="430"/>
      <c r="M356" s="480"/>
      <c r="N356" s="430"/>
      <c r="O356" s="480"/>
      <c r="P356" s="430"/>
      <c r="Q356" s="480"/>
    </row>
    <row r="357" ht="15.75" customHeight="1">
      <c r="A357" s="430"/>
      <c r="B357" s="480"/>
      <c r="C357" s="480"/>
      <c r="D357" s="430"/>
      <c r="E357" s="480"/>
      <c r="F357" s="480"/>
      <c r="G357" s="430"/>
      <c r="H357" s="480"/>
      <c r="I357" s="480"/>
      <c r="J357" s="430"/>
      <c r="K357" s="480"/>
      <c r="L357" s="430"/>
      <c r="M357" s="480"/>
      <c r="N357" s="430"/>
      <c r="O357" s="480"/>
      <c r="P357" s="430"/>
      <c r="Q357" s="480"/>
    </row>
    <row r="358" ht="15.75" customHeight="1">
      <c r="A358" s="430"/>
      <c r="B358" s="480"/>
      <c r="C358" s="480"/>
      <c r="D358" s="430"/>
      <c r="E358" s="480"/>
      <c r="F358" s="480"/>
      <c r="G358" s="430"/>
      <c r="H358" s="480"/>
      <c r="I358" s="480"/>
      <c r="J358" s="430"/>
      <c r="K358" s="480"/>
      <c r="L358" s="430"/>
      <c r="M358" s="480"/>
      <c r="N358" s="430"/>
      <c r="O358" s="480"/>
      <c r="P358" s="430"/>
      <c r="Q358" s="480"/>
    </row>
    <row r="359" ht="15.75" customHeight="1">
      <c r="A359" s="430"/>
      <c r="B359" s="480"/>
      <c r="C359" s="480"/>
      <c r="D359" s="430"/>
      <c r="E359" s="480"/>
      <c r="F359" s="480"/>
      <c r="G359" s="430"/>
      <c r="H359" s="480"/>
      <c r="I359" s="480"/>
      <c r="J359" s="430"/>
      <c r="K359" s="480"/>
      <c r="L359" s="430"/>
      <c r="M359" s="480"/>
      <c r="N359" s="430"/>
      <c r="O359" s="480"/>
      <c r="P359" s="430"/>
      <c r="Q359" s="480"/>
    </row>
    <row r="360" ht="15.75" customHeight="1">
      <c r="A360" s="430"/>
      <c r="B360" s="480"/>
      <c r="C360" s="480"/>
      <c r="D360" s="430"/>
      <c r="E360" s="480"/>
      <c r="F360" s="480"/>
      <c r="G360" s="430"/>
      <c r="H360" s="480"/>
      <c r="I360" s="480"/>
      <c r="J360" s="430"/>
      <c r="K360" s="480"/>
      <c r="L360" s="430"/>
      <c r="M360" s="480"/>
      <c r="N360" s="430"/>
      <c r="O360" s="480"/>
      <c r="P360" s="430"/>
      <c r="Q360" s="480"/>
    </row>
    <row r="361" ht="15.75" customHeight="1">
      <c r="A361" s="430"/>
      <c r="B361" s="480"/>
      <c r="C361" s="480"/>
      <c r="D361" s="430"/>
      <c r="E361" s="480"/>
      <c r="F361" s="480"/>
      <c r="G361" s="430"/>
      <c r="H361" s="480"/>
      <c r="I361" s="480"/>
      <c r="J361" s="430"/>
      <c r="K361" s="480"/>
      <c r="L361" s="430"/>
      <c r="M361" s="480"/>
      <c r="N361" s="430"/>
      <c r="O361" s="480"/>
      <c r="P361" s="430"/>
      <c r="Q361" s="480"/>
    </row>
    <row r="362" ht="15.75" customHeight="1">
      <c r="A362" s="430"/>
      <c r="B362" s="480"/>
      <c r="C362" s="480"/>
      <c r="D362" s="430"/>
      <c r="E362" s="480"/>
      <c r="F362" s="480"/>
      <c r="G362" s="430"/>
      <c r="H362" s="480"/>
      <c r="I362" s="480"/>
      <c r="J362" s="430"/>
      <c r="K362" s="480"/>
      <c r="L362" s="430"/>
      <c r="M362" s="480"/>
      <c r="N362" s="430"/>
      <c r="O362" s="480"/>
      <c r="P362" s="430"/>
      <c r="Q362" s="480"/>
    </row>
    <row r="363" ht="15.75" customHeight="1">
      <c r="A363" s="430"/>
      <c r="B363" s="480"/>
      <c r="C363" s="480"/>
      <c r="D363" s="430"/>
      <c r="E363" s="480"/>
      <c r="F363" s="480"/>
      <c r="G363" s="430"/>
      <c r="H363" s="480"/>
      <c r="I363" s="480"/>
      <c r="J363" s="430"/>
      <c r="K363" s="480"/>
      <c r="L363" s="430"/>
      <c r="M363" s="480"/>
      <c r="N363" s="430"/>
      <c r="O363" s="480"/>
      <c r="P363" s="430"/>
      <c r="Q363" s="480"/>
    </row>
    <row r="364" ht="15.75" customHeight="1">
      <c r="A364" s="430"/>
      <c r="B364" s="480"/>
      <c r="C364" s="480"/>
      <c r="D364" s="430"/>
      <c r="E364" s="480"/>
      <c r="F364" s="480"/>
      <c r="G364" s="430"/>
      <c r="H364" s="480"/>
      <c r="I364" s="480"/>
      <c r="J364" s="430"/>
      <c r="K364" s="480"/>
      <c r="L364" s="430"/>
      <c r="M364" s="480"/>
      <c r="N364" s="430"/>
      <c r="O364" s="480"/>
      <c r="P364" s="430"/>
      <c r="Q364" s="480"/>
    </row>
    <row r="365" ht="15.75" customHeight="1">
      <c r="A365" s="430"/>
      <c r="B365" s="480"/>
      <c r="C365" s="480"/>
      <c r="D365" s="430"/>
      <c r="E365" s="480"/>
      <c r="F365" s="480"/>
      <c r="G365" s="430"/>
      <c r="H365" s="480"/>
      <c r="I365" s="480"/>
      <c r="J365" s="430"/>
      <c r="K365" s="480"/>
      <c r="L365" s="430"/>
      <c r="M365" s="480"/>
      <c r="N365" s="430"/>
      <c r="O365" s="480"/>
      <c r="P365" s="430"/>
      <c r="Q365" s="480"/>
    </row>
    <row r="366" ht="15.75" customHeight="1">
      <c r="A366" s="430"/>
      <c r="B366" s="480"/>
      <c r="C366" s="480"/>
      <c r="D366" s="430"/>
      <c r="E366" s="480"/>
      <c r="F366" s="480"/>
      <c r="G366" s="430"/>
      <c r="H366" s="480"/>
      <c r="I366" s="480"/>
      <c r="J366" s="430"/>
      <c r="K366" s="480"/>
      <c r="L366" s="430"/>
      <c r="M366" s="480"/>
      <c r="N366" s="430"/>
      <c r="O366" s="480"/>
      <c r="P366" s="430"/>
      <c r="Q366" s="480"/>
    </row>
    <row r="367" ht="15.75" customHeight="1">
      <c r="A367" s="430"/>
      <c r="B367" s="480"/>
      <c r="C367" s="480"/>
      <c r="D367" s="430"/>
      <c r="E367" s="480"/>
      <c r="F367" s="480"/>
      <c r="G367" s="430"/>
      <c r="H367" s="480"/>
      <c r="I367" s="480"/>
      <c r="J367" s="430"/>
      <c r="K367" s="480"/>
      <c r="L367" s="430"/>
      <c r="M367" s="480"/>
      <c r="N367" s="430"/>
      <c r="O367" s="480"/>
      <c r="P367" s="430"/>
      <c r="Q367" s="480"/>
    </row>
    <row r="368" ht="15.75" customHeight="1">
      <c r="A368" s="430"/>
      <c r="B368" s="480"/>
      <c r="C368" s="480"/>
      <c r="D368" s="430"/>
      <c r="E368" s="480"/>
      <c r="F368" s="480"/>
      <c r="G368" s="430"/>
      <c r="H368" s="480"/>
      <c r="I368" s="480"/>
      <c r="J368" s="430"/>
      <c r="K368" s="480"/>
      <c r="L368" s="430"/>
      <c r="M368" s="480"/>
      <c r="N368" s="430"/>
      <c r="O368" s="480"/>
      <c r="P368" s="430"/>
      <c r="Q368" s="480"/>
    </row>
    <row r="369" ht="15.75" customHeight="1">
      <c r="A369" s="430"/>
      <c r="B369" s="480"/>
      <c r="C369" s="480"/>
      <c r="D369" s="430"/>
      <c r="E369" s="480"/>
      <c r="F369" s="480"/>
      <c r="G369" s="430"/>
      <c r="H369" s="480"/>
      <c r="I369" s="480"/>
      <c r="J369" s="430"/>
      <c r="K369" s="480"/>
      <c r="L369" s="430"/>
      <c r="M369" s="480"/>
      <c r="N369" s="430"/>
      <c r="O369" s="480"/>
      <c r="P369" s="430"/>
      <c r="Q369" s="480"/>
    </row>
    <row r="370" ht="15.75" customHeight="1">
      <c r="A370" s="430"/>
      <c r="B370" s="480"/>
      <c r="C370" s="480"/>
      <c r="D370" s="430"/>
      <c r="E370" s="480"/>
      <c r="F370" s="480"/>
      <c r="G370" s="430"/>
      <c r="H370" s="480"/>
      <c r="I370" s="480"/>
      <c r="J370" s="430"/>
      <c r="K370" s="480"/>
      <c r="L370" s="430"/>
      <c r="M370" s="480"/>
      <c r="N370" s="430"/>
      <c r="O370" s="480"/>
      <c r="P370" s="430"/>
      <c r="Q370" s="480"/>
    </row>
    <row r="371" ht="15.75" customHeight="1">
      <c r="A371" s="430"/>
      <c r="B371" s="480"/>
      <c r="C371" s="480"/>
      <c r="D371" s="430"/>
      <c r="E371" s="480"/>
      <c r="F371" s="480"/>
      <c r="G371" s="430"/>
      <c r="H371" s="480"/>
      <c r="I371" s="480"/>
      <c r="J371" s="430"/>
      <c r="K371" s="480"/>
      <c r="L371" s="430"/>
      <c r="M371" s="480"/>
      <c r="N371" s="430"/>
      <c r="O371" s="480"/>
      <c r="P371" s="430"/>
      <c r="Q371" s="480"/>
    </row>
    <row r="372" ht="15.75" customHeight="1">
      <c r="A372" s="430"/>
      <c r="B372" s="480"/>
      <c r="C372" s="480"/>
      <c r="D372" s="430"/>
      <c r="E372" s="480"/>
      <c r="F372" s="480"/>
      <c r="G372" s="430"/>
      <c r="H372" s="480"/>
      <c r="I372" s="480"/>
      <c r="J372" s="430"/>
      <c r="K372" s="480"/>
      <c r="L372" s="430"/>
      <c r="M372" s="480"/>
      <c r="N372" s="430"/>
      <c r="O372" s="480"/>
      <c r="P372" s="430"/>
      <c r="Q372" s="480"/>
    </row>
    <row r="373" ht="15.75" customHeight="1">
      <c r="A373" s="430"/>
      <c r="B373" s="480"/>
      <c r="C373" s="480"/>
      <c r="D373" s="430"/>
      <c r="E373" s="480"/>
      <c r="F373" s="480"/>
      <c r="G373" s="430"/>
      <c r="H373" s="480"/>
      <c r="I373" s="480"/>
      <c r="J373" s="430"/>
      <c r="K373" s="480"/>
      <c r="L373" s="430"/>
      <c r="M373" s="480"/>
      <c r="N373" s="430"/>
      <c r="O373" s="480"/>
      <c r="P373" s="430"/>
      <c r="Q373" s="480"/>
    </row>
    <row r="374" ht="15.75" customHeight="1">
      <c r="A374" s="430"/>
      <c r="B374" s="480"/>
      <c r="C374" s="480"/>
      <c r="D374" s="430"/>
      <c r="E374" s="480"/>
      <c r="F374" s="480"/>
      <c r="G374" s="430"/>
      <c r="H374" s="480"/>
      <c r="I374" s="480"/>
      <c r="J374" s="430"/>
      <c r="K374" s="480"/>
      <c r="L374" s="430"/>
      <c r="M374" s="480"/>
      <c r="N374" s="430"/>
      <c r="O374" s="480"/>
      <c r="P374" s="430"/>
      <c r="Q374" s="480"/>
    </row>
    <row r="375" ht="15.75" customHeight="1">
      <c r="A375" s="430"/>
      <c r="B375" s="480"/>
      <c r="C375" s="480"/>
      <c r="D375" s="430"/>
      <c r="E375" s="480"/>
      <c r="F375" s="480"/>
      <c r="G375" s="430"/>
      <c r="H375" s="480"/>
      <c r="I375" s="480"/>
      <c r="J375" s="430"/>
      <c r="K375" s="480"/>
      <c r="L375" s="430"/>
      <c r="M375" s="480"/>
      <c r="N375" s="430"/>
      <c r="O375" s="480"/>
      <c r="P375" s="430"/>
      <c r="Q375" s="480"/>
    </row>
    <row r="376" ht="15.75" customHeight="1">
      <c r="A376" s="430"/>
      <c r="B376" s="480"/>
      <c r="C376" s="480"/>
      <c r="D376" s="430"/>
      <c r="E376" s="480"/>
      <c r="F376" s="480"/>
      <c r="G376" s="430"/>
      <c r="H376" s="480"/>
      <c r="I376" s="480"/>
      <c r="J376" s="430"/>
      <c r="K376" s="480"/>
      <c r="L376" s="430"/>
      <c r="M376" s="480"/>
      <c r="N376" s="430"/>
      <c r="O376" s="480"/>
      <c r="P376" s="430"/>
      <c r="Q376" s="480"/>
    </row>
    <row r="377" ht="15.75" customHeight="1">
      <c r="A377" s="430"/>
      <c r="B377" s="480"/>
      <c r="C377" s="480"/>
      <c r="D377" s="430"/>
      <c r="E377" s="480"/>
      <c r="F377" s="480"/>
      <c r="G377" s="430"/>
      <c r="H377" s="480"/>
      <c r="I377" s="480"/>
      <c r="J377" s="430"/>
      <c r="K377" s="480"/>
      <c r="L377" s="430"/>
      <c r="M377" s="480"/>
      <c r="N377" s="430"/>
      <c r="O377" s="480"/>
      <c r="P377" s="430"/>
      <c r="Q377" s="480"/>
    </row>
    <row r="378" ht="15.75" customHeight="1">
      <c r="A378" s="430"/>
      <c r="B378" s="480"/>
      <c r="C378" s="480"/>
      <c r="D378" s="430"/>
      <c r="E378" s="480"/>
      <c r="F378" s="480"/>
      <c r="G378" s="430"/>
      <c r="H378" s="480"/>
      <c r="I378" s="480"/>
      <c r="J378" s="430"/>
      <c r="K378" s="480"/>
      <c r="L378" s="430"/>
      <c r="M378" s="480"/>
      <c r="N378" s="430"/>
      <c r="O378" s="480"/>
      <c r="P378" s="430"/>
      <c r="Q378" s="480"/>
    </row>
    <row r="379" ht="15.75" customHeight="1">
      <c r="A379" s="430"/>
      <c r="B379" s="480"/>
      <c r="C379" s="480"/>
      <c r="D379" s="430"/>
      <c r="E379" s="480"/>
      <c r="F379" s="480"/>
      <c r="G379" s="430"/>
      <c r="H379" s="480"/>
      <c r="I379" s="480"/>
      <c r="J379" s="430"/>
      <c r="K379" s="480"/>
      <c r="L379" s="430"/>
      <c r="M379" s="480"/>
      <c r="N379" s="430"/>
      <c r="O379" s="480"/>
      <c r="P379" s="430"/>
      <c r="Q379" s="480"/>
    </row>
    <row r="380" ht="15.75" customHeight="1">
      <c r="A380" s="430"/>
      <c r="B380" s="480"/>
      <c r="C380" s="480"/>
      <c r="D380" s="430"/>
      <c r="E380" s="480"/>
      <c r="F380" s="480"/>
      <c r="G380" s="430"/>
      <c r="H380" s="480"/>
      <c r="I380" s="480"/>
      <c r="J380" s="430"/>
      <c r="K380" s="480"/>
      <c r="L380" s="430"/>
      <c r="M380" s="480"/>
      <c r="N380" s="430"/>
      <c r="O380" s="480"/>
      <c r="P380" s="430"/>
      <c r="Q380" s="480"/>
    </row>
    <row r="381" ht="15.75" customHeight="1">
      <c r="A381" s="430"/>
      <c r="B381" s="480"/>
      <c r="C381" s="480"/>
      <c r="D381" s="430"/>
      <c r="E381" s="480"/>
      <c r="F381" s="480"/>
      <c r="G381" s="430"/>
      <c r="H381" s="480"/>
      <c r="I381" s="480"/>
      <c r="J381" s="430"/>
      <c r="K381" s="480"/>
      <c r="L381" s="430"/>
      <c r="M381" s="480"/>
      <c r="N381" s="430"/>
      <c r="O381" s="480"/>
      <c r="P381" s="430"/>
      <c r="Q381" s="480"/>
    </row>
    <row r="382" ht="15.75" customHeight="1">
      <c r="A382" s="430"/>
      <c r="B382" s="480"/>
      <c r="C382" s="480"/>
      <c r="D382" s="430"/>
      <c r="E382" s="480"/>
      <c r="F382" s="480"/>
      <c r="G382" s="430"/>
      <c r="H382" s="480"/>
      <c r="I382" s="480"/>
      <c r="J382" s="430"/>
      <c r="K382" s="480"/>
      <c r="L382" s="430"/>
      <c r="M382" s="480"/>
      <c r="N382" s="430"/>
      <c r="O382" s="480"/>
      <c r="P382" s="430"/>
      <c r="Q382" s="480"/>
    </row>
    <row r="383" ht="15.75" customHeight="1">
      <c r="A383" s="430"/>
      <c r="B383" s="480"/>
      <c r="C383" s="480"/>
      <c r="D383" s="430"/>
      <c r="E383" s="480"/>
      <c r="F383" s="480"/>
      <c r="G383" s="430"/>
      <c r="H383" s="480"/>
      <c r="I383" s="480"/>
      <c r="J383" s="430"/>
      <c r="K383" s="480"/>
      <c r="L383" s="430"/>
      <c r="M383" s="480"/>
      <c r="N383" s="430"/>
      <c r="O383" s="480"/>
      <c r="P383" s="430"/>
      <c r="Q383" s="480"/>
    </row>
    <row r="384" ht="15.75" customHeight="1">
      <c r="A384" s="430"/>
      <c r="B384" s="480"/>
      <c r="C384" s="480"/>
      <c r="D384" s="430"/>
      <c r="E384" s="480"/>
      <c r="F384" s="480"/>
      <c r="G384" s="430"/>
      <c r="H384" s="480"/>
      <c r="I384" s="480"/>
      <c r="J384" s="430"/>
      <c r="K384" s="480"/>
      <c r="L384" s="430"/>
      <c r="M384" s="480"/>
      <c r="N384" s="430"/>
      <c r="O384" s="480"/>
      <c r="P384" s="430"/>
      <c r="Q384" s="480"/>
    </row>
    <row r="385" ht="15.75" customHeight="1">
      <c r="A385" s="430"/>
      <c r="B385" s="480"/>
      <c r="C385" s="480"/>
      <c r="D385" s="430"/>
      <c r="E385" s="480"/>
      <c r="F385" s="480"/>
      <c r="G385" s="430"/>
      <c r="H385" s="480"/>
      <c r="I385" s="480"/>
      <c r="J385" s="430"/>
      <c r="K385" s="480"/>
      <c r="L385" s="430"/>
      <c r="M385" s="480"/>
      <c r="N385" s="430"/>
      <c r="O385" s="480"/>
      <c r="P385" s="430"/>
      <c r="Q385" s="480"/>
    </row>
    <row r="386" ht="15.75" customHeight="1">
      <c r="A386" s="430"/>
      <c r="B386" s="480"/>
      <c r="C386" s="480"/>
      <c r="D386" s="430"/>
      <c r="E386" s="480"/>
      <c r="F386" s="480"/>
      <c r="G386" s="430"/>
      <c r="H386" s="480"/>
      <c r="I386" s="480"/>
      <c r="J386" s="430"/>
      <c r="K386" s="480"/>
      <c r="L386" s="430"/>
      <c r="M386" s="480"/>
      <c r="N386" s="430"/>
      <c r="O386" s="480"/>
      <c r="P386" s="430"/>
      <c r="Q386" s="480"/>
    </row>
    <row r="387" ht="15.75" customHeight="1">
      <c r="A387" s="430"/>
      <c r="B387" s="480"/>
      <c r="C387" s="480"/>
      <c r="D387" s="430"/>
      <c r="E387" s="480"/>
      <c r="F387" s="480"/>
      <c r="G387" s="430"/>
      <c r="H387" s="480"/>
      <c r="I387" s="480"/>
      <c r="J387" s="430"/>
      <c r="K387" s="480"/>
      <c r="L387" s="430"/>
      <c r="M387" s="480"/>
      <c r="N387" s="430"/>
      <c r="O387" s="480"/>
      <c r="P387" s="430"/>
      <c r="Q387" s="480"/>
    </row>
    <row r="388" ht="15.75" customHeight="1">
      <c r="A388" s="430"/>
      <c r="B388" s="480"/>
      <c r="C388" s="480"/>
      <c r="D388" s="430"/>
      <c r="E388" s="480"/>
      <c r="F388" s="480"/>
      <c r="G388" s="430"/>
      <c r="H388" s="480"/>
      <c r="I388" s="480"/>
      <c r="J388" s="430"/>
      <c r="K388" s="480"/>
      <c r="L388" s="430"/>
      <c r="M388" s="480"/>
      <c r="N388" s="430"/>
      <c r="O388" s="480"/>
      <c r="P388" s="430"/>
      <c r="Q388" s="480"/>
    </row>
    <row r="389" ht="15.75" customHeight="1">
      <c r="A389" s="430"/>
      <c r="B389" s="480"/>
      <c r="C389" s="480"/>
      <c r="D389" s="430"/>
      <c r="E389" s="480"/>
      <c r="F389" s="480"/>
      <c r="G389" s="430"/>
      <c r="H389" s="480"/>
      <c r="I389" s="480"/>
      <c r="J389" s="430"/>
      <c r="K389" s="480"/>
      <c r="L389" s="430"/>
      <c r="M389" s="480"/>
      <c r="N389" s="430"/>
      <c r="O389" s="480"/>
      <c r="P389" s="430"/>
      <c r="Q389" s="480"/>
    </row>
    <row r="390" ht="15.75" customHeight="1">
      <c r="A390" s="430"/>
      <c r="B390" s="480"/>
      <c r="C390" s="480"/>
      <c r="D390" s="430"/>
      <c r="E390" s="480"/>
      <c r="F390" s="480"/>
      <c r="G390" s="430"/>
      <c r="H390" s="480"/>
      <c r="I390" s="480"/>
      <c r="J390" s="430"/>
      <c r="K390" s="480"/>
      <c r="L390" s="430"/>
      <c r="M390" s="480"/>
      <c r="N390" s="430"/>
      <c r="O390" s="480"/>
      <c r="P390" s="430"/>
      <c r="Q390" s="480"/>
    </row>
    <row r="391" ht="15.75" customHeight="1">
      <c r="A391" s="430"/>
      <c r="B391" s="480"/>
      <c r="C391" s="480"/>
      <c r="D391" s="430"/>
      <c r="E391" s="480"/>
      <c r="F391" s="480"/>
      <c r="G391" s="430"/>
      <c r="H391" s="480"/>
      <c r="I391" s="480"/>
      <c r="J391" s="430"/>
      <c r="K391" s="480"/>
      <c r="L391" s="430"/>
      <c r="M391" s="480"/>
      <c r="N391" s="430"/>
      <c r="O391" s="480"/>
      <c r="P391" s="430"/>
      <c r="Q391" s="480"/>
    </row>
    <row r="392" ht="15.75" customHeight="1">
      <c r="A392" s="430"/>
      <c r="B392" s="480"/>
      <c r="C392" s="480"/>
      <c r="D392" s="430"/>
      <c r="E392" s="480"/>
      <c r="F392" s="480"/>
      <c r="G392" s="430"/>
      <c r="H392" s="480"/>
      <c r="I392" s="480"/>
      <c r="J392" s="430"/>
      <c r="K392" s="480"/>
      <c r="L392" s="430"/>
      <c r="M392" s="480"/>
      <c r="N392" s="430"/>
      <c r="O392" s="480"/>
      <c r="P392" s="430"/>
      <c r="Q392" s="480"/>
    </row>
    <row r="393" ht="15.75" customHeight="1">
      <c r="A393" s="430"/>
      <c r="B393" s="480"/>
      <c r="C393" s="480"/>
      <c r="D393" s="430"/>
      <c r="E393" s="480"/>
      <c r="F393" s="480"/>
      <c r="G393" s="430"/>
      <c r="H393" s="480"/>
      <c r="I393" s="480"/>
      <c r="J393" s="430"/>
      <c r="K393" s="480"/>
      <c r="L393" s="430"/>
      <c r="M393" s="480"/>
      <c r="N393" s="430"/>
      <c r="O393" s="480"/>
      <c r="P393" s="430"/>
      <c r="Q393" s="480"/>
    </row>
    <row r="394" ht="15.75" customHeight="1">
      <c r="A394" s="430"/>
      <c r="B394" s="480"/>
      <c r="C394" s="480"/>
      <c r="D394" s="430"/>
      <c r="E394" s="480"/>
      <c r="F394" s="480"/>
      <c r="G394" s="430"/>
      <c r="H394" s="480"/>
      <c r="I394" s="480"/>
      <c r="J394" s="430"/>
      <c r="K394" s="480"/>
      <c r="L394" s="430"/>
      <c r="M394" s="480"/>
      <c r="N394" s="430"/>
      <c r="O394" s="480"/>
      <c r="P394" s="430"/>
      <c r="Q394" s="480"/>
    </row>
    <row r="395" ht="15.75" customHeight="1">
      <c r="A395" s="430"/>
      <c r="B395" s="480"/>
      <c r="C395" s="480"/>
      <c r="D395" s="430"/>
      <c r="E395" s="480"/>
      <c r="F395" s="480"/>
      <c r="G395" s="430"/>
      <c r="H395" s="480"/>
      <c r="I395" s="480"/>
      <c r="J395" s="430"/>
      <c r="K395" s="480"/>
      <c r="L395" s="430"/>
      <c r="M395" s="480"/>
      <c r="N395" s="430"/>
      <c r="O395" s="480"/>
      <c r="P395" s="430"/>
      <c r="Q395" s="480"/>
    </row>
    <row r="396" ht="15.75" customHeight="1">
      <c r="A396" s="430"/>
      <c r="B396" s="480"/>
      <c r="C396" s="480"/>
      <c r="D396" s="430"/>
      <c r="E396" s="480"/>
      <c r="F396" s="480"/>
      <c r="G396" s="430"/>
      <c r="H396" s="480"/>
      <c r="I396" s="480"/>
      <c r="J396" s="430"/>
      <c r="K396" s="480"/>
      <c r="L396" s="430"/>
      <c r="M396" s="480"/>
      <c r="N396" s="430"/>
      <c r="O396" s="480"/>
      <c r="P396" s="430"/>
      <c r="Q396" s="480"/>
    </row>
    <row r="397" ht="15.75" customHeight="1">
      <c r="A397" s="430"/>
      <c r="B397" s="480"/>
      <c r="C397" s="480"/>
      <c r="D397" s="430"/>
      <c r="E397" s="480"/>
      <c r="F397" s="480"/>
      <c r="G397" s="430"/>
      <c r="H397" s="480"/>
      <c r="I397" s="480"/>
      <c r="J397" s="430"/>
      <c r="K397" s="480"/>
      <c r="L397" s="430"/>
      <c r="M397" s="480"/>
      <c r="N397" s="430"/>
      <c r="O397" s="480"/>
      <c r="P397" s="430"/>
      <c r="Q397" s="480"/>
    </row>
    <row r="398" ht="15.75" customHeight="1">
      <c r="A398" s="430"/>
      <c r="B398" s="480"/>
      <c r="C398" s="480"/>
      <c r="D398" s="430"/>
      <c r="E398" s="480"/>
      <c r="F398" s="480"/>
      <c r="G398" s="430"/>
      <c r="H398" s="480"/>
      <c r="I398" s="480"/>
      <c r="J398" s="430"/>
      <c r="K398" s="480"/>
      <c r="L398" s="430"/>
      <c r="M398" s="480"/>
      <c r="N398" s="430"/>
      <c r="O398" s="480"/>
      <c r="P398" s="430"/>
      <c r="Q398" s="480"/>
    </row>
    <row r="399" ht="15.75" customHeight="1">
      <c r="A399" s="430"/>
      <c r="B399" s="480"/>
      <c r="C399" s="480"/>
      <c r="D399" s="430"/>
      <c r="E399" s="480"/>
      <c r="F399" s="480"/>
      <c r="G399" s="430"/>
      <c r="H399" s="480"/>
      <c r="I399" s="480"/>
      <c r="J399" s="430"/>
      <c r="K399" s="480"/>
      <c r="L399" s="430"/>
      <c r="M399" s="480"/>
      <c r="N399" s="430"/>
      <c r="O399" s="480"/>
      <c r="P399" s="430"/>
      <c r="Q399" s="480"/>
    </row>
    <row r="400" ht="15.75" customHeight="1">
      <c r="A400" s="430"/>
      <c r="B400" s="480"/>
      <c r="C400" s="480"/>
      <c r="D400" s="430"/>
      <c r="E400" s="480"/>
      <c r="F400" s="480"/>
      <c r="G400" s="430"/>
      <c r="H400" s="480"/>
      <c r="I400" s="480"/>
      <c r="J400" s="430"/>
      <c r="K400" s="480"/>
      <c r="L400" s="430"/>
      <c r="M400" s="480"/>
      <c r="N400" s="430"/>
      <c r="O400" s="480"/>
      <c r="P400" s="430"/>
      <c r="Q400" s="480"/>
    </row>
    <row r="401" ht="15.75" customHeight="1">
      <c r="A401" s="430"/>
      <c r="B401" s="480"/>
      <c r="C401" s="480"/>
      <c r="D401" s="430"/>
      <c r="E401" s="480"/>
      <c r="F401" s="480"/>
      <c r="G401" s="430"/>
      <c r="H401" s="480"/>
      <c r="I401" s="480"/>
      <c r="J401" s="430"/>
      <c r="K401" s="480"/>
      <c r="L401" s="430"/>
      <c r="M401" s="480"/>
      <c r="N401" s="430"/>
      <c r="O401" s="480"/>
      <c r="P401" s="430"/>
      <c r="Q401" s="480"/>
    </row>
    <row r="402" ht="15.75" customHeight="1">
      <c r="A402" s="430"/>
      <c r="B402" s="480"/>
      <c r="C402" s="480"/>
      <c r="D402" s="430"/>
      <c r="E402" s="480"/>
      <c r="F402" s="480"/>
      <c r="G402" s="430"/>
      <c r="H402" s="480"/>
      <c r="I402" s="480"/>
      <c r="J402" s="430"/>
      <c r="K402" s="480"/>
      <c r="L402" s="430"/>
      <c r="M402" s="480"/>
      <c r="N402" s="430"/>
      <c r="O402" s="480"/>
      <c r="P402" s="430"/>
      <c r="Q402" s="480"/>
    </row>
    <row r="403" ht="15.75" customHeight="1">
      <c r="A403" s="430"/>
      <c r="B403" s="480"/>
      <c r="C403" s="480"/>
      <c r="D403" s="430"/>
      <c r="E403" s="480"/>
      <c r="F403" s="480"/>
      <c r="G403" s="430"/>
      <c r="H403" s="480"/>
      <c r="I403" s="480"/>
      <c r="J403" s="430"/>
      <c r="K403" s="480"/>
      <c r="L403" s="430"/>
      <c r="M403" s="480"/>
      <c r="N403" s="430"/>
      <c r="O403" s="480"/>
      <c r="P403" s="430"/>
      <c r="Q403" s="480"/>
    </row>
    <row r="404" ht="15.75" customHeight="1">
      <c r="A404" s="430"/>
      <c r="B404" s="480"/>
      <c r="C404" s="480"/>
      <c r="D404" s="430"/>
      <c r="E404" s="480"/>
      <c r="F404" s="480"/>
      <c r="G404" s="430"/>
      <c r="H404" s="480"/>
      <c r="I404" s="480"/>
      <c r="J404" s="430"/>
      <c r="K404" s="480"/>
      <c r="L404" s="430"/>
      <c r="M404" s="480"/>
      <c r="N404" s="430"/>
      <c r="O404" s="480"/>
      <c r="P404" s="430"/>
      <c r="Q404" s="480"/>
    </row>
    <row r="405" ht="15.75" customHeight="1">
      <c r="A405" s="430"/>
      <c r="B405" s="480"/>
      <c r="C405" s="480"/>
      <c r="D405" s="430"/>
      <c r="E405" s="480"/>
      <c r="F405" s="480"/>
      <c r="G405" s="430"/>
      <c r="H405" s="480"/>
      <c r="I405" s="480"/>
      <c r="J405" s="430"/>
      <c r="K405" s="480"/>
      <c r="L405" s="430"/>
      <c r="M405" s="480"/>
      <c r="N405" s="430"/>
      <c r="O405" s="480"/>
      <c r="P405" s="430"/>
      <c r="Q405" s="480"/>
    </row>
    <row r="406" ht="15.75" customHeight="1">
      <c r="A406" s="430"/>
      <c r="B406" s="480"/>
      <c r="C406" s="480"/>
      <c r="D406" s="430"/>
      <c r="E406" s="480"/>
      <c r="F406" s="480"/>
      <c r="G406" s="430"/>
      <c r="H406" s="480"/>
      <c r="I406" s="480"/>
      <c r="J406" s="430"/>
      <c r="K406" s="480"/>
      <c r="L406" s="430"/>
      <c r="M406" s="480"/>
      <c r="N406" s="430"/>
      <c r="O406" s="480"/>
      <c r="P406" s="430"/>
      <c r="Q406" s="480"/>
    </row>
    <row r="407" ht="15.75" customHeight="1">
      <c r="A407" s="430"/>
      <c r="B407" s="480"/>
      <c r="C407" s="480"/>
      <c r="D407" s="430"/>
      <c r="E407" s="480"/>
      <c r="F407" s="480"/>
      <c r="G407" s="430"/>
      <c r="H407" s="480"/>
      <c r="I407" s="480"/>
      <c r="J407" s="430"/>
      <c r="K407" s="480"/>
      <c r="L407" s="430"/>
      <c r="M407" s="480"/>
      <c r="N407" s="430"/>
      <c r="O407" s="480"/>
      <c r="P407" s="430"/>
      <c r="Q407" s="480"/>
    </row>
    <row r="408" ht="15.75" customHeight="1">
      <c r="A408" s="430"/>
      <c r="B408" s="480"/>
      <c r="C408" s="480"/>
      <c r="D408" s="430"/>
      <c r="E408" s="480"/>
      <c r="F408" s="480"/>
      <c r="G408" s="430"/>
      <c r="H408" s="480"/>
      <c r="I408" s="480"/>
      <c r="J408" s="430"/>
      <c r="K408" s="480"/>
      <c r="L408" s="430"/>
      <c r="M408" s="480"/>
      <c r="N408" s="430"/>
      <c r="O408" s="480"/>
      <c r="P408" s="430"/>
      <c r="Q408" s="480"/>
    </row>
    <row r="409" ht="15.75" customHeight="1">
      <c r="A409" s="430"/>
      <c r="B409" s="480"/>
      <c r="C409" s="480"/>
      <c r="D409" s="430"/>
      <c r="E409" s="480"/>
      <c r="F409" s="480"/>
      <c r="G409" s="430"/>
      <c r="H409" s="480"/>
      <c r="I409" s="480"/>
      <c r="J409" s="430"/>
      <c r="K409" s="480"/>
      <c r="L409" s="430"/>
      <c r="M409" s="480"/>
      <c r="N409" s="430"/>
      <c r="O409" s="480"/>
      <c r="P409" s="430"/>
      <c r="Q409" s="480"/>
    </row>
    <row r="410" ht="15.75" customHeight="1">
      <c r="A410" s="430"/>
      <c r="B410" s="480"/>
      <c r="C410" s="480"/>
      <c r="D410" s="430"/>
      <c r="E410" s="480"/>
      <c r="F410" s="480"/>
      <c r="G410" s="430"/>
      <c r="H410" s="480"/>
      <c r="I410" s="480"/>
      <c r="J410" s="430"/>
      <c r="K410" s="480"/>
      <c r="L410" s="430"/>
      <c r="M410" s="480"/>
      <c r="N410" s="430"/>
      <c r="O410" s="480"/>
      <c r="P410" s="430"/>
      <c r="Q410" s="480"/>
    </row>
    <row r="411" ht="15.75" customHeight="1">
      <c r="A411" s="430"/>
      <c r="B411" s="480"/>
      <c r="C411" s="480"/>
      <c r="D411" s="430"/>
      <c r="E411" s="480"/>
      <c r="F411" s="480"/>
      <c r="G411" s="430"/>
      <c r="H411" s="480"/>
      <c r="I411" s="480"/>
      <c r="J411" s="430"/>
      <c r="K411" s="480"/>
      <c r="L411" s="430"/>
      <c r="M411" s="480"/>
      <c r="N411" s="430"/>
      <c r="O411" s="480"/>
      <c r="P411" s="430"/>
      <c r="Q411" s="480"/>
    </row>
    <row r="412" ht="15.75" customHeight="1">
      <c r="A412" s="430"/>
      <c r="B412" s="480"/>
      <c r="C412" s="480"/>
      <c r="D412" s="430"/>
      <c r="E412" s="480"/>
      <c r="F412" s="480"/>
      <c r="G412" s="430"/>
      <c r="H412" s="480"/>
      <c r="I412" s="480"/>
      <c r="J412" s="430"/>
      <c r="K412" s="480"/>
      <c r="L412" s="430"/>
      <c r="M412" s="480"/>
      <c r="N412" s="430"/>
      <c r="O412" s="480"/>
      <c r="P412" s="430"/>
      <c r="Q412" s="480"/>
    </row>
    <row r="413" ht="15.75" customHeight="1">
      <c r="A413" s="430"/>
      <c r="B413" s="480"/>
      <c r="C413" s="480"/>
      <c r="D413" s="430"/>
      <c r="E413" s="480"/>
      <c r="F413" s="480"/>
      <c r="G413" s="430"/>
      <c r="H413" s="480"/>
      <c r="I413" s="480"/>
      <c r="J413" s="430"/>
      <c r="K413" s="480"/>
      <c r="L413" s="430"/>
      <c r="M413" s="480"/>
      <c r="N413" s="430"/>
      <c r="O413" s="480"/>
      <c r="P413" s="430"/>
      <c r="Q413" s="480"/>
    </row>
    <row r="414" ht="15.75" customHeight="1">
      <c r="A414" s="430"/>
      <c r="B414" s="480"/>
      <c r="C414" s="480"/>
      <c r="D414" s="430"/>
      <c r="E414" s="480"/>
      <c r="F414" s="480"/>
      <c r="G414" s="430"/>
      <c r="H414" s="480"/>
      <c r="I414" s="480"/>
      <c r="J414" s="430"/>
      <c r="K414" s="480"/>
      <c r="L414" s="430"/>
      <c r="M414" s="480"/>
      <c r="N414" s="430"/>
      <c r="O414" s="480"/>
      <c r="P414" s="430"/>
      <c r="Q414" s="480"/>
    </row>
    <row r="415" ht="15.75" customHeight="1">
      <c r="A415" s="430"/>
      <c r="B415" s="480"/>
      <c r="C415" s="480"/>
      <c r="D415" s="430"/>
      <c r="E415" s="480"/>
      <c r="F415" s="480"/>
      <c r="G415" s="430"/>
      <c r="H415" s="480"/>
      <c r="I415" s="480"/>
      <c r="J415" s="430"/>
      <c r="K415" s="480"/>
      <c r="L415" s="430"/>
      <c r="M415" s="480"/>
      <c r="N415" s="430"/>
      <c r="O415" s="480"/>
      <c r="P415" s="430"/>
      <c r="Q415" s="480"/>
    </row>
    <row r="416" ht="15.75" customHeight="1">
      <c r="A416" s="430"/>
      <c r="B416" s="480"/>
      <c r="C416" s="480"/>
      <c r="D416" s="430"/>
      <c r="E416" s="480"/>
      <c r="F416" s="480"/>
      <c r="G416" s="430"/>
      <c r="H416" s="480"/>
      <c r="I416" s="480"/>
      <c r="J416" s="430"/>
      <c r="K416" s="480"/>
      <c r="L416" s="430"/>
      <c r="M416" s="480"/>
      <c r="N416" s="430"/>
      <c r="O416" s="480"/>
      <c r="P416" s="430"/>
      <c r="Q416" s="480"/>
    </row>
    <row r="417" ht="15.75" customHeight="1">
      <c r="A417" s="430"/>
      <c r="B417" s="480"/>
      <c r="C417" s="480"/>
      <c r="D417" s="430"/>
      <c r="E417" s="480"/>
      <c r="F417" s="480"/>
      <c r="G417" s="430"/>
      <c r="H417" s="480"/>
      <c r="I417" s="480"/>
      <c r="J417" s="430"/>
      <c r="K417" s="480"/>
      <c r="L417" s="430"/>
      <c r="M417" s="480"/>
      <c r="N417" s="430"/>
      <c r="O417" s="480"/>
      <c r="P417" s="430"/>
      <c r="Q417" s="480"/>
    </row>
    <row r="418" ht="15.75" customHeight="1">
      <c r="A418" s="430"/>
      <c r="B418" s="480"/>
      <c r="C418" s="480"/>
      <c r="D418" s="430"/>
      <c r="E418" s="480"/>
      <c r="F418" s="480"/>
      <c r="G418" s="430"/>
      <c r="H418" s="480"/>
      <c r="I418" s="480"/>
      <c r="J418" s="430"/>
      <c r="K418" s="480"/>
      <c r="L418" s="430"/>
      <c r="M418" s="480"/>
      <c r="N418" s="430"/>
      <c r="O418" s="480"/>
      <c r="P418" s="430"/>
      <c r="Q418" s="480"/>
    </row>
    <row r="419" ht="15.75" customHeight="1">
      <c r="A419" s="430"/>
      <c r="B419" s="480"/>
      <c r="C419" s="480"/>
      <c r="D419" s="430"/>
      <c r="E419" s="480"/>
      <c r="F419" s="480"/>
      <c r="G419" s="430"/>
      <c r="H419" s="480"/>
      <c r="I419" s="480"/>
      <c r="J419" s="430"/>
      <c r="K419" s="480"/>
      <c r="L419" s="430"/>
      <c r="M419" s="480"/>
      <c r="N419" s="430"/>
      <c r="O419" s="480"/>
      <c r="P419" s="430"/>
      <c r="Q419" s="480"/>
    </row>
    <row r="420" ht="15.75" customHeight="1">
      <c r="A420" s="430"/>
      <c r="B420" s="480"/>
      <c r="C420" s="480"/>
      <c r="D420" s="430"/>
      <c r="E420" s="480"/>
      <c r="F420" s="480"/>
      <c r="G420" s="430"/>
      <c r="H420" s="480"/>
      <c r="I420" s="480"/>
      <c r="J420" s="430"/>
      <c r="K420" s="480"/>
      <c r="L420" s="430"/>
      <c r="M420" s="480"/>
      <c r="N420" s="430"/>
      <c r="O420" s="480"/>
      <c r="P420" s="430"/>
      <c r="Q420" s="480"/>
    </row>
    <row r="421" ht="15.75" customHeight="1">
      <c r="A421" s="430"/>
      <c r="B421" s="480"/>
      <c r="C421" s="480"/>
      <c r="D421" s="430"/>
      <c r="E421" s="480"/>
      <c r="F421" s="480"/>
      <c r="G421" s="430"/>
      <c r="H421" s="480"/>
      <c r="I421" s="480"/>
      <c r="J421" s="430"/>
      <c r="K421" s="480"/>
      <c r="L421" s="430"/>
      <c r="M421" s="480"/>
      <c r="N421" s="430"/>
      <c r="O421" s="480"/>
      <c r="P421" s="430"/>
      <c r="Q421" s="480"/>
    </row>
    <row r="422" ht="15.75" customHeight="1">
      <c r="A422" s="430"/>
      <c r="B422" s="480"/>
      <c r="C422" s="480"/>
      <c r="D422" s="430"/>
      <c r="E422" s="480"/>
      <c r="F422" s="480"/>
      <c r="G422" s="430"/>
      <c r="H422" s="480"/>
      <c r="I422" s="480"/>
      <c r="J422" s="430"/>
      <c r="K422" s="480"/>
      <c r="L422" s="430"/>
      <c r="M422" s="480"/>
      <c r="N422" s="430"/>
      <c r="O422" s="480"/>
      <c r="P422" s="430"/>
      <c r="Q422" s="480"/>
    </row>
    <row r="423" ht="15.75" customHeight="1">
      <c r="A423" s="430"/>
      <c r="B423" s="480"/>
      <c r="C423" s="480"/>
      <c r="D423" s="430"/>
      <c r="E423" s="480"/>
      <c r="F423" s="480"/>
      <c r="G423" s="430"/>
      <c r="H423" s="480"/>
      <c r="I423" s="480"/>
      <c r="J423" s="430"/>
      <c r="K423" s="480"/>
      <c r="L423" s="430"/>
      <c r="M423" s="480"/>
      <c r="N423" s="430"/>
      <c r="O423" s="480"/>
      <c r="P423" s="430"/>
      <c r="Q423" s="480"/>
    </row>
    <row r="424" ht="15.75" customHeight="1">
      <c r="A424" s="430"/>
      <c r="B424" s="480"/>
      <c r="C424" s="480"/>
      <c r="D424" s="430"/>
      <c r="E424" s="480"/>
      <c r="F424" s="480"/>
      <c r="G424" s="430"/>
      <c r="H424" s="480"/>
      <c r="I424" s="480"/>
      <c r="J424" s="430"/>
      <c r="K424" s="480"/>
      <c r="L424" s="430"/>
      <c r="M424" s="480"/>
      <c r="N424" s="430"/>
      <c r="O424" s="480"/>
      <c r="P424" s="430"/>
      <c r="Q424" s="480"/>
    </row>
    <row r="425" ht="15.75" customHeight="1">
      <c r="A425" s="430"/>
      <c r="B425" s="480"/>
      <c r="C425" s="480"/>
      <c r="D425" s="430"/>
      <c r="E425" s="480"/>
      <c r="F425" s="480"/>
      <c r="G425" s="430"/>
      <c r="H425" s="480"/>
      <c r="I425" s="480"/>
      <c r="J425" s="430"/>
      <c r="K425" s="480"/>
      <c r="L425" s="430"/>
      <c r="M425" s="480"/>
      <c r="N425" s="430"/>
      <c r="O425" s="480"/>
      <c r="P425" s="430"/>
      <c r="Q425" s="480"/>
    </row>
    <row r="426" ht="15.75" customHeight="1">
      <c r="A426" s="430"/>
      <c r="B426" s="480"/>
      <c r="C426" s="480"/>
      <c r="D426" s="430"/>
      <c r="E426" s="480"/>
      <c r="F426" s="480"/>
      <c r="G426" s="430"/>
      <c r="H426" s="480"/>
      <c r="I426" s="480"/>
      <c r="J426" s="430"/>
      <c r="K426" s="480"/>
      <c r="L426" s="430"/>
      <c r="M426" s="480"/>
      <c r="N426" s="430"/>
      <c r="O426" s="480"/>
      <c r="P426" s="430"/>
      <c r="Q426" s="480"/>
    </row>
    <row r="427" ht="15.75" customHeight="1">
      <c r="A427" s="430"/>
      <c r="B427" s="480"/>
      <c r="C427" s="480"/>
      <c r="D427" s="430"/>
      <c r="E427" s="480"/>
      <c r="F427" s="480"/>
      <c r="G427" s="430"/>
      <c r="H427" s="480"/>
      <c r="I427" s="480"/>
      <c r="J427" s="430"/>
      <c r="K427" s="480"/>
      <c r="L427" s="430"/>
      <c r="M427" s="480"/>
      <c r="N427" s="430"/>
      <c r="O427" s="480"/>
      <c r="P427" s="430"/>
      <c r="Q427" s="480"/>
    </row>
    <row r="428" ht="15.75" customHeight="1">
      <c r="A428" s="430"/>
      <c r="B428" s="480"/>
      <c r="C428" s="480"/>
      <c r="D428" s="430"/>
      <c r="E428" s="480"/>
      <c r="F428" s="480"/>
      <c r="G428" s="430"/>
      <c r="H428" s="480"/>
      <c r="I428" s="480"/>
      <c r="J428" s="430"/>
      <c r="K428" s="480"/>
      <c r="L428" s="430"/>
      <c r="M428" s="480"/>
      <c r="N428" s="430"/>
      <c r="O428" s="480"/>
      <c r="P428" s="430"/>
      <c r="Q428" s="480"/>
    </row>
    <row r="429" ht="15.75" customHeight="1">
      <c r="A429" s="430"/>
      <c r="B429" s="480"/>
      <c r="C429" s="480"/>
      <c r="D429" s="430"/>
      <c r="E429" s="480"/>
      <c r="F429" s="480"/>
      <c r="G429" s="430"/>
      <c r="H429" s="480"/>
      <c r="I429" s="480"/>
      <c r="J429" s="430"/>
      <c r="K429" s="480"/>
      <c r="L429" s="430"/>
      <c r="M429" s="480"/>
      <c r="N429" s="430"/>
      <c r="O429" s="480"/>
      <c r="P429" s="430"/>
      <c r="Q429" s="480"/>
    </row>
    <row r="430" ht="15.75" customHeight="1">
      <c r="A430" s="430"/>
      <c r="B430" s="480"/>
      <c r="C430" s="480"/>
      <c r="D430" s="430"/>
      <c r="E430" s="480"/>
      <c r="F430" s="480"/>
      <c r="G430" s="430"/>
      <c r="H430" s="480"/>
      <c r="I430" s="480"/>
      <c r="J430" s="430"/>
      <c r="K430" s="480"/>
      <c r="L430" s="430"/>
      <c r="M430" s="480"/>
      <c r="N430" s="430"/>
      <c r="O430" s="480"/>
      <c r="P430" s="430"/>
      <c r="Q430" s="480"/>
    </row>
    <row r="431" ht="15.75" customHeight="1">
      <c r="A431" s="430"/>
      <c r="B431" s="480"/>
      <c r="C431" s="480"/>
      <c r="D431" s="430"/>
      <c r="E431" s="480"/>
      <c r="F431" s="480"/>
      <c r="G431" s="430"/>
      <c r="H431" s="480"/>
      <c r="I431" s="480"/>
      <c r="J431" s="430"/>
      <c r="K431" s="480"/>
      <c r="L431" s="430"/>
      <c r="M431" s="480"/>
      <c r="N431" s="430"/>
      <c r="O431" s="480"/>
      <c r="P431" s="430"/>
      <c r="Q431" s="480"/>
    </row>
    <row r="432" ht="15.75" customHeight="1">
      <c r="A432" s="430"/>
      <c r="B432" s="480"/>
      <c r="C432" s="480"/>
      <c r="D432" s="430"/>
      <c r="E432" s="480"/>
      <c r="F432" s="480"/>
      <c r="G432" s="430"/>
      <c r="H432" s="480"/>
      <c r="I432" s="480"/>
      <c r="J432" s="430"/>
      <c r="K432" s="480"/>
      <c r="L432" s="430"/>
      <c r="M432" s="480"/>
      <c r="N432" s="430"/>
      <c r="O432" s="480"/>
      <c r="P432" s="430"/>
      <c r="Q432" s="480"/>
    </row>
    <row r="433" ht="15.75" customHeight="1">
      <c r="A433" s="430"/>
      <c r="B433" s="480"/>
      <c r="C433" s="480"/>
      <c r="D433" s="430"/>
      <c r="E433" s="480"/>
      <c r="F433" s="480"/>
      <c r="G433" s="430"/>
      <c r="H433" s="480"/>
      <c r="I433" s="480"/>
      <c r="J433" s="430"/>
      <c r="K433" s="480"/>
      <c r="L433" s="430"/>
      <c r="M433" s="480"/>
      <c r="N433" s="430"/>
      <c r="O433" s="480"/>
      <c r="P433" s="430"/>
      <c r="Q433" s="480"/>
    </row>
    <row r="434" ht="15.75" customHeight="1">
      <c r="A434" s="430"/>
      <c r="B434" s="480"/>
      <c r="C434" s="480"/>
      <c r="D434" s="430"/>
      <c r="E434" s="480"/>
      <c r="F434" s="480"/>
      <c r="G434" s="430"/>
      <c r="H434" s="480"/>
      <c r="I434" s="480"/>
      <c r="J434" s="430"/>
      <c r="K434" s="480"/>
      <c r="L434" s="430"/>
      <c r="M434" s="480"/>
      <c r="N434" s="430"/>
      <c r="O434" s="480"/>
      <c r="P434" s="430"/>
      <c r="Q434" s="480"/>
    </row>
    <row r="435" ht="15.75" customHeight="1">
      <c r="A435" s="430"/>
      <c r="B435" s="480"/>
      <c r="C435" s="480"/>
      <c r="D435" s="430"/>
      <c r="E435" s="480"/>
      <c r="F435" s="480"/>
      <c r="G435" s="430"/>
      <c r="H435" s="480"/>
      <c r="I435" s="480"/>
      <c r="J435" s="430"/>
      <c r="K435" s="480"/>
      <c r="L435" s="430"/>
      <c r="M435" s="480"/>
      <c r="N435" s="430"/>
      <c r="O435" s="480"/>
      <c r="P435" s="430"/>
      <c r="Q435" s="480"/>
    </row>
    <row r="436" ht="15.75" customHeight="1">
      <c r="A436" s="430"/>
      <c r="B436" s="480"/>
      <c r="C436" s="480"/>
      <c r="D436" s="430"/>
      <c r="E436" s="480"/>
      <c r="F436" s="480"/>
      <c r="G436" s="430"/>
      <c r="H436" s="480"/>
      <c r="I436" s="480"/>
      <c r="J436" s="430"/>
      <c r="K436" s="480"/>
      <c r="L436" s="430"/>
      <c r="M436" s="480"/>
      <c r="N436" s="430"/>
      <c r="O436" s="480"/>
      <c r="P436" s="430"/>
      <c r="Q436" s="480"/>
    </row>
    <row r="437" ht="15.75" customHeight="1">
      <c r="A437" s="430"/>
      <c r="B437" s="480"/>
      <c r="C437" s="480"/>
      <c r="D437" s="430"/>
      <c r="E437" s="480"/>
      <c r="F437" s="480"/>
      <c r="G437" s="430"/>
      <c r="H437" s="480"/>
      <c r="I437" s="480"/>
      <c r="J437" s="430"/>
      <c r="K437" s="480"/>
      <c r="L437" s="430"/>
      <c r="M437" s="480"/>
      <c r="N437" s="430"/>
      <c r="O437" s="480"/>
      <c r="P437" s="430"/>
      <c r="Q437" s="480"/>
    </row>
    <row r="438" ht="15.75" customHeight="1">
      <c r="A438" s="430"/>
      <c r="B438" s="480"/>
      <c r="C438" s="480"/>
      <c r="D438" s="430"/>
      <c r="E438" s="480"/>
      <c r="F438" s="480"/>
      <c r="G438" s="430"/>
      <c r="H438" s="480"/>
      <c r="I438" s="480"/>
      <c r="J438" s="430"/>
      <c r="K438" s="480"/>
      <c r="L438" s="430"/>
      <c r="M438" s="480"/>
      <c r="N438" s="430"/>
      <c r="O438" s="480"/>
      <c r="P438" s="430"/>
      <c r="Q438" s="480"/>
    </row>
    <row r="439" ht="15.75" customHeight="1">
      <c r="A439" s="430"/>
      <c r="B439" s="480"/>
      <c r="C439" s="480"/>
      <c r="D439" s="430"/>
      <c r="E439" s="480"/>
      <c r="F439" s="480"/>
      <c r="G439" s="430"/>
      <c r="H439" s="480"/>
      <c r="I439" s="480"/>
      <c r="J439" s="430"/>
      <c r="K439" s="480"/>
      <c r="L439" s="430"/>
      <c r="M439" s="480"/>
      <c r="N439" s="430"/>
      <c r="O439" s="480"/>
      <c r="P439" s="430"/>
      <c r="Q439" s="480"/>
    </row>
    <row r="440" ht="15.75" customHeight="1">
      <c r="A440" s="430"/>
      <c r="B440" s="480"/>
      <c r="C440" s="480"/>
      <c r="D440" s="430"/>
      <c r="E440" s="480"/>
      <c r="F440" s="480"/>
      <c r="G440" s="430"/>
      <c r="H440" s="480"/>
      <c r="I440" s="480"/>
      <c r="J440" s="430"/>
      <c r="K440" s="480"/>
      <c r="L440" s="430"/>
      <c r="M440" s="480"/>
      <c r="N440" s="430"/>
      <c r="O440" s="480"/>
      <c r="P440" s="430"/>
      <c r="Q440" s="480"/>
    </row>
    <row r="441" ht="15.75" customHeight="1">
      <c r="A441" s="430"/>
      <c r="B441" s="480"/>
      <c r="C441" s="480"/>
      <c r="D441" s="430"/>
      <c r="E441" s="480"/>
      <c r="F441" s="480"/>
      <c r="G441" s="430"/>
      <c r="H441" s="480"/>
      <c r="I441" s="480"/>
      <c r="J441" s="430"/>
      <c r="K441" s="480"/>
      <c r="L441" s="430"/>
      <c r="M441" s="480"/>
      <c r="N441" s="430"/>
      <c r="O441" s="480"/>
      <c r="P441" s="430"/>
      <c r="Q441" s="480"/>
    </row>
    <row r="442" ht="15.75" customHeight="1">
      <c r="A442" s="430"/>
      <c r="B442" s="480"/>
      <c r="C442" s="480"/>
      <c r="D442" s="430"/>
      <c r="E442" s="480"/>
      <c r="F442" s="480"/>
      <c r="G442" s="430"/>
      <c r="H442" s="480"/>
      <c r="I442" s="480"/>
      <c r="J442" s="430"/>
      <c r="K442" s="480"/>
      <c r="L442" s="430"/>
      <c r="M442" s="480"/>
      <c r="N442" s="430"/>
      <c r="O442" s="480"/>
      <c r="P442" s="430"/>
      <c r="Q442" s="480"/>
    </row>
    <row r="443" ht="15.75" customHeight="1">
      <c r="A443" s="430"/>
      <c r="B443" s="480"/>
      <c r="C443" s="480"/>
      <c r="D443" s="430"/>
      <c r="E443" s="480"/>
      <c r="F443" s="480"/>
      <c r="G443" s="430"/>
      <c r="H443" s="480"/>
      <c r="I443" s="480"/>
      <c r="J443" s="430"/>
      <c r="K443" s="480"/>
      <c r="L443" s="430"/>
      <c r="M443" s="480"/>
      <c r="N443" s="430"/>
      <c r="O443" s="480"/>
      <c r="P443" s="430"/>
      <c r="Q443" s="480"/>
    </row>
    <row r="444" ht="15.75" customHeight="1">
      <c r="A444" s="430"/>
      <c r="B444" s="480"/>
      <c r="C444" s="480"/>
      <c r="D444" s="430"/>
      <c r="E444" s="480"/>
      <c r="F444" s="480"/>
      <c r="G444" s="430"/>
      <c r="H444" s="480"/>
      <c r="I444" s="480"/>
      <c r="J444" s="430"/>
      <c r="K444" s="480"/>
      <c r="L444" s="430"/>
      <c r="M444" s="480"/>
      <c r="N444" s="430"/>
      <c r="O444" s="480"/>
      <c r="P444" s="430"/>
      <c r="Q444" s="480"/>
    </row>
    <row r="445" ht="15.75" customHeight="1">
      <c r="A445" s="430"/>
      <c r="B445" s="480"/>
      <c r="C445" s="480"/>
      <c r="D445" s="430"/>
      <c r="E445" s="480"/>
      <c r="F445" s="480"/>
      <c r="G445" s="430"/>
      <c r="H445" s="480"/>
      <c r="I445" s="480"/>
      <c r="J445" s="430"/>
      <c r="K445" s="480"/>
      <c r="L445" s="430"/>
      <c r="M445" s="480"/>
      <c r="N445" s="430"/>
      <c r="O445" s="480"/>
      <c r="P445" s="430"/>
      <c r="Q445" s="480"/>
    </row>
    <row r="446" ht="15.75" customHeight="1">
      <c r="A446" s="430"/>
      <c r="B446" s="480"/>
      <c r="C446" s="480"/>
      <c r="D446" s="430"/>
      <c r="E446" s="480"/>
      <c r="F446" s="480"/>
      <c r="G446" s="430"/>
      <c r="H446" s="480"/>
      <c r="I446" s="480"/>
      <c r="J446" s="430"/>
      <c r="K446" s="480"/>
      <c r="L446" s="430"/>
      <c r="M446" s="480"/>
      <c r="N446" s="430"/>
      <c r="O446" s="480"/>
      <c r="P446" s="430"/>
      <c r="Q446" s="480"/>
    </row>
    <row r="447" ht="15.75" customHeight="1">
      <c r="A447" s="430"/>
      <c r="B447" s="480"/>
      <c r="C447" s="480"/>
      <c r="D447" s="430"/>
      <c r="E447" s="480"/>
      <c r="F447" s="480"/>
      <c r="G447" s="430"/>
      <c r="H447" s="480"/>
      <c r="I447" s="480"/>
      <c r="J447" s="430"/>
      <c r="K447" s="480"/>
      <c r="L447" s="430"/>
      <c r="M447" s="480"/>
      <c r="N447" s="430"/>
      <c r="O447" s="480"/>
      <c r="P447" s="430"/>
      <c r="Q447" s="480"/>
    </row>
    <row r="448" ht="15.75" customHeight="1">
      <c r="A448" s="430"/>
      <c r="B448" s="480"/>
      <c r="C448" s="480"/>
      <c r="D448" s="430"/>
      <c r="E448" s="480"/>
      <c r="F448" s="480"/>
      <c r="G448" s="430"/>
      <c r="H448" s="480"/>
      <c r="I448" s="480"/>
      <c r="J448" s="430"/>
      <c r="K448" s="480"/>
      <c r="L448" s="430"/>
      <c r="M448" s="480"/>
      <c r="N448" s="430"/>
      <c r="O448" s="480"/>
      <c r="P448" s="430"/>
      <c r="Q448" s="480"/>
    </row>
    <row r="449" ht="15.75" customHeight="1">
      <c r="A449" s="430"/>
      <c r="B449" s="480"/>
      <c r="C449" s="480"/>
      <c r="D449" s="430"/>
      <c r="E449" s="480"/>
      <c r="F449" s="480"/>
      <c r="G449" s="430"/>
      <c r="H449" s="480"/>
      <c r="I449" s="480"/>
      <c r="J449" s="430"/>
      <c r="K449" s="480"/>
      <c r="L449" s="430"/>
      <c r="M449" s="480"/>
      <c r="N449" s="430"/>
      <c r="O449" s="480"/>
      <c r="P449" s="430"/>
      <c r="Q449" s="480"/>
    </row>
    <row r="450" ht="15.75" customHeight="1">
      <c r="A450" s="430"/>
      <c r="B450" s="480"/>
      <c r="C450" s="480"/>
      <c r="D450" s="430"/>
      <c r="E450" s="480"/>
      <c r="F450" s="480"/>
      <c r="G450" s="430"/>
      <c r="H450" s="480"/>
      <c r="I450" s="480"/>
      <c r="J450" s="430"/>
      <c r="K450" s="480"/>
      <c r="L450" s="430"/>
      <c r="M450" s="480"/>
      <c r="N450" s="430"/>
      <c r="O450" s="480"/>
      <c r="P450" s="430"/>
      <c r="Q450" s="480"/>
    </row>
    <row r="451" ht="15.75" customHeight="1">
      <c r="A451" s="430"/>
      <c r="B451" s="480"/>
      <c r="C451" s="480"/>
      <c r="D451" s="430"/>
      <c r="E451" s="480"/>
      <c r="F451" s="480"/>
      <c r="G451" s="430"/>
      <c r="H451" s="480"/>
      <c r="I451" s="480"/>
      <c r="J451" s="430"/>
      <c r="K451" s="480"/>
      <c r="L451" s="430"/>
      <c r="M451" s="480"/>
      <c r="N451" s="430"/>
      <c r="O451" s="480"/>
      <c r="P451" s="430"/>
      <c r="Q451" s="480"/>
    </row>
    <row r="452" ht="15.75" customHeight="1">
      <c r="A452" s="430"/>
      <c r="B452" s="480"/>
      <c r="C452" s="480"/>
      <c r="D452" s="430"/>
      <c r="E452" s="480"/>
      <c r="F452" s="480"/>
      <c r="G452" s="430"/>
      <c r="H452" s="480"/>
      <c r="I452" s="480"/>
      <c r="J452" s="430"/>
      <c r="K452" s="480"/>
      <c r="L452" s="430"/>
      <c r="M452" s="480"/>
      <c r="N452" s="430"/>
      <c r="O452" s="480"/>
      <c r="P452" s="430"/>
      <c r="Q452" s="480"/>
    </row>
    <row r="453" ht="15.75" customHeight="1">
      <c r="A453" s="430"/>
      <c r="B453" s="480"/>
      <c r="C453" s="480"/>
      <c r="D453" s="430"/>
      <c r="E453" s="480"/>
      <c r="F453" s="480"/>
      <c r="G453" s="430"/>
      <c r="H453" s="480"/>
      <c r="I453" s="480"/>
      <c r="J453" s="430"/>
      <c r="K453" s="480"/>
      <c r="L453" s="430"/>
      <c r="M453" s="480"/>
      <c r="N453" s="430"/>
      <c r="O453" s="480"/>
      <c r="P453" s="430"/>
      <c r="Q453" s="480"/>
    </row>
    <row r="454" ht="15.75" customHeight="1">
      <c r="A454" s="430"/>
      <c r="B454" s="480"/>
      <c r="C454" s="480"/>
      <c r="D454" s="430"/>
      <c r="E454" s="480"/>
      <c r="F454" s="480"/>
      <c r="G454" s="430"/>
      <c r="H454" s="480"/>
      <c r="I454" s="480"/>
      <c r="J454" s="430"/>
      <c r="K454" s="480"/>
      <c r="L454" s="430"/>
      <c r="M454" s="480"/>
      <c r="N454" s="430"/>
      <c r="O454" s="480"/>
      <c r="P454" s="430"/>
      <c r="Q454" s="480"/>
    </row>
    <row r="455" ht="15.75" customHeight="1">
      <c r="A455" s="430"/>
      <c r="B455" s="480"/>
      <c r="C455" s="480"/>
      <c r="D455" s="430"/>
      <c r="E455" s="480"/>
      <c r="F455" s="480"/>
      <c r="G455" s="430"/>
      <c r="H455" s="480"/>
      <c r="I455" s="480"/>
      <c r="J455" s="430"/>
      <c r="K455" s="480"/>
      <c r="L455" s="430"/>
      <c r="M455" s="480"/>
      <c r="N455" s="430"/>
      <c r="O455" s="480"/>
      <c r="P455" s="430"/>
      <c r="Q455" s="480"/>
    </row>
    <row r="456" ht="15.75" customHeight="1">
      <c r="A456" s="430"/>
      <c r="B456" s="480"/>
      <c r="C456" s="480"/>
      <c r="D456" s="430"/>
      <c r="E456" s="480"/>
      <c r="F456" s="480"/>
      <c r="G456" s="430"/>
      <c r="H456" s="480"/>
      <c r="I456" s="480"/>
      <c r="J456" s="430"/>
      <c r="K456" s="480"/>
      <c r="L456" s="430"/>
      <c r="M456" s="480"/>
      <c r="N456" s="430"/>
      <c r="O456" s="480"/>
      <c r="P456" s="430"/>
      <c r="Q456" s="480"/>
    </row>
    <row r="457" ht="15.75" customHeight="1">
      <c r="A457" s="430"/>
      <c r="B457" s="480"/>
      <c r="C457" s="480"/>
      <c r="D457" s="430"/>
      <c r="E457" s="480"/>
      <c r="F457" s="480"/>
      <c r="G457" s="430"/>
      <c r="H457" s="480"/>
      <c r="I457" s="480"/>
      <c r="J457" s="430"/>
      <c r="K457" s="480"/>
      <c r="L457" s="430"/>
      <c r="M457" s="480"/>
      <c r="N457" s="430"/>
      <c r="O457" s="480"/>
      <c r="P457" s="430"/>
      <c r="Q457" s="480"/>
    </row>
    <row r="458" ht="15.75" customHeight="1">
      <c r="A458" s="430"/>
      <c r="B458" s="480"/>
      <c r="C458" s="480"/>
      <c r="D458" s="430"/>
      <c r="E458" s="480"/>
      <c r="F458" s="480"/>
      <c r="G458" s="430"/>
      <c r="H458" s="480"/>
      <c r="I458" s="480"/>
      <c r="J458" s="430"/>
      <c r="K458" s="480"/>
      <c r="L458" s="430"/>
      <c r="M458" s="480"/>
      <c r="N458" s="430"/>
      <c r="O458" s="480"/>
      <c r="P458" s="430"/>
      <c r="Q458" s="480"/>
    </row>
    <row r="459" ht="15.75" customHeight="1">
      <c r="A459" s="430"/>
      <c r="B459" s="480"/>
      <c r="C459" s="480"/>
      <c r="D459" s="430"/>
      <c r="E459" s="480"/>
      <c r="F459" s="480"/>
      <c r="G459" s="430"/>
      <c r="H459" s="480"/>
      <c r="I459" s="480"/>
      <c r="J459" s="430"/>
      <c r="K459" s="480"/>
      <c r="L459" s="430"/>
      <c r="M459" s="480"/>
      <c r="N459" s="430"/>
      <c r="O459" s="480"/>
      <c r="P459" s="430"/>
      <c r="Q459" s="480"/>
    </row>
    <row r="460" ht="15.75" customHeight="1">
      <c r="A460" s="430"/>
      <c r="B460" s="480"/>
      <c r="C460" s="480"/>
      <c r="D460" s="430"/>
      <c r="E460" s="480"/>
      <c r="F460" s="480"/>
      <c r="G460" s="430"/>
      <c r="H460" s="480"/>
      <c r="I460" s="480"/>
      <c r="J460" s="430"/>
      <c r="K460" s="480"/>
      <c r="L460" s="430"/>
      <c r="M460" s="480"/>
      <c r="N460" s="430"/>
      <c r="O460" s="480"/>
      <c r="P460" s="430"/>
      <c r="Q460" s="480"/>
    </row>
    <row r="461" ht="15.75" customHeight="1">
      <c r="A461" s="430"/>
      <c r="B461" s="480"/>
      <c r="C461" s="480"/>
      <c r="D461" s="430"/>
      <c r="E461" s="480"/>
      <c r="F461" s="480"/>
      <c r="G461" s="430"/>
      <c r="H461" s="480"/>
      <c r="I461" s="480"/>
      <c r="J461" s="430"/>
      <c r="K461" s="480"/>
      <c r="L461" s="430"/>
      <c r="M461" s="480"/>
      <c r="N461" s="430"/>
      <c r="O461" s="480"/>
      <c r="P461" s="430"/>
      <c r="Q461" s="480"/>
    </row>
    <row r="462" ht="15.75" customHeight="1">
      <c r="A462" s="430"/>
      <c r="B462" s="480"/>
      <c r="C462" s="480"/>
      <c r="D462" s="430"/>
      <c r="E462" s="480"/>
      <c r="F462" s="480"/>
      <c r="G462" s="430"/>
      <c r="H462" s="480"/>
      <c r="I462" s="480"/>
      <c r="J462" s="430"/>
      <c r="K462" s="480"/>
      <c r="L462" s="430"/>
      <c r="M462" s="480"/>
      <c r="N462" s="430"/>
      <c r="O462" s="480"/>
      <c r="P462" s="430"/>
      <c r="Q462" s="480"/>
    </row>
    <row r="463" ht="15.75" customHeight="1">
      <c r="A463" s="430"/>
      <c r="B463" s="480"/>
      <c r="C463" s="480"/>
      <c r="D463" s="430"/>
      <c r="E463" s="480"/>
      <c r="F463" s="480"/>
      <c r="G463" s="430"/>
      <c r="H463" s="480"/>
      <c r="I463" s="480"/>
      <c r="J463" s="430"/>
      <c r="K463" s="480"/>
      <c r="L463" s="430"/>
      <c r="M463" s="480"/>
      <c r="N463" s="430"/>
      <c r="O463" s="480"/>
      <c r="P463" s="430"/>
      <c r="Q463" s="480"/>
    </row>
    <row r="464" ht="15.75" customHeight="1">
      <c r="A464" s="430"/>
      <c r="B464" s="480"/>
      <c r="C464" s="480"/>
      <c r="D464" s="430"/>
      <c r="E464" s="480"/>
      <c r="F464" s="480"/>
      <c r="G464" s="430"/>
      <c r="H464" s="480"/>
      <c r="I464" s="480"/>
      <c r="J464" s="430"/>
      <c r="K464" s="480"/>
      <c r="L464" s="430"/>
      <c r="M464" s="480"/>
      <c r="N464" s="430"/>
      <c r="O464" s="480"/>
      <c r="P464" s="430"/>
      <c r="Q464" s="480"/>
    </row>
    <row r="465" ht="15.75" customHeight="1">
      <c r="A465" s="430"/>
      <c r="B465" s="480"/>
      <c r="C465" s="480"/>
      <c r="D465" s="430"/>
      <c r="E465" s="480"/>
      <c r="F465" s="480"/>
      <c r="G465" s="430"/>
      <c r="H465" s="480"/>
      <c r="I465" s="480"/>
      <c r="J465" s="430"/>
      <c r="K465" s="480"/>
      <c r="L465" s="430"/>
      <c r="M465" s="480"/>
      <c r="N465" s="430"/>
      <c r="O465" s="480"/>
      <c r="P465" s="430"/>
      <c r="Q465" s="480"/>
    </row>
    <row r="466" ht="15.75" customHeight="1">
      <c r="A466" s="430"/>
      <c r="B466" s="480"/>
      <c r="C466" s="480"/>
      <c r="D466" s="430"/>
      <c r="E466" s="480"/>
      <c r="F466" s="480"/>
      <c r="G466" s="430"/>
      <c r="H466" s="480"/>
      <c r="I466" s="480"/>
      <c r="J466" s="430"/>
      <c r="K466" s="480"/>
      <c r="L466" s="430"/>
      <c r="M466" s="480"/>
      <c r="N466" s="430"/>
      <c r="O466" s="480"/>
      <c r="P466" s="430"/>
      <c r="Q466" s="480"/>
    </row>
    <row r="467" ht="15.75" customHeight="1">
      <c r="A467" s="430"/>
      <c r="B467" s="480"/>
      <c r="C467" s="480"/>
      <c r="D467" s="430"/>
      <c r="E467" s="480"/>
      <c r="F467" s="480"/>
      <c r="G467" s="430"/>
      <c r="H467" s="480"/>
      <c r="I467" s="480"/>
      <c r="J467" s="430"/>
      <c r="K467" s="480"/>
      <c r="L467" s="430"/>
      <c r="M467" s="480"/>
      <c r="N467" s="430"/>
      <c r="O467" s="480"/>
      <c r="P467" s="430"/>
      <c r="Q467" s="480"/>
    </row>
    <row r="468" ht="15.75" customHeight="1">
      <c r="A468" s="430"/>
      <c r="B468" s="480"/>
      <c r="C468" s="480"/>
      <c r="D468" s="430"/>
      <c r="E468" s="480"/>
      <c r="F468" s="480"/>
      <c r="G468" s="430"/>
      <c r="H468" s="480"/>
      <c r="I468" s="480"/>
      <c r="J468" s="430"/>
      <c r="K468" s="480"/>
      <c r="L468" s="430"/>
      <c r="M468" s="480"/>
      <c r="N468" s="430"/>
      <c r="O468" s="480"/>
      <c r="P468" s="430"/>
      <c r="Q468" s="480"/>
    </row>
    <row r="469" ht="15.75" customHeight="1">
      <c r="A469" s="430"/>
      <c r="B469" s="480"/>
      <c r="C469" s="480"/>
      <c r="D469" s="430"/>
      <c r="E469" s="480"/>
      <c r="F469" s="480"/>
      <c r="G469" s="430"/>
      <c r="H469" s="480"/>
      <c r="I469" s="480"/>
      <c r="J469" s="430"/>
      <c r="K469" s="480"/>
      <c r="L469" s="430"/>
      <c r="M469" s="480"/>
      <c r="N469" s="430"/>
      <c r="O469" s="480"/>
      <c r="P469" s="430"/>
      <c r="Q469" s="480"/>
    </row>
    <row r="470" ht="15.75" customHeight="1">
      <c r="A470" s="430"/>
      <c r="B470" s="480"/>
      <c r="C470" s="480"/>
      <c r="D470" s="430"/>
      <c r="E470" s="480"/>
      <c r="F470" s="480"/>
      <c r="G470" s="430"/>
      <c r="H470" s="480"/>
      <c r="I470" s="480"/>
      <c r="J470" s="430"/>
      <c r="K470" s="480"/>
      <c r="L470" s="430"/>
      <c r="M470" s="480"/>
      <c r="N470" s="430"/>
      <c r="O470" s="480"/>
      <c r="P470" s="430"/>
      <c r="Q470" s="480"/>
    </row>
    <row r="471" ht="15.75" customHeight="1">
      <c r="A471" s="430"/>
      <c r="B471" s="480"/>
      <c r="C471" s="480"/>
      <c r="D471" s="430"/>
      <c r="E471" s="480"/>
      <c r="F471" s="480"/>
      <c r="G471" s="430"/>
      <c r="H471" s="480"/>
      <c r="I471" s="480"/>
      <c r="J471" s="430"/>
      <c r="K471" s="480"/>
      <c r="L471" s="430"/>
      <c r="M471" s="480"/>
      <c r="N471" s="430"/>
      <c r="O471" s="480"/>
      <c r="P471" s="430"/>
      <c r="Q471" s="480"/>
    </row>
    <row r="472" ht="15.75" customHeight="1">
      <c r="A472" s="430"/>
      <c r="B472" s="480"/>
      <c r="C472" s="480"/>
      <c r="D472" s="430"/>
      <c r="E472" s="480"/>
      <c r="F472" s="480"/>
      <c r="G472" s="430"/>
      <c r="H472" s="480"/>
      <c r="I472" s="480"/>
      <c r="J472" s="430"/>
      <c r="K472" s="480"/>
      <c r="L472" s="430"/>
      <c r="M472" s="480"/>
      <c r="N472" s="430"/>
      <c r="O472" s="480"/>
      <c r="P472" s="430"/>
      <c r="Q472" s="480"/>
    </row>
    <row r="473" ht="15.75" customHeight="1">
      <c r="A473" s="430"/>
      <c r="B473" s="480"/>
      <c r="C473" s="480"/>
      <c r="D473" s="430"/>
      <c r="E473" s="480"/>
      <c r="F473" s="480"/>
      <c r="G473" s="430"/>
      <c r="H473" s="480"/>
      <c r="I473" s="480"/>
      <c r="J473" s="430"/>
      <c r="K473" s="480"/>
      <c r="L473" s="430"/>
      <c r="M473" s="480"/>
      <c r="N473" s="430"/>
      <c r="O473" s="480"/>
      <c r="P473" s="430"/>
      <c r="Q473" s="480"/>
    </row>
    <row r="474" ht="15.75" customHeight="1">
      <c r="A474" s="430"/>
      <c r="B474" s="480"/>
      <c r="C474" s="480"/>
      <c r="D474" s="430"/>
      <c r="E474" s="480"/>
      <c r="F474" s="480"/>
      <c r="G474" s="430"/>
      <c r="H474" s="480"/>
      <c r="I474" s="480"/>
      <c r="J474" s="430"/>
      <c r="K474" s="480"/>
      <c r="L474" s="430"/>
      <c r="M474" s="480"/>
      <c r="N474" s="430"/>
      <c r="O474" s="480"/>
      <c r="P474" s="430"/>
      <c r="Q474" s="480"/>
    </row>
    <row r="475" ht="15.75" customHeight="1">
      <c r="A475" s="430"/>
      <c r="B475" s="480"/>
      <c r="C475" s="480"/>
      <c r="D475" s="430"/>
      <c r="E475" s="480"/>
      <c r="F475" s="480"/>
      <c r="G475" s="430"/>
      <c r="H475" s="480"/>
      <c r="I475" s="480"/>
      <c r="J475" s="430"/>
      <c r="K475" s="480"/>
      <c r="L475" s="430"/>
      <c r="M475" s="480"/>
      <c r="N475" s="430"/>
      <c r="O475" s="480"/>
      <c r="P475" s="430"/>
      <c r="Q475" s="480"/>
    </row>
    <row r="476" ht="15.75" customHeight="1">
      <c r="A476" s="430"/>
      <c r="B476" s="480"/>
      <c r="C476" s="480"/>
      <c r="D476" s="430"/>
      <c r="E476" s="480"/>
      <c r="F476" s="480"/>
      <c r="G476" s="430"/>
      <c r="H476" s="480"/>
      <c r="I476" s="480"/>
      <c r="J476" s="430"/>
      <c r="K476" s="480"/>
      <c r="L476" s="430"/>
      <c r="M476" s="480"/>
      <c r="N476" s="430"/>
      <c r="O476" s="480"/>
      <c r="P476" s="430"/>
      <c r="Q476" s="480"/>
    </row>
    <row r="477" ht="15.75" customHeight="1">
      <c r="A477" s="430"/>
      <c r="B477" s="480"/>
      <c r="C477" s="480"/>
      <c r="D477" s="430"/>
      <c r="E477" s="480"/>
      <c r="F477" s="480"/>
      <c r="G477" s="430"/>
      <c r="H477" s="480"/>
      <c r="I477" s="480"/>
      <c r="J477" s="430"/>
      <c r="K477" s="480"/>
      <c r="L477" s="430"/>
      <c r="M477" s="480"/>
      <c r="N477" s="430"/>
      <c r="O477" s="480"/>
      <c r="P477" s="430"/>
      <c r="Q477" s="480"/>
    </row>
    <row r="478" ht="15.75" customHeight="1">
      <c r="A478" s="430"/>
      <c r="B478" s="480"/>
      <c r="C478" s="480"/>
      <c r="D478" s="430"/>
      <c r="E478" s="480"/>
      <c r="F478" s="480"/>
      <c r="G478" s="430"/>
      <c r="H478" s="480"/>
      <c r="I478" s="480"/>
      <c r="J478" s="430"/>
      <c r="K478" s="480"/>
      <c r="L478" s="430"/>
      <c r="M478" s="480"/>
      <c r="N478" s="430"/>
      <c r="O478" s="480"/>
      <c r="P478" s="430"/>
      <c r="Q478" s="480"/>
    </row>
    <row r="479" ht="15.75" customHeight="1">
      <c r="A479" s="430"/>
      <c r="B479" s="480"/>
      <c r="C479" s="480"/>
      <c r="D479" s="430"/>
      <c r="E479" s="480"/>
      <c r="F479" s="480"/>
      <c r="G479" s="430"/>
      <c r="H479" s="480"/>
      <c r="I479" s="480"/>
      <c r="J479" s="430"/>
      <c r="K479" s="480"/>
      <c r="L479" s="430"/>
      <c r="M479" s="480"/>
      <c r="N479" s="430"/>
      <c r="O479" s="480"/>
      <c r="P479" s="430"/>
      <c r="Q479" s="480"/>
    </row>
    <row r="480" ht="15.75" customHeight="1">
      <c r="A480" s="430"/>
      <c r="B480" s="480"/>
      <c r="C480" s="480"/>
      <c r="D480" s="430"/>
      <c r="E480" s="480"/>
      <c r="F480" s="480"/>
      <c r="G480" s="430"/>
      <c r="H480" s="480"/>
      <c r="I480" s="480"/>
      <c r="J480" s="430"/>
      <c r="K480" s="480"/>
      <c r="L480" s="430"/>
      <c r="M480" s="480"/>
      <c r="N480" s="430"/>
      <c r="O480" s="480"/>
      <c r="P480" s="430"/>
      <c r="Q480" s="480"/>
    </row>
    <row r="481" ht="15.75" customHeight="1">
      <c r="A481" s="430"/>
      <c r="B481" s="480"/>
      <c r="C481" s="480"/>
      <c r="D481" s="430"/>
      <c r="E481" s="480"/>
      <c r="F481" s="480"/>
      <c r="G481" s="430"/>
      <c r="H481" s="480"/>
      <c r="I481" s="480"/>
      <c r="J481" s="430"/>
      <c r="K481" s="480"/>
      <c r="L481" s="430"/>
      <c r="M481" s="480"/>
      <c r="N481" s="430"/>
      <c r="O481" s="480"/>
      <c r="P481" s="430"/>
      <c r="Q481" s="480"/>
    </row>
    <row r="482" ht="15.75" customHeight="1">
      <c r="A482" s="430"/>
      <c r="B482" s="480"/>
      <c r="C482" s="480"/>
      <c r="D482" s="430"/>
      <c r="E482" s="480"/>
      <c r="F482" s="480"/>
      <c r="G482" s="430"/>
      <c r="H482" s="480"/>
      <c r="I482" s="480"/>
      <c r="J482" s="430"/>
      <c r="K482" s="480"/>
      <c r="L482" s="430"/>
      <c r="M482" s="480"/>
      <c r="N482" s="430"/>
      <c r="O482" s="480"/>
      <c r="P482" s="430"/>
      <c r="Q482" s="480"/>
    </row>
    <row r="483" ht="15.75" customHeight="1">
      <c r="A483" s="430"/>
      <c r="B483" s="480"/>
      <c r="C483" s="480"/>
      <c r="D483" s="430"/>
      <c r="E483" s="480"/>
      <c r="F483" s="480"/>
      <c r="G483" s="430"/>
      <c r="H483" s="480"/>
      <c r="I483" s="480"/>
      <c r="J483" s="430"/>
      <c r="K483" s="480"/>
      <c r="L483" s="430"/>
      <c r="M483" s="480"/>
      <c r="N483" s="430"/>
      <c r="O483" s="480"/>
      <c r="P483" s="430"/>
      <c r="Q483" s="480"/>
    </row>
    <row r="484" ht="15.75" customHeight="1">
      <c r="A484" s="430"/>
      <c r="B484" s="480"/>
      <c r="C484" s="480"/>
      <c r="D484" s="430"/>
      <c r="E484" s="480"/>
      <c r="F484" s="480"/>
      <c r="G484" s="430"/>
      <c r="H484" s="480"/>
      <c r="I484" s="480"/>
      <c r="J484" s="430"/>
      <c r="K484" s="480"/>
      <c r="L484" s="430"/>
      <c r="M484" s="480"/>
      <c r="N484" s="430"/>
      <c r="O484" s="480"/>
      <c r="P484" s="430"/>
      <c r="Q484" s="480"/>
    </row>
    <row r="485" ht="15.75" customHeight="1">
      <c r="A485" s="430"/>
      <c r="B485" s="480"/>
      <c r="C485" s="480"/>
      <c r="D485" s="430"/>
      <c r="E485" s="480"/>
      <c r="F485" s="480"/>
      <c r="G485" s="430"/>
      <c r="H485" s="480"/>
      <c r="I485" s="480"/>
      <c r="J485" s="430"/>
      <c r="K485" s="480"/>
      <c r="L485" s="430"/>
      <c r="M485" s="480"/>
      <c r="N485" s="430"/>
      <c r="O485" s="480"/>
      <c r="P485" s="430"/>
      <c r="Q485" s="480"/>
    </row>
    <row r="486" ht="15.75" customHeight="1">
      <c r="A486" s="430"/>
      <c r="B486" s="480"/>
      <c r="C486" s="480"/>
      <c r="D486" s="430"/>
      <c r="E486" s="480"/>
      <c r="F486" s="480"/>
      <c r="G486" s="430"/>
      <c r="H486" s="480"/>
      <c r="I486" s="480"/>
      <c r="J486" s="430"/>
      <c r="K486" s="480"/>
      <c r="L486" s="430"/>
      <c r="M486" s="480"/>
      <c r="N486" s="430"/>
      <c r="O486" s="480"/>
      <c r="P486" s="430"/>
      <c r="Q486" s="480"/>
    </row>
    <row r="487" ht="15.75" customHeight="1">
      <c r="A487" s="430"/>
      <c r="B487" s="480"/>
      <c r="C487" s="480"/>
      <c r="D487" s="430"/>
      <c r="E487" s="480"/>
      <c r="F487" s="480"/>
      <c r="G487" s="430"/>
      <c r="H487" s="480"/>
      <c r="I487" s="480"/>
      <c r="J487" s="430"/>
      <c r="K487" s="480"/>
      <c r="L487" s="430"/>
      <c r="M487" s="480"/>
      <c r="N487" s="430"/>
      <c r="O487" s="480"/>
      <c r="P487" s="430"/>
      <c r="Q487" s="480"/>
    </row>
    <row r="488" ht="15.75" customHeight="1">
      <c r="A488" s="430"/>
      <c r="B488" s="480"/>
      <c r="C488" s="480"/>
      <c r="D488" s="430"/>
      <c r="E488" s="480"/>
      <c r="F488" s="480"/>
      <c r="G488" s="430"/>
      <c r="H488" s="480"/>
      <c r="I488" s="480"/>
      <c r="J488" s="430"/>
      <c r="K488" s="480"/>
      <c r="L488" s="430"/>
      <c r="M488" s="480"/>
      <c r="N488" s="430"/>
      <c r="O488" s="480"/>
      <c r="P488" s="430"/>
      <c r="Q488" s="480"/>
    </row>
    <row r="489" ht="15.75" customHeight="1">
      <c r="A489" s="430"/>
      <c r="B489" s="480"/>
      <c r="C489" s="480"/>
      <c r="D489" s="430"/>
      <c r="E489" s="480"/>
      <c r="F489" s="480"/>
      <c r="G489" s="430"/>
      <c r="H489" s="480"/>
      <c r="I489" s="480"/>
      <c r="J489" s="430"/>
      <c r="K489" s="480"/>
      <c r="L489" s="430"/>
      <c r="M489" s="480"/>
      <c r="N489" s="430"/>
      <c r="O489" s="480"/>
      <c r="P489" s="430"/>
      <c r="Q489" s="480"/>
    </row>
    <row r="490" ht="15.75" customHeight="1">
      <c r="A490" s="430"/>
      <c r="B490" s="480"/>
      <c r="C490" s="480"/>
      <c r="D490" s="430"/>
      <c r="E490" s="480"/>
      <c r="F490" s="480"/>
      <c r="G490" s="430"/>
      <c r="H490" s="480"/>
      <c r="I490" s="480"/>
      <c r="J490" s="430"/>
      <c r="K490" s="480"/>
      <c r="L490" s="430"/>
      <c r="M490" s="480"/>
      <c r="N490" s="430"/>
      <c r="O490" s="480"/>
      <c r="P490" s="430"/>
      <c r="Q490" s="480"/>
    </row>
    <row r="491" ht="15.75" customHeight="1">
      <c r="A491" s="430"/>
      <c r="B491" s="480"/>
      <c r="C491" s="480"/>
      <c r="D491" s="430"/>
      <c r="E491" s="480"/>
      <c r="F491" s="480"/>
      <c r="G491" s="430"/>
      <c r="H491" s="480"/>
      <c r="I491" s="480"/>
      <c r="J491" s="430"/>
      <c r="K491" s="480"/>
      <c r="L491" s="430"/>
      <c r="M491" s="480"/>
      <c r="N491" s="430"/>
      <c r="O491" s="480"/>
      <c r="P491" s="430"/>
      <c r="Q491" s="480"/>
    </row>
    <row r="492" ht="15.75" customHeight="1">
      <c r="A492" s="430"/>
      <c r="B492" s="480"/>
      <c r="C492" s="480"/>
      <c r="D492" s="430"/>
      <c r="E492" s="480"/>
      <c r="F492" s="480"/>
      <c r="G492" s="430"/>
      <c r="H492" s="480"/>
      <c r="I492" s="480"/>
      <c r="J492" s="430"/>
      <c r="K492" s="480"/>
      <c r="L492" s="430"/>
      <c r="M492" s="480"/>
      <c r="N492" s="430"/>
      <c r="O492" s="480"/>
      <c r="P492" s="430"/>
      <c r="Q492" s="480"/>
    </row>
    <row r="493" ht="15.75" customHeight="1">
      <c r="A493" s="430"/>
      <c r="B493" s="480"/>
      <c r="C493" s="480"/>
      <c r="D493" s="430"/>
      <c r="E493" s="480"/>
      <c r="F493" s="480"/>
      <c r="G493" s="430"/>
      <c r="H493" s="480"/>
      <c r="I493" s="480"/>
      <c r="J493" s="430"/>
      <c r="K493" s="480"/>
      <c r="L493" s="430"/>
      <c r="M493" s="480"/>
      <c r="N493" s="430"/>
      <c r="O493" s="480"/>
      <c r="P493" s="430"/>
      <c r="Q493" s="480"/>
    </row>
    <row r="494" ht="15.75" customHeight="1">
      <c r="A494" s="430"/>
      <c r="B494" s="480"/>
      <c r="C494" s="480"/>
      <c r="D494" s="430"/>
      <c r="E494" s="480"/>
      <c r="F494" s="480"/>
      <c r="G494" s="430"/>
      <c r="H494" s="480"/>
      <c r="I494" s="480"/>
      <c r="J494" s="430"/>
      <c r="K494" s="480"/>
      <c r="L494" s="430"/>
      <c r="M494" s="480"/>
      <c r="N494" s="430"/>
      <c r="O494" s="480"/>
      <c r="P494" s="430"/>
      <c r="Q494" s="480"/>
    </row>
    <row r="495" ht="15.75" customHeight="1">
      <c r="A495" s="430"/>
      <c r="B495" s="480"/>
      <c r="C495" s="480"/>
      <c r="D495" s="430"/>
      <c r="E495" s="480"/>
      <c r="F495" s="480"/>
      <c r="G495" s="430"/>
      <c r="H495" s="480"/>
      <c r="I495" s="480"/>
      <c r="J495" s="430"/>
      <c r="K495" s="480"/>
      <c r="L495" s="430"/>
      <c r="M495" s="480"/>
      <c r="N495" s="430"/>
      <c r="O495" s="480"/>
      <c r="P495" s="430"/>
      <c r="Q495" s="480"/>
    </row>
    <row r="496" ht="15.75" customHeight="1">
      <c r="A496" s="430"/>
      <c r="B496" s="480"/>
      <c r="C496" s="480"/>
      <c r="D496" s="430"/>
      <c r="E496" s="480"/>
      <c r="F496" s="480"/>
      <c r="G496" s="430"/>
      <c r="H496" s="480"/>
      <c r="I496" s="480"/>
      <c r="J496" s="430"/>
      <c r="K496" s="480"/>
      <c r="L496" s="430"/>
      <c r="M496" s="480"/>
      <c r="N496" s="430"/>
      <c r="O496" s="480"/>
      <c r="P496" s="430"/>
      <c r="Q496" s="480"/>
    </row>
    <row r="497" ht="15.75" customHeight="1">
      <c r="A497" s="430"/>
      <c r="B497" s="480"/>
      <c r="C497" s="480"/>
      <c r="D497" s="430"/>
      <c r="E497" s="480"/>
      <c r="F497" s="480"/>
      <c r="G497" s="430"/>
      <c r="H497" s="480"/>
      <c r="I497" s="480"/>
      <c r="J497" s="430"/>
      <c r="K497" s="480"/>
      <c r="L497" s="430"/>
      <c r="M497" s="480"/>
      <c r="N497" s="430"/>
      <c r="O497" s="480"/>
      <c r="P497" s="430"/>
      <c r="Q497" s="480"/>
    </row>
    <row r="498" ht="15.75" customHeight="1">
      <c r="A498" s="430"/>
      <c r="B498" s="480"/>
      <c r="C498" s="480"/>
      <c r="D498" s="430"/>
      <c r="E498" s="480"/>
      <c r="F498" s="480"/>
      <c r="G498" s="430"/>
      <c r="H498" s="480"/>
      <c r="I498" s="480"/>
      <c r="J498" s="430"/>
      <c r="K498" s="480"/>
      <c r="L498" s="430"/>
      <c r="M498" s="480"/>
      <c r="N498" s="430"/>
      <c r="O498" s="480"/>
      <c r="P498" s="430"/>
      <c r="Q498" s="480"/>
    </row>
    <row r="499" ht="15.75" customHeight="1">
      <c r="A499" s="430"/>
      <c r="B499" s="480"/>
      <c r="C499" s="480"/>
      <c r="D499" s="430"/>
      <c r="E499" s="480"/>
      <c r="F499" s="480"/>
      <c r="G499" s="430"/>
      <c r="H499" s="480"/>
      <c r="I499" s="480"/>
      <c r="J499" s="430"/>
      <c r="K499" s="480"/>
      <c r="L499" s="430"/>
      <c r="M499" s="480"/>
      <c r="N499" s="430"/>
      <c r="O499" s="480"/>
      <c r="P499" s="430"/>
      <c r="Q499" s="480"/>
    </row>
    <row r="500" ht="15.75" customHeight="1">
      <c r="A500" s="430"/>
      <c r="B500" s="480"/>
      <c r="C500" s="480"/>
      <c r="D500" s="430"/>
      <c r="E500" s="480"/>
      <c r="F500" s="480"/>
      <c r="G500" s="430"/>
      <c r="H500" s="480"/>
      <c r="I500" s="480"/>
      <c r="J500" s="430"/>
      <c r="K500" s="480"/>
      <c r="L500" s="430"/>
      <c r="M500" s="480"/>
      <c r="N500" s="430"/>
      <c r="O500" s="480"/>
      <c r="P500" s="430"/>
      <c r="Q500" s="480"/>
    </row>
    <row r="501" ht="15.75" customHeight="1">
      <c r="A501" s="430"/>
      <c r="B501" s="480"/>
      <c r="C501" s="480"/>
      <c r="D501" s="430"/>
      <c r="E501" s="480"/>
      <c r="F501" s="480"/>
      <c r="G501" s="430"/>
      <c r="H501" s="480"/>
      <c r="I501" s="480"/>
      <c r="J501" s="430"/>
      <c r="K501" s="480"/>
      <c r="L501" s="430"/>
      <c r="M501" s="480"/>
      <c r="N501" s="430"/>
      <c r="O501" s="480"/>
      <c r="P501" s="430"/>
      <c r="Q501" s="480"/>
    </row>
    <row r="502" ht="15.75" customHeight="1">
      <c r="A502" s="430"/>
      <c r="B502" s="480"/>
      <c r="C502" s="480"/>
      <c r="D502" s="430"/>
      <c r="E502" s="480"/>
      <c r="F502" s="480"/>
      <c r="G502" s="430"/>
      <c r="H502" s="480"/>
      <c r="I502" s="480"/>
      <c r="J502" s="430"/>
      <c r="K502" s="480"/>
      <c r="L502" s="430"/>
      <c r="M502" s="480"/>
      <c r="N502" s="430"/>
      <c r="O502" s="480"/>
      <c r="P502" s="430"/>
      <c r="Q502" s="480"/>
    </row>
    <row r="503" ht="15.75" customHeight="1">
      <c r="A503" s="430"/>
      <c r="B503" s="480"/>
      <c r="C503" s="480"/>
      <c r="D503" s="430"/>
      <c r="E503" s="480"/>
      <c r="F503" s="480"/>
      <c r="G503" s="430"/>
      <c r="H503" s="480"/>
      <c r="I503" s="480"/>
      <c r="J503" s="430"/>
      <c r="K503" s="480"/>
      <c r="L503" s="430"/>
      <c r="M503" s="480"/>
      <c r="N503" s="430"/>
      <c r="O503" s="480"/>
      <c r="P503" s="430"/>
      <c r="Q503" s="480"/>
    </row>
    <row r="504" ht="15.75" customHeight="1">
      <c r="A504" s="430"/>
      <c r="B504" s="480"/>
      <c r="C504" s="480"/>
      <c r="D504" s="430"/>
      <c r="E504" s="480"/>
      <c r="F504" s="480"/>
      <c r="G504" s="430"/>
      <c r="H504" s="480"/>
      <c r="I504" s="480"/>
      <c r="J504" s="430"/>
      <c r="K504" s="480"/>
      <c r="L504" s="430"/>
      <c r="M504" s="480"/>
      <c r="N504" s="430"/>
      <c r="O504" s="480"/>
      <c r="P504" s="430"/>
      <c r="Q504" s="480"/>
    </row>
    <row r="505" ht="15.75" customHeight="1">
      <c r="A505" s="430"/>
      <c r="B505" s="480"/>
      <c r="C505" s="480"/>
      <c r="D505" s="430"/>
      <c r="E505" s="480"/>
      <c r="F505" s="480"/>
      <c r="G505" s="430"/>
      <c r="H505" s="480"/>
      <c r="I505" s="480"/>
      <c r="J505" s="430"/>
      <c r="K505" s="480"/>
      <c r="L505" s="430"/>
      <c r="M505" s="480"/>
      <c r="N505" s="430"/>
      <c r="O505" s="480"/>
      <c r="P505" s="430"/>
      <c r="Q505" s="480"/>
    </row>
    <row r="506" ht="15.75" customHeight="1">
      <c r="A506" s="430"/>
      <c r="B506" s="480"/>
      <c r="C506" s="480"/>
      <c r="D506" s="430"/>
      <c r="E506" s="480"/>
      <c r="F506" s="480"/>
      <c r="G506" s="430"/>
      <c r="H506" s="480"/>
      <c r="I506" s="480"/>
      <c r="J506" s="430"/>
      <c r="K506" s="480"/>
      <c r="L506" s="430"/>
      <c r="M506" s="480"/>
      <c r="N506" s="430"/>
      <c r="O506" s="480"/>
      <c r="P506" s="430"/>
      <c r="Q506" s="480"/>
    </row>
    <row r="507" ht="15.75" customHeight="1">
      <c r="A507" s="430"/>
      <c r="B507" s="480"/>
      <c r="C507" s="480"/>
      <c r="D507" s="430"/>
      <c r="E507" s="480"/>
      <c r="F507" s="480"/>
      <c r="G507" s="430"/>
      <c r="H507" s="480"/>
      <c r="I507" s="480"/>
      <c r="J507" s="430"/>
      <c r="K507" s="480"/>
      <c r="L507" s="430"/>
      <c r="M507" s="480"/>
      <c r="N507" s="430"/>
      <c r="O507" s="480"/>
      <c r="P507" s="430"/>
      <c r="Q507" s="480"/>
    </row>
    <row r="508" ht="15.75" customHeight="1">
      <c r="A508" s="430"/>
      <c r="B508" s="480"/>
      <c r="C508" s="480"/>
      <c r="D508" s="430"/>
      <c r="E508" s="480"/>
      <c r="F508" s="480"/>
      <c r="G508" s="430"/>
      <c r="H508" s="480"/>
      <c r="I508" s="480"/>
      <c r="J508" s="430"/>
      <c r="K508" s="480"/>
      <c r="L508" s="430"/>
      <c r="M508" s="480"/>
      <c r="N508" s="430"/>
      <c r="O508" s="480"/>
      <c r="P508" s="430"/>
      <c r="Q508" s="480"/>
    </row>
    <row r="509" ht="15.75" customHeight="1">
      <c r="A509" s="430"/>
      <c r="B509" s="480"/>
      <c r="C509" s="480"/>
      <c r="D509" s="430"/>
      <c r="E509" s="480"/>
      <c r="F509" s="480"/>
      <c r="G509" s="430"/>
      <c r="H509" s="480"/>
      <c r="I509" s="480"/>
      <c r="J509" s="430"/>
      <c r="K509" s="480"/>
      <c r="L509" s="430"/>
      <c r="M509" s="480"/>
      <c r="N509" s="430"/>
      <c r="O509" s="480"/>
      <c r="P509" s="430"/>
      <c r="Q509" s="480"/>
    </row>
    <row r="510" ht="15.75" customHeight="1">
      <c r="A510" s="430"/>
      <c r="B510" s="480"/>
      <c r="C510" s="480"/>
      <c r="D510" s="430"/>
      <c r="E510" s="480"/>
      <c r="F510" s="480"/>
      <c r="G510" s="430"/>
      <c r="H510" s="480"/>
      <c r="I510" s="480"/>
      <c r="J510" s="430"/>
      <c r="K510" s="480"/>
      <c r="L510" s="430"/>
      <c r="M510" s="480"/>
      <c r="N510" s="430"/>
      <c r="O510" s="480"/>
      <c r="P510" s="430"/>
      <c r="Q510" s="480"/>
    </row>
    <row r="511" ht="15.75" customHeight="1">
      <c r="A511" s="430"/>
      <c r="B511" s="480"/>
      <c r="C511" s="480"/>
      <c r="D511" s="430"/>
      <c r="E511" s="480"/>
      <c r="F511" s="480"/>
      <c r="G511" s="430"/>
      <c r="H511" s="480"/>
      <c r="I511" s="480"/>
      <c r="J511" s="430"/>
      <c r="K511" s="480"/>
      <c r="L511" s="430"/>
      <c r="M511" s="480"/>
      <c r="N511" s="430"/>
      <c r="O511" s="480"/>
      <c r="P511" s="430"/>
      <c r="Q511" s="480"/>
    </row>
    <row r="512" ht="15.75" customHeight="1">
      <c r="A512" s="430"/>
      <c r="B512" s="480"/>
      <c r="C512" s="480"/>
      <c r="D512" s="430"/>
      <c r="E512" s="480"/>
      <c r="F512" s="480"/>
      <c r="G512" s="430"/>
      <c r="H512" s="480"/>
      <c r="I512" s="480"/>
      <c r="J512" s="430"/>
      <c r="K512" s="480"/>
      <c r="L512" s="430"/>
      <c r="M512" s="480"/>
      <c r="N512" s="430"/>
      <c r="O512" s="480"/>
      <c r="P512" s="430"/>
      <c r="Q512" s="480"/>
    </row>
    <row r="513" ht="15.75" customHeight="1">
      <c r="A513" s="430"/>
      <c r="B513" s="480"/>
      <c r="C513" s="480"/>
      <c r="D513" s="430"/>
      <c r="E513" s="480"/>
      <c r="F513" s="480"/>
      <c r="G513" s="430"/>
      <c r="H513" s="480"/>
      <c r="I513" s="480"/>
      <c r="J513" s="430"/>
      <c r="K513" s="480"/>
      <c r="L513" s="430"/>
      <c r="M513" s="480"/>
      <c r="N513" s="430"/>
      <c r="O513" s="480"/>
      <c r="P513" s="430"/>
      <c r="Q513" s="480"/>
    </row>
    <row r="514" ht="15.75" customHeight="1">
      <c r="A514" s="430"/>
      <c r="B514" s="480"/>
      <c r="C514" s="480"/>
      <c r="D514" s="430"/>
      <c r="E514" s="480"/>
      <c r="F514" s="480"/>
      <c r="G514" s="430"/>
      <c r="H514" s="480"/>
      <c r="I514" s="480"/>
      <c r="J514" s="430"/>
      <c r="K514" s="480"/>
      <c r="L514" s="430"/>
      <c r="M514" s="480"/>
      <c r="N514" s="430"/>
      <c r="O514" s="480"/>
      <c r="P514" s="430"/>
      <c r="Q514" s="480"/>
    </row>
    <row r="515" ht="15.75" customHeight="1">
      <c r="A515" s="430"/>
      <c r="B515" s="480"/>
      <c r="C515" s="480"/>
      <c r="D515" s="430"/>
      <c r="E515" s="480"/>
      <c r="F515" s="480"/>
      <c r="G515" s="430"/>
      <c r="H515" s="480"/>
      <c r="I515" s="480"/>
      <c r="J515" s="430"/>
      <c r="K515" s="480"/>
      <c r="L515" s="430"/>
      <c r="M515" s="480"/>
      <c r="N515" s="430"/>
      <c r="O515" s="480"/>
      <c r="P515" s="430"/>
      <c r="Q515" s="480"/>
    </row>
    <row r="516" ht="15.75" customHeight="1">
      <c r="A516" s="430"/>
      <c r="B516" s="480"/>
      <c r="C516" s="480"/>
      <c r="D516" s="430"/>
      <c r="E516" s="480"/>
      <c r="F516" s="480"/>
      <c r="G516" s="430"/>
      <c r="H516" s="480"/>
      <c r="I516" s="480"/>
      <c r="J516" s="430"/>
      <c r="K516" s="480"/>
      <c r="L516" s="430"/>
      <c r="M516" s="480"/>
      <c r="N516" s="430"/>
      <c r="O516" s="480"/>
      <c r="P516" s="430"/>
      <c r="Q516" s="480"/>
    </row>
    <row r="517" ht="15.75" customHeight="1">
      <c r="A517" s="430"/>
      <c r="B517" s="480"/>
      <c r="C517" s="480"/>
      <c r="D517" s="430"/>
      <c r="E517" s="480"/>
      <c r="F517" s="480"/>
      <c r="G517" s="430"/>
      <c r="H517" s="480"/>
      <c r="I517" s="480"/>
      <c r="J517" s="430"/>
      <c r="K517" s="480"/>
      <c r="L517" s="430"/>
      <c r="M517" s="480"/>
      <c r="N517" s="430"/>
      <c r="O517" s="480"/>
      <c r="P517" s="430"/>
      <c r="Q517" s="480"/>
    </row>
    <row r="518" ht="15.75" customHeight="1">
      <c r="A518" s="430"/>
      <c r="B518" s="480"/>
      <c r="C518" s="480"/>
      <c r="D518" s="430"/>
      <c r="E518" s="480"/>
      <c r="F518" s="480"/>
      <c r="G518" s="430"/>
      <c r="H518" s="480"/>
      <c r="I518" s="480"/>
      <c r="J518" s="430"/>
      <c r="K518" s="480"/>
      <c r="L518" s="430"/>
      <c r="M518" s="480"/>
      <c r="N518" s="430"/>
      <c r="O518" s="480"/>
      <c r="P518" s="430"/>
      <c r="Q518" s="480"/>
    </row>
    <row r="519" ht="15.75" customHeight="1">
      <c r="A519" s="430"/>
      <c r="B519" s="480"/>
      <c r="C519" s="480"/>
      <c r="D519" s="430"/>
      <c r="E519" s="480"/>
      <c r="F519" s="480"/>
      <c r="G519" s="430"/>
      <c r="H519" s="480"/>
      <c r="I519" s="480"/>
      <c r="J519" s="430"/>
      <c r="K519" s="480"/>
      <c r="L519" s="430"/>
      <c r="M519" s="480"/>
      <c r="N519" s="430"/>
      <c r="O519" s="480"/>
      <c r="P519" s="430"/>
      <c r="Q519" s="480"/>
    </row>
    <row r="520" ht="15.75" customHeight="1">
      <c r="A520" s="430"/>
      <c r="B520" s="480"/>
      <c r="C520" s="480"/>
      <c r="D520" s="430"/>
      <c r="E520" s="480"/>
      <c r="F520" s="480"/>
      <c r="G520" s="430"/>
      <c r="H520" s="480"/>
      <c r="I520" s="480"/>
      <c r="J520" s="430"/>
      <c r="K520" s="480"/>
      <c r="L520" s="430"/>
      <c r="M520" s="480"/>
      <c r="N520" s="430"/>
      <c r="O520" s="480"/>
      <c r="P520" s="430"/>
      <c r="Q520" s="480"/>
    </row>
    <row r="521" ht="15.75" customHeight="1">
      <c r="A521" s="430"/>
      <c r="B521" s="480"/>
      <c r="C521" s="480"/>
      <c r="D521" s="430"/>
      <c r="E521" s="480"/>
      <c r="F521" s="480"/>
      <c r="G521" s="430"/>
      <c r="H521" s="480"/>
      <c r="I521" s="480"/>
      <c r="J521" s="430"/>
      <c r="K521" s="480"/>
      <c r="L521" s="430"/>
      <c r="M521" s="480"/>
      <c r="N521" s="430"/>
      <c r="O521" s="480"/>
      <c r="P521" s="430"/>
      <c r="Q521" s="480"/>
    </row>
    <row r="522" ht="15.75" customHeight="1">
      <c r="A522" s="430"/>
      <c r="B522" s="480"/>
      <c r="C522" s="480"/>
      <c r="D522" s="430"/>
      <c r="E522" s="480"/>
      <c r="F522" s="480"/>
      <c r="G522" s="430"/>
      <c r="H522" s="480"/>
      <c r="I522" s="480"/>
      <c r="J522" s="430"/>
      <c r="K522" s="480"/>
      <c r="L522" s="430"/>
      <c r="M522" s="480"/>
      <c r="N522" s="430"/>
      <c r="O522" s="480"/>
      <c r="P522" s="430"/>
      <c r="Q522" s="480"/>
    </row>
    <row r="523" ht="15.75" customHeight="1">
      <c r="A523" s="430"/>
      <c r="B523" s="480"/>
      <c r="C523" s="480"/>
      <c r="D523" s="430"/>
      <c r="E523" s="480"/>
      <c r="F523" s="480"/>
      <c r="G523" s="430"/>
      <c r="H523" s="480"/>
      <c r="I523" s="480"/>
      <c r="J523" s="430"/>
      <c r="K523" s="480"/>
      <c r="L523" s="430"/>
      <c r="M523" s="480"/>
      <c r="N523" s="430"/>
      <c r="O523" s="480"/>
      <c r="P523" s="430"/>
      <c r="Q523" s="480"/>
    </row>
    <row r="524" ht="15.75" customHeight="1">
      <c r="A524" s="430"/>
      <c r="B524" s="480"/>
      <c r="C524" s="480"/>
      <c r="D524" s="430"/>
      <c r="E524" s="480"/>
      <c r="F524" s="480"/>
      <c r="G524" s="430"/>
      <c r="H524" s="480"/>
      <c r="I524" s="480"/>
      <c r="J524" s="430"/>
      <c r="K524" s="480"/>
      <c r="L524" s="430"/>
      <c r="M524" s="480"/>
      <c r="N524" s="430"/>
      <c r="O524" s="480"/>
      <c r="P524" s="430"/>
      <c r="Q524" s="480"/>
    </row>
    <row r="525" ht="15.75" customHeight="1">
      <c r="A525" s="430"/>
      <c r="B525" s="480"/>
      <c r="C525" s="480"/>
      <c r="D525" s="430"/>
      <c r="E525" s="480"/>
      <c r="F525" s="480"/>
      <c r="G525" s="430"/>
      <c r="H525" s="480"/>
      <c r="I525" s="480"/>
      <c r="J525" s="430"/>
      <c r="K525" s="480"/>
      <c r="L525" s="430"/>
      <c r="M525" s="480"/>
      <c r="N525" s="430"/>
      <c r="O525" s="480"/>
      <c r="P525" s="430"/>
      <c r="Q525" s="480"/>
    </row>
    <row r="526" ht="15.75" customHeight="1">
      <c r="A526" s="430"/>
      <c r="B526" s="480"/>
      <c r="C526" s="480"/>
      <c r="D526" s="430"/>
      <c r="E526" s="480"/>
      <c r="F526" s="480"/>
      <c r="G526" s="430"/>
      <c r="H526" s="480"/>
      <c r="I526" s="480"/>
      <c r="J526" s="430"/>
      <c r="K526" s="480"/>
      <c r="L526" s="430"/>
      <c r="M526" s="480"/>
      <c r="N526" s="430"/>
      <c r="O526" s="480"/>
      <c r="P526" s="430"/>
      <c r="Q526" s="480"/>
    </row>
    <row r="527" ht="15.75" customHeight="1">
      <c r="A527" s="430"/>
      <c r="B527" s="480"/>
      <c r="C527" s="480"/>
      <c r="D527" s="430"/>
      <c r="E527" s="480"/>
      <c r="F527" s="480"/>
      <c r="G527" s="430"/>
      <c r="H527" s="480"/>
      <c r="I527" s="480"/>
      <c r="J527" s="430"/>
      <c r="K527" s="480"/>
      <c r="L527" s="430"/>
      <c r="M527" s="480"/>
      <c r="N527" s="430"/>
      <c r="O527" s="480"/>
      <c r="P527" s="430"/>
      <c r="Q527" s="480"/>
    </row>
    <row r="528" ht="15.75" customHeight="1">
      <c r="A528" s="430"/>
      <c r="B528" s="480"/>
      <c r="C528" s="480"/>
      <c r="D528" s="430"/>
      <c r="E528" s="480"/>
      <c r="F528" s="480"/>
      <c r="G528" s="430"/>
      <c r="H528" s="480"/>
      <c r="I528" s="480"/>
      <c r="J528" s="430"/>
      <c r="K528" s="480"/>
      <c r="L528" s="430"/>
      <c r="M528" s="480"/>
      <c r="N528" s="430"/>
      <c r="O528" s="480"/>
      <c r="P528" s="430"/>
      <c r="Q528" s="480"/>
    </row>
    <row r="529" ht="15.75" customHeight="1">
      <c r="A529" s="430"/>
      <c r="B529" s="480"/>
      <c r="C529" s="480"/>
      <c r="D529" s="430"/>
      <c r="E529" s="480"/>
      <c r="F529" s="480"/>
      <c r="G529" s="430"/>
      <c r="H529" s="480"/>
      <c r="I529" s="480"/>
      <c r="J529" s="430"/>
      <c r="K529" s="480"/>
      <c r="L529" s="430"/>
      <c r="M529" s="480"/>
      <c r="N529" s="430"/>
      <c r="O529" s="480"/>
      <c r="P529" s="430"/>
      <c r="Q529" s="480"/>
    </row>
    <row r="530" ht="15.75" customHeight="1">
      <c r="A530" s="430"/>
      <c r="B530" s="480"/>
      <c r="C530" s="480"/>
      <c r="D530" s="430"/>
      <c r="E530" s="480"/>
      <c r="F530" s="480"/>
      <c r="G530" s="430"/>
      <c r="H530" s="480"/>
      <c r="I530" s="480"/>
      <c r="J530" s="430"/>
      <c r="K530" s="480"/>
      <c r="L530" s="430"/>
      <c r="M530" s="480"/>
      <c r="N530" s="430"/>
      <c r="O530" s="480"/>
      <c r="P530" s="430"/>
      <c r="Q530" s="480"/>
    </row>
    <row r="531" ht="15.75" customHeight="1">
      <c r="A531" s="430"/>
      <c r="B531" s="480"/>
      <c r="C531" s="480"/>
      <c r="D531" s="430"/>
      <c r="E531" s="480"/>
      <c r="F531" s="480"/>
      <c r="G531" s="430"/>
      <c r="H531" s="480"/>
      <c r="I531" s="480"/>
      <c r="J531" s="430"/>
      <c r="K531" s="480"/>
      <c r="L531" s="430"/>
      <c r="M531" s="480"/>
      <c r="N531" s="430"/>
      <c r="O531" s="480"/>
      <c r="P531" s="430"/>
      <c r="Q531" s="480"/>
    </row>
    <row r="532" ht="15.75" customHeight="1">
      <c r="A532" s="430"/>
      <c r="B532" s="480"/>
      <c r="C532" s="480"/>
      <c r="D532" s="430"/>
      <c r="E532" s="480"/>
      <c r="F532" s="480"/>
      <c r="G532" s="430"/>
      <c r="H532" s="480"/>
      <c r="I532" s="480"/>
      <c r="J532" s="430"/>
      <c r="K532" s="480"/>
      <c r="L532" s="430"/>
      <c r="M532" s="480"/>
      <c r="N532" s="430"/>
      <c r="O532" s="480"/>
      <c r="P532" s="430"/>
      <c r="Q532" s="480"/>
    </row>
    <row r="533" ht="15.75" customHeight="1">
      <c r="A533" s="430"/>
      <c r="B533" s="480"/>
      <c r="C533" s="480"/>
      <c r="D533" s="430"/>
      <c r="E533" s="480"/>
      <c r="F533" s="480"/>
      <c r="G533" s="430"/>
      <c r="H533" s="480"/>
      <c r="I533" s="480"/>
      <c r="J533" s="430"/>
      <c r="K533" s="480"/>
      <c r="L533" s="430"/>
      <c r="M533" s="480"/>
      <c r="N533" s="430"/>
      <c r="O533" s="480"/>
      <c r="P533" s="430"/>
      <c r="Q533" s="480"/>
    </row>
    <row r="534" ht="15.75" customHeight="1">
      <c r="A534" s="430"/>
      <c r="B534" s="480"/>
      <c r="C534" s="480"/>
      <c r="D534" s="430"/>
      <c r="E534" s="480"/>
      <c r="F534" s="480"/>
      <c r="G534" s="430"/>
      <c r="H534" s="480"/>
      <c r="I534" s="480"/>
      <c r="J534" s="430"/>
      <c r="K534" s="480"/>
      <c r="L534" s="430"/>
      <c r="M534" s="480"/>
      <c r="N534" s="430"/>
      <c r="O534" s="480"/>
      <c r="P534" s="430"/>
      <c r="Q534" s="480"/>
    </row>
    <row r="535" ht="15.75" customHeight="1">
      <c r="A535" s="430"/>
      <c r="B535" s="480"/>
      <c r="C535" s="480"/>
      <c r="D535" s="430"/>
      <c r="E535" s="480"/>
      <c r="F535" s="480"/>
      <c r="G535" s="430"/>
      <c r="H535" s="480"/>
      <c r="I535" s="480"/>
      <c r="J535" s="430"/>
      <c r="K535" s="480"/>
      <c r="L535" s="430"/>
      <c r="M535" s="480"/>
      <c r="N535" s="430"/>
      <c r="O535" s="480"/>
      <c r="P535" s="430"/>
      <c r="Q535" s="480"/>
    </row>
    <row r="536" ht="15.75" customHeight="1">
      <c r="A536" s="430"/>
      <c r="B536" s="480"/>
      <c r="C536" s="480"/>
      <c r="D536" s="430"/>
      <c r="E536" s="480"/>
      <c r="F536" s="480"/>
      <c r="G536" s="430"/>
      <c r="H536" s="480"/>
      <c r="I536" s="480"/>
      <c r="J536" s="430"/>
      <c r="K536" s="480"/>
      <c r="L536" s="430"/>
      <c r="M536" s="480"/>
      <c r="N536" s="430"/>
      <c r="O536" s="480"/>
      <c r="P536" s="430"/>
      <c r="Q536" s="480"/>
    </row>
    <row r="537" ht="15.75" customHeight="1">
      <c r="A537" s="430"/>
      <c r="B537" s="480"/>
      <c r="C537" s="480"/>
      <c r="D537" s="430"/>
      <c r="E537" s="480"/>
      <c r="F537" s="480"/>
      <c r="G537" s="430"/>
      <c r="H537" s="480"/>
      <c r="I537" s="480"/>
      <c r="J537" s="430"/>
      <c r="K537" s="480"/>
      <c r="L537" s="430"/>
      <c r="M537" s="480"/>
      <c r="N537" s="430"/>
      <c r="O537" s="480"/>
      <c r="P537" s="430"/>
      <c r="Q537" s="480"/>
    </row>
    <row r="538" ht="15.75" customHeight="1">
      <c r="A538" s="430"/>
      <c r="B538" s="480"/>
      <c r="C538" s="480"/>
      <c r="D538" s="430"/>
      <c r="E538" s="480"/>
      <c r="F538" s="480"/>
      <c r="G538" s="430"/>
      <c r="H538" s="480"/>
      <c r="I538" s="480"/>
      <c r="J538" s="430"/>
      <c r="K538" s="480"/>
      <c r="L538" s="430"/>
      <c r="M538" s="480"/>
      <c r="N538" s="430"/>
      <c r="O538" s="480"/>
      <c r="P538" s="430"/>
      <c r="Q538" s="480"/>
    </row>
    <row r="539" ht="15.75" customHeight="1">
      <c r="A539" s="430"/>
      <c r="B539" s="480"/>
      <c r="C539" s="480"/>
      <c r="D539" s="430"/>
      <c r="E539" s="480"/>
      <c r="F539" s="480"/>
      <c r="G539" s="430"/>
      <c r="H539" s="480"/>
      <c r="I539" s="480"/>
      <c r="J539" s="430"/>
      <c r="K539" s="480"/>
      <c r="L539" s="430"/>
      <c r="M539" s="480"/>
      <c r="N539" s="430"/>
      <c r="O539" s="480"/>
      <c r="P539" s="430"/>
      <c r="Q539" s="480"/>
    </row>
    <row r="540" ht="15.75" customHeight="1">
      <c r="A540" s="430"/>
      <c r="B540" s="480"/>
      <c r="C540" s="480"/>
      <c r="D540" s="430"/>
      <c r="E540" s="480"/>
      <c r="F540" s="480"/>
      <c r="G540" s="430"/>
      <c r="H540" s="480"/>
      <c r="I540" s="480"/>
      <c r="J540" s="430"/>
      <c r="K540" s="480"/>
      <c r="L540" s="430"/>
      <c r="M540" s="480"/>
      <c r="N540" s="430"/>
      <c r="O540" s="480"/>
      <c r="P540" s="430"/>
      <c r="Q540" s="480"/>
    </row>
    <row r="541" ht="15.75" customHeight="1">
      <c r="A541" s="430"/>
      <c r="B541" s="480"/>
      <c r="C541" s="480"/>
      <c r="D541" s="430"/>
      <c r="E541" s="480"/>
      <c r="F541" s="480"/>
      <c r="G541" s="430"/>
      <c r="H541" s="480"/>
      <c r="I541" s="480"/>
      <c r="J541" s="430"/>
      <c r="K541" s="480"/>
      <c r="L541" s="430"/>
      <c r="M541" s="480"/>
      <c r="N541" s="430"/>
      <c r="O541" s="480"/>
      <c r="P541" s="430"/>
      <c r="Q541" s="480"/>
    </row>
    <row r="542" ht="15.75" customHeight="1">
      <c r="A542" s="430"/>
      <c r="B542" s="480"/>
      <c r="C542" s="480"/>
      <c r="D542" s="430"/>
      <c r="E542" s="480"/>
      <c r="F542" s="480"/>
      <c r="G542" s="430"/>
      <c r="H542" s="480"/>
      <c r="I542" s="480"/>
      <c r="J542" s="430"/>
      <c r="K542" s="480"/>
      <c r="L542" s="430"/>
      <c r="M542" s="480"/>
      <c r="N542" s="430"/>
      <c r="O542" s="480"/>
      <c r="P542" s="430"/>
      <c r="Q542" s="480"/>
    </row>
    <row r="543" ht="15.75" customHeight="1">
      <c r="A543" s="430"/>
      <c r="B543" s="480"/>
      <c r="C543" s="480"/>
      <c r="D543" s="430"/>
      <c r="E543" s="480"/>
      <c r="F543" s="480"/>
      <c r="G543" s="430"/>
      <c r="H543" s="480"/>
      <c r="I543" s="480"/>
      <c r="J543" s="430"/>
      <c r="K543" s="480"/>
      <c r="L543" s="430"/>
      <c r="M543" s="480"/>
      <c r="N543" s="430"/>
      <c r="O543" s="480"/>
      <c r="P543" s="430"/>
      <c r="Q543" s="480"/>
    </row>
    <row r="544" ht="15.75" customHeight="1">
      <c r="A544" s="430"/>
      <c r="B544" s="480"/>
      <c r="C544" s="480"/>
      <c r="D544" s="430"/>
      <c r="E544" s="480"/>
      <c r="F544" s="480"/>
      <c r="G544" s="430"/>
      <c r="H544" s="480"/>
      <c r="I544" s="480"/>
      <c r="J544" s="430"/>
      <c r="K544" s="480"/>
      <c r="L544" s="430"/>
      <c r="M544" s="480"/>
      <c r="N544" s="430"/>
      <c r="O544" s="480"/>
      <c r="P544" s="430"/>
      <c r="Q544" s="480"/>
    </row>
    <row r="545" ht="15.75" customHeight="1">
      <c r="A545" s="430"/>
      <c r="B545" s="480"/>
      <c r="C545" s="480"/>
      <c r="D545" s="430"/>
      <c r="E545" s="480"/>
      <c r="F545" s="480"/>
      <c r="G545" s="430"/>
      <c r="H545" s="480"/>
      <c r="I545" s="480"/>
      <c r="J545" s="430"/>
      <c r="K545" s="480"/>
      <c r="L545" s="430"/>
      <c r="M545" s="480"/>
      <c r="N545" s="430"/>
      <c r="O545" s="480"/>
      <c r="P545" s="430"/>
      <c r="Q545" s="480"/>
    </row>
    <row r="546" ht="15.75" customHeight="1">
      <c r="A546" s="430"/>
      <c r="B546" s="480"/>
      <c r="C546" s="480"/>
      <c r="D546" s="430"/>
      <c r="E546" s="480"/>
      <c r="F546" s="480"/>
      <c r="G546" s="430"/>
      <c r="H546" s="480"/>
      <c r="I546" s="480"/>
      <c r="J546" s="430"/>
      <c r="K546" s="480"/>
      <c r="L546" s="430"/>
      <c r="M546" s="480"/>
      <c r="N546" s="430"/>
      <c r="O546" s="480"/>
      <c r="P546" s="430"/>
      <c r="Q546" s="480"/>
    </row>
    <row r="547" ht="15.75" customHeight="1">
      <c r="A547" s="430"/>
      <c r="B547" s="480"/>
      <c r="C547" s="480"/>
      <c r="D547" s="430"/>
      <c r="E547" s="480"/>
      <c r="F547" s="480"/>
      <c r="G547" s="430"/>
      <c r="H547" s="480"/>
      <c r="I547" s="480"/>
      <c r="J547" s="430"/>
      <c r="K547" s="480"/>
      <c r="L547" s="430"/>
      <c r="M547" s="480"/>
      <c r="N547" s="430"/>
      <c r="O547" s="480"/>
      <c r="P547" s="430"/>
      <c r="Q547" s="480"/>
    </row>
    <row r="548" ht="15.75" customHeight="1">
      <c r="A548" s="430"/>
      <c r="B548" s="480"/>
      <c r="C548" s="480"/>
      <c r="D548" s="430"/>
      <c r="E548" s="480"/>
      <c r="F548" s="480"/>
      <c r="G548" s="430"/>
      <c r="H548" s="480"/>
      <c r="I548" s="480"/>
      <c r="J548" s="430"/>
      <c r="K548" s="480"/>
      <c r="L548" s="430"/>
      <c r="M548" s="480"/>
      <c r="N548" s="430"/>
      <c r="O548" s="480"/>
      <c r="P548" s="430"/>
      <c r="Q548" s="480"/>
    </row>
    <row r="549" ht="15.75" customHeight="1">
      <c r="A549" s="430"/>
      <c r="B549" s="480"/>
      <c r="C549" s="480"/>
      <c r="D549" s="430"/>
      <c r="E549" s="480"/>
      <c r="F549" s="480"/>
      <c r="G549" s="430"/>
      <c r="H549" s="480"/>
      <c r="I549" s="480"/>
      <c r="J549" s="430"/>
      <c r="K549" s="480"/>
      <c r="L549" s="430"/>
      <c r="M549" s="480"/>
      <c r="N549" s="430"/>
      <c r="O549" s="480"/>
      <c r="P549" s="430"/>
      <c r="Q549" s="480"/>
    </row>
    <row r="550" ht="15.75" customHeight="1">
      <c r="A550" s="430"/>
      <c r="B550" s="480"/>
      <c r="C550" s="480"/>
      <c r="D550" s="430"/>
      <c r="E550" s="480"/>
      <c r="F550" s="480"/>
      <c r="G550" s="430"/>
      <c r="H550" s="480"/>
      <c r="I550" s="480"/>
      <c r="J550" s="430"/>
      <c r="K550" s="480"/>
      <c r="L550" s="430"/>
      <c r="M550" s="480"/>
      <c r="N550" s="430"/>
      <c r="O550" s="480"/>
      <c r="P550" s="430"/>
      <c r="Q550" s="480"/>
    </row>
    <row r="551" ht="15.75" customHeight="1">
      <c r="A551" s="430"/>
      <c r="B551" s="480"/>
      <c r="C551" s="480"/>
      <c r="D551" s="430"/>
      <c r="E551" s="480"/>
      <c r="F551" s="480"/>
      <c r="G551" s="430"/>
      <c r="H551" s="480"/>
      <c r="I551" s="480"/>
      <c r="J551" s="430"/>
      <c r="K551" s="480"/>
      <c r="L551" s="430"/>
      <c r="M551" s="480"/>
      <c r="N551" s="430"/>
      <c r="O551" s="480"/>
      <c r="P551" s="430"/>
      <c r="Q551" s="480"/>
    </row>
    <row r="552" ht="15.75" customHeight="1">
      <c r="A552" s="430"/>
      <c r="B552" s="480"/>
      <c r="C552" s="480"/>
      <c r="D552" s="430"/>
      <c r="E552" s="480"/>
      <c r="F552" s="480"/>
      <c r="G552" s="430"/>
      <c r="H552" s="480"/>
      <c r="I552" s="480"/>
      <c r="J552" s="430"/>
      <c r="K552" s="480"/>
      <c r="L552" s="430"/>
      <c r="M552" s="480"/>
      <c r="N552" s="430"/>
      <c r="O552" s="480"/>
      <c r="P552" s="430"/>
      <c r="Q552" s="480"/>
    </row>
    <row r="553" ht="15.75" customHeight="1">
      <c r="A553" s="430"/>
      <c r="B553" s="480"/>
      <c r="C553" s="480"/>
      <c r="D553" s="430"/>
      <c r="E553" s="480"/>
      <c r="F553" s="480"/>
      <c r="G553" s="430"/>
      <c r="H553" s="480"/>
      <c r="I553" s="480"/>
      <c r="J553" s="430"/>
      <c r="K553" s="480"/>
      <c r="L553" s="430"/>
      <c r="M553" s="480"/>
      <c r="N553" s="430"/>
      <c r="O553" s="480"/>
      <c r="P553" s="430"/>
      <c r="Q553" s="480"/>
    </row>
    <row r="554" ht="15.75" customHeight="1">
      <c r="A554" s="430"/>
      <c r="B554" s="480"/>
      <c r="C554" s="480"/>
      <c r="D554" s="430"/>
      <c r="E554" s="480"/>
      <c r="F554" s="480"/>
      <c r="G554" s="430"/>
      <c r="H554" s="480"/>
      <c r="I554" s="480"/>
      <c r="J554" s="430"/>
      <c r="K554" s="480"/>
      <c r="L554" s="430"/>
      <c r="M554" s="480"/>
      <c r="N554" s="430"/>
      <c r="O554" s="480"/>
      <c r="P554" s="430"/>
      <c r="Q554" s="480"/>
    </row>
    <row r="555" ht="15.75" customHeight="1">
      <c r="A555" s="430"/>
      <c r="B555" s="480"/>
      <c r="C555" s="480"/>
      <c r="D555" s="430"/>
      <c r="E555" s="480"/>
      <c r="F555" s="480"/>
      <c r="G555" s="430"/>
      <c r="H555" s="480"/>
      <c r="I555" s="480"/>
      <c r="J555" s="430"/>
      <c r="K555" s="480"/>
      <c r="L555" s="430"/>
      <c r="M555" s="480"/>
      <c r="N555" s="430"/>
      <c r="O555" s="480"/>
      <c r="P555" s="430"/>
      <c r="Q555" s="480"/>
    </row>
    <row r="556" ht="15.75" customHeight="1">
      <c r="A556" s="430"/>
      <c r="B556" s="480"/>
      <c r="C556" s="480"/>
      <c r="D556" s="430"/>
      <c r="E556" s="480"/>
      <c r="F556" s="480"/>
      <c r="G556" s="430"/>
      <c r="H556" s="480"/>
      <c r="I556" s="480"/>
      <c r="J556" s="430"/>
      <c r="K556" s="480"/>
      <c r="L556" s="430"/>
      <c r="M556" s="480"/>
      <c r="N556" s="430"/>
      <c r="O556" s="480"/>
      <c r="P556" s="430"/>
      <c r="Q556" s="480"/>
    </row>
    <row r="557" ht="15.75" customHeight="1">
      <c r="A557" s="430"/>
      <c r="B557" s="480"/>
      <c r="C557" s="480"/>
      <c r="D557" s="430"/>
      <c r="E557" s="480"/>
      <c r="F557" s="480"/>
      <c r="G557" s="430"/>
      <c r="H557" s="480"/>
      <c r="I557" s="480"/>
      <c r="J557" s="430"/>
      <c r="K557" s="480"/>
      <c r="L557" s="430"/>
      <c r="M557" s="480"/>
      <c r="N557" s="430"/>
      <c r="O557" s="480"/>
      <c r="P557" s="430"/>
      <c r="Q557" s="480"/>
    </row>
    <row r="558" ht="15.75" customHeight="1">
      <c r="A558" s="430"/>
      <c r="B558" s="480"/>
      <c r="C558" s="480"/>
      <c r="D558" s="430"/>
      <c r="E558" s="480"/>
      <c r="F558" s="480"/>
      <c r="G558" s="430"/>
      <c r="H558" s="480"/>
      <c r="I558" s="480"/>
      <c r="J558" s="430"/>
      <c r="K558" s="480"/>
      <c r="L558" s="430"/>
      <c r="M558" s="480"/>
      <c r="N558" s="430"/>
      <c r="O558" s="480"/>
      <c r="P558" s="430"/>
      <c r="Q558" s="480"/>
    </row>
    <row r="559" ht="15.75" customHeight="1">
      <c r="A559" s="430"/>
      <c r="B559" s="480"/>
      <c r="C559" s="480"/>
      <c r="D559" s="430"/>
      <c r="E559" s="480"/>
      <c r="F559" s="480"/>
      <c r="G559" s="430"/>
      <c r="H559" s="480"/>
      <c r="I559" s="480"/>
      <c r="J559" s="430"/>
      <c r="K559" s="480"/>
      <c r="L559" s="430"/>
      <c r="M559" s="480"/>
      <c r="N559" s="430"/>
      <c r="O559" s="480"/>
      <c r="P559" s="430"/>
      <c r="Q559" s="480"/>
    </row>
    <row r="560" ht="15.75" customHeight="1">
      <c r="A560" s="430"/>
      <c r="B560" s="480"/>
      <c r="C560" s="480"/>
      <c r="D560" s="430"/>
      <c r="E560" s="480"/>
      <c r="F560" s="480"/>
      <c r="G560" s="430"/>
      <c r="H560" s="480"/>
      <c r="I560" s="480"/>
      <c r="J560" s="430"/>
      <c r="K560" s="480"/>
      <c r="L560" s="430"/>
      <c r="M560" s="480"/>
      <c r="N560" s="430"/>
      <c r="O560" s="480"/>
      <c r="P560" s="430"/>
      <c r="Q560" s="480"/>
    </row>
    <row r="561" ht="15.75" customHeight="1">
      <c r="A561" s="430"/>
      <c r="B561" s="480"/>
      <c r="C561" s="480"/>
      <c r="D561" s="430"/>
      <c r="E561" s="480"/>
      <c r="F561" s="480"/>
      <c r="G561" s="430"/>
      <c r="H561" s="480"/>
      <c r="I561" s="480"/>
      <c r="J561" s="430"/>
      <c r="K561" s="480"/>
      <c r="L561" s="430"/>
      <c r="M561" s="480"/>
      <c r="N561" s="430"/>
      <c r="O561" s="480"/>
      <c r="P561" s="430"/>
      <c r="Q561" s="480"/>
    </row>
    <row r="562" ht="15.75" customHeight="1">
      <c r="A562" s="430"/>
      <c r="B562" s="480"/>
      <c r="C562" s="480"/>
      <c r="D562" s="430"/>
      <c r="E562" s="480"/>
      <c r="F562" s="480"/>
      <c r="G562" s="430"/>
      <c r="H562" s="480"/>
      <c r="I562" s="480"/>
      <c r="J562" s="430"/>
      <c r="K562" s="480"/>
      <c r="L562" s="430"/>
      <c r="M562" s="480"/>
      <c r="N562" s="430"/>
      <c r="O562" s="480"/>
      <c r="P562" s="430"/>
      <c r="Q562" s="480"/>
    </row>
    <row r="563" ht="15.75" customHeight="1">
      <c r="A563" s="430"/>
      <c r="B563" s="480"/>
      <c r="C563" s="480"/>
      <c r="D563" s="430"/>
      <c r="E563" s="480"/>
      <c r="F563" s="480"/>
      <c r="G563" s="430"/>
      <c r="H563" s="480"/>
      <c r="I563" s="480"/>
      <c r="J563" s="430"/>
      <c r="K563" s="480"/>
      <c r="L563" s="430"/>
      <c r="M563" s="480"/>
      <c r="N563" s="430"/>
      <c r="O563" s="480"/>
      <c r="P563" s="430"/>
      <c r="Q563" s="480"/>
    </row>
    <row r="564" ht="15.75" customHeight="1">
      <c r="A564" s="430"/>
      <c r="B564" s="480"/>
      <c r="C564" s="480"/>
      <c r="D564" s="430"/>
      <c r="E564" s="480"/>
      <c r="F564" s="480"/>
      <c r="G564" s="430"/>
      <c r="H564" s="480"/>
      <c r="I564" s="480"/>
      <c r="J564" s="430"/>
      <c r="K564" s="480"/>
      <c r="L564" s="430"/>
      <c r="M564" s="480"/>
      <c r="N564" s="430"/>
      <c r="O564" s="480"/>
      <c r="P564" s="430"/>
      <c r="Q564" s="480"/>
    </row>
    <row r="565" ht="15.75" customHeight="1">
      <c r="A565" s="430"/>
      <c r="B565" s="480"/>
      <c r="C565" s="480"/>
      <c r="D565" s="430"/>
      <c r="E565" s="480"/>
      <c r="F565" s="480"/>
      <c r="G565" s="430"/>
      <c r="H565" s="480"/>
      <c r="I565" s="480"/>
      <c r="J565" s="430"/>
      <c r="K565" s="480"/>
      <c r="L565" s="430"/>
      <c r="M565" s="480"/>
      <c r="N565" s="430"/>
      <c r="O565" s="480"/>
      <c r="P565" s="430"/>
      <c r="Q565" s="480"/>
    </row>
    <row r="566" ht="15.75" customHeight="1">
      <c r="A566" s="430"/>
      <c r="B566" s="480"/>
      <c r="C566" s="480"/>
      <c r="D566" s="430"/>
      <c r="E566" s="480"/>
      <c r="F566" s="480"/>
      <c r="G566" s="430"/>
      <c r="H566" s="480"/>
      <c r="I566" s="480"/>
      <c r="J566" s="430"/>
      <c r="K566" s="480"/>
      <c r="L566" s="430"/>
      <c r="M566" s="480"/>
      <c r="N566" s="430"/>
      <c r="O566" s="480"/>
      <c r="P566" s="430"/>
      <c r="Q566" s="480"/>
    </row>
    <row r="567" ht="15.75" customHeight="1">
      <c r="A567" s="430"/>
      <c r="B567" s="480"/>
      <c r="C567" s="480"/>
      <c r="D567" s="430"/>
      <c r="E567" s="480"/>
      <c r="F567" s="480"/>
      <c r="G567" s="430"/>
      <c r="H567" s="480"/>
      <c r="I567" s="480"/>
      <c r="J567" s="430"/>
      <c r="K567" s="480"/>
      <c r="L567" s="430"/>
      <c r="M567" s="480"/>
      <c r="N567" s="430"/>
      <c r="O567" s="480"/>
      <c r="P567" s="430"/>
      <c r="Q567" s="480"/>
    </row>
    <row r="568" ht="15.75" customHeight="1">
      <c r="A568" s="430"/>
      <c r="B568" s="480"/>
      <c r="C568" s="480"/>
      <c r="D568" s="430"/>
      <c r="E568" s="480"/>
      <c r="F568" s="480"/>
      <c r="G568" s="430"/>
      <c r="H568" s="480"/>
      <c r="I568" s="480"/>
      <c r="J568" s="430"/>
      <c r="K568" s="480"/>
      <c r="L568" s="430"/>
      <c r="M568" s="480"/>
      <c r="N568" s="430"/>
      <c r="O568" s="480"/>
      <c r="P568" s="430"/>
      <c r="Q568" s="480"/>
    </row>
    <row r="569" ht="15.75" customHeight="1">
      <c r="A569" s="430"/>
      <c r="B569" s="480"/>
      <c r="C569" s="480"/>
      <c r="D569" s="430"/>
      <c r="E569" s="480"/>
      <c r="F569" s="480"/>
      <c r="G569" s="430"/>
      <c r="H569" s="480"/>
      <c r="I569" s="480"/>
      <c r="J569" s="430"/>
      <c r="K569" s="480"/>
      <c r="L569" s="430"/>
      <c r="M569" s="480"/>
      <c r="N569" s="430"/>
      <c r="O569" s="480"/>
      <c r="P569" s="430"/>
      <c r="Q569" s="480"/>
    </row>
    <row r="570" ht="15.75" customHeight="1">
      <c r="A570" s="430"/>
      <c r="B570" s="480"/>
      <c r="C570" s="480"/>
      <c r="D570" s="430"/>
      <c r="E570" s="480"/>
      <c r="F570" s="480"/>
      <c r="G570" s="430"/>
      <c r="H570" s="480"/>
      <c r="I570" s="480"/>
      <c r="J570" s="430"/>
      <c r="K570" s="480"/>
      <c r="L570" s="430"/>
      <c r="M570" s="480"/>
      <c r="N570" s="430"/>
      <c r="O570" s="480"/>
      <c r="P570" s="430"/>
      <c r="Q570" s="480"/>
    </row>
    <row r="571" ht="15.75" customHeight="1">
      <c r="A571" s="430"/>
      <c r="B571" s="480"/>
      <c r="C571" s="480"/>
      <c r="D571" s="430"/>
      <c r="E571" s="480"/>
      <c r="F571" s="480"/>
      <c r="G571" s="430"/>
      <c r="H571" s="480"/>
      <c r="I571" s="480"/>
      <c r="J571" s="430"/>
      <c r="K571" s="480"/>
      <c r="L571" s="430"/>
      <c r="M571" s="480"/>
      <c r="N571" s="430"/>
      <c r="O571" s="480"/>
      <c r="P571" s="430"/>
      <c r="Q571" s="480"/>
    </row>
    <row r="572" ht="15.75" customHeight="1">
      <c r="A572" s="430"/>
      <c r="B572" s="480"/>
      <c r="C572" s="480"/>
      <c r="D572" s="430"/>
      <c r="E572" s="480"/>
      <c r="F572" s="480"/>
      <c r="G572" s="430"/>
      <c r="H572" s="480"/>
      <c r="I572" s="480"/>
      <c r="J572" s="430"/>
      <c r="K572" s="480"/>
      <c r="L572" s="430"/>
      <c r="M572" s="480"/>
      <c r="N572" s="430"/>
      <c r="O572" s="480"/>
      <c r="P572" s="430"/>
      <c r="Q572" s="480"/>
    </row>
    <row r="573" ht="15.75" customHeight="1">
      <c r="A573" s="430"/>
      <c r="B573" s="480"/>
      <c r="C573" s="480"/>
      <c r="D573" s="430"/>
      <c r="E573" s="480"/>
      <c r="F573" s="480"/>
      <c r="G573" s="430"/>
      <c r="H573" s="480"/>
      <c r="I573" s="480"/>
      <c r="J573" s="430"/>
      <c r="K573" s="480"/>
      <c r="L573" s="430"/>
      <c r="M573" s="480"/>
      <c r="N573" s="430"/>
      <c r="O573" s="480"/>
      <c r="P573" s="430"/>
      <c r="Q573" s="480"/>
    </row>
    <row r="574" ht="15.75" customHeight="1">
      <c r="A574" s="430"/>
      <c r="B574" s="480"/>
      <c r="C574" s="480"/>
      <c r="D574" s="430"/>
      <c r="E574" s="480"/>
      <c r="F574" s="480"/>
      <c r="G574" s="430"/>
      <c r="H574" s="480"/>
      <c r="I574" s="480"/>
      <c r="J574" s="430"/>
      <c r="K574" s="480"/>
      <c r="L574" s="430"/>
      <c r="M574" s="480"/>
      <c r="N574" s="430"/>
      <c r="O574" s="480"/>
      <c r="P574" s="430"/>
      <c r="Q574" s="480"/>
    </row>
    <row r="575" ht="15.75" customHeight="1">
      <c r="A575" s="430"/>
      <c r="B575" s="480"/>
      <c r="C575" s="480"/>
      <c r="D575" s="430"/>
      <c r="E575" s="480"/>
      <c r="F575" s="480"/>
      <c r="G575" s="430"/>
      <c r="H575" s="480"/>
      <c r="I575" s="480"/>
      <c r="J575" s="430"/>
      <c r="K575" s="480"/>
      <c r="L575" s="430"/>
      <c r="M575" s="480"/>
      <c r="N575" s="430"/>
      <c r="O575" s="480"/>
      <c r="P575" s="430"/>
      <c r="Q575" s="480"/>
    </row>
    <row r="576" ht="15.75" customHeight="1">
      <c r="A576" s="430"/>
      <c r="B576" s="480"/>
      <c r="C576" s="480"/>
      <c r="D576" s="430"/>
      <c r="E576" s="480"/>
      <c r="F576" s="480"/>
      <c r="G576" s="430"/>
      <c r="H576" s="480"/>
      <c r="I576" s="480"/>
      <c r="J576" s="430"/>
      <c r="K576" s="480"/>
      <c r="L576" s="430"/>
      <c r="M576" s="480"/>
      <c r="N576" s="430"/>
      <c r="O576" s="480"/>
      <c r="P576" s="430"/>
      <c r="Q576" s="480"/>
    </row>
    <row r="577" ht="15.75" customHeight="1">
      <c r="A577" s="430"/>
      <c r="B577" s="480"/>
      <c r="C577" s="480"/>
      <c r="D577" s="430"/>
      <c r="E577" s="480"/>
      <c r="F577" s="480"/>
      <c r="G577" s="430"/>
      <c r="H577" s="480"/>
      <c r="I577" s="480"/>
      <c r="J577" s="430"/>
      <c r="K577" s="480"/>
      <c r="L577" s="430"/>
      <c r="M577" s="480"/>
      <c r="N577" s="430"/>
      <c r="O577" s="480"/>
      <c r="P577" s="430"/>
      <c r="Q577" s="480"/>
    </row>
    <row r="578" ht="15.75" customHeight="1">
      <c r="A578" s="430"/>
      <c r="B578" s="480"/>
      <c r="C578" s="480"/>
      <c r="D578" s="430"/>
      <c r="E578" s="480"/>
      <c r="F578" s="480"/>
      <c r="G578" s="430"/>
      <c r="H578" s="480"/>
      <c r="I578" s="480"/>
      <c r="J578" s="430"/>
      <c r="K578" s="480"/>
      <c r="L578" s="430"/>
      <c r="M578" s="480"/>
      <c r="N578" s="430"/>
      <c r="O578" s="480"/>
      <c r="P578" s="430"/>
      <c r="Q578" s="480"/>
    </row>
    <row r="579" ht="15.75" customHeight="1">
      <c r="A579" s="430"/>
      <c r="B579" s="480"/>
      <c r="C579" s="480"/>
      <c r="D579" s="430"/>
      <c r="E579" s="480"/>
      <c r="F579" s="480"/>
      <c r="G579" s="430"/>
      <c r="H579" s="480"/>
      <c r="I579" s="480"/>
      <c r="J579" s="430"/>
      <c r="K579" s="480"/>
      <c r="L579" s="430"/>
      <c r="M579" s="480"/>
      <c r="N579" s="430"/>
      <c r="O579" s="480"/>
      <c r="P579" s="430"/>
      <c r="Q579" s="480"/>
    </row>
    <row r="580" ht="15.75" customHeight="1">
      <c r="A580" s="430"/>
      <c r="B580" s="480"/>
      <c r="C580" s="480"/>
      <c r="D580" s="430"/>
      <c r="E580" s="480"/>
      <c r="F580" s="480"/>
      <c r="G580" s="430"/>
      <c r="H580" s="480"/>
      <c r="I580" s="480"/>
      <c r="J580" s="430"/>
      <c r="K580" s="480"/>
      <c r="L580" s="430"/>
      <c r="M580" s="480"/>
      <c r="N580" s="430"/>
      <c r="O580" s="480"/>
      <c r="P580" s="430"/>
      <c r="Q580" s="480"/>
    </row>
    <row r="581" ht="15.75" customHeight="1">
      <c r="A581" s="430"/>
      <c r="B581" s="480"/>
      <c r="C581" s="480"/>
      <c r="D581" s="430"/>
      <c r="E581" s="480"/>
      <c r="F581" s="480"/>
      <c r="G581" s="430"/>
      <c r="H581" s="480"/>
      <c r="I581" s="480"/>
      <c r="J581" s="430"/>
      <c r="K581" s="480"/>
      <c r="L581" s="430"/>
      <c r="M581" s="480"/>
      <c r="N581" s="430"/>
      <c r="O581" s="480"/>
      <c r="P581" s="430"/>
      <c r="Q581" s="480"/>
    </row>
    <row r="582" ht="15.75" customHeight="1">
      <c r="A582" s="430"/>
      <c r="B582" s="480"/>
      <c r="C582" s="480"/>
      <c r="D582" s="430"/>
      <c r="E582" s="480"/>
      <c r="F582" s="480"/>
      <c r="G582" s="430"/>
      <c r="H582" s="480"/>
      <c r="I582" s="480"/>
      <c r="J582" s="430"/>
      <c r="K582" s="480"/>
      <c r="L582" s="430"/>
      <c r="M582" s="480"/>
      <c r="N582" s="430"/>
      <c r="O582" s="480"/>
      <c r="P582" s="430"/>
      <c r="Q582" s="480"/>
    </row>
    <row r="583" ht="15.75" customHeight="1">
      <c r="A583" s="430"/>
      <c r="B583" s="480"/>
      <c r="C583" s="480"/>
      <c r="D583" s="430"/>
      <c r="E583" s="480"/>
      <c r="F583" s="480"/>
      <c r="G583" s="430"/>
      <c r="H583" s="480"/>
      <c r="I583" s="480"/>
      <c r="J583" s="430"/>
      <c r="K583" s="480"/>
      <c r="L583" s="430"/>
      <c r="M583" s="480"/>
      <c r="N583" s="430"/>
      <c r="O583" s="480"/>
      <c r="P583" s="430"/>
      <c r="Q583" s="480"/>
    </row>
    <row r="584" ht="15.75" customHeight="1">
      <c r="A584" s="430"/>
      <c r="B584" s="480"/>
      <c r="C584" s="480"/>
      <c r="D584" s="430"/>
      <c r="E584" s="480"/>
      <c r="F584" s="480"/>
      <c r="G584" s="430"/>
      <c r="H584" s="480"/>
      <c r="I584" s="480"/>
      <c r="J584" s="430"/>
      <c r="K584" s="480"/>
      <c r="L584" s="430"/>
      <c r="M584" s="480"/>
      <c r="N584" s="430"/>
      <c r="O584" s="480"/>
      <c r="P584" s="430"/>
      <c r="Q584" s="480"/>
    </row>
    <row r="585" ht="15.75" customHeight="1">
      <c r="A585" s="430"/>
      <c r="B585" s="480"/>
      <c r="C585" s="480"/>
      <c r="D585" s="430"/>
      <c r="E585" s="480"/>
      <c r="F585" s="480"/>
      <c r="G585" s="430"/>
      <c r="H585" s="480"/>
      <c r="I585" s="480"/>
      <c r="J585" s="430"/>
      <c r="K585" s="480"/>
      <c r="L585" s="430"/>
      <c r="M585" s="480"/>
      <c r="N585" s="430"/>
      <c r="O585" s="480"/>
      <c r="P585" s="430"/>
      <c r="Q585" s="480"/>
    </row>
    <row r="586" ht="15.75" customHeight="1">
      <c r="A586" s="430"/>
      <c r="B586" s="480"/>
      <c r="C586" s="480"/>
      <c r="D586" s="430"/>
      <c r="E586" s="480"/>
      <c r="F586" s="480"/>
      <c r="G586" s="430"/>
      <c r="H586" s="480"/>
      <c r="I586" s="480"/>
      <c r="J586" s="430"/>
      <c r="K586" s="480"/>
      <c r="L586" s="430"/>
      <c r="M586" s="480"/>
      <c r="N586" s="430"/>
      <c r="O586" s="480"/>
      <c r="P586" s="430"/>
      <c r="Q586" s="480"/>
    </row>
    <row r="587" ht="15.75" customHeight="1">
      <c r="A587" s="430"/>
      <c r="B587" s="480"/>
      <c r="C587" s="480"/>
      <c r="D587" s="430"/>
      <c r="E587" s="480"/>
      <c r="F587" s="480"/>
      <c r="G587" s="430"/>
      <c r="H587" s="480"/>
      <c r="I587" s="480"/>
      <c r="J587" s="430"/>
      <c r="K587" s="480"/>
      <c r="L587" s="430"/>
      <c r="M587" s="480"/>
      <c r="N587" s="430"/>
      <c r="O587" s="480"/>
      <c r="P587" s="430"/>
      <c r="Q587" s="480"/>
    </row>
    <row r="588" ht="15.75" customHeight="1">
      <c r="A588" s="430"/>
      <c r="B588" s="480"/>
      <c r="C588" s="480"/>
      <c r="D588" s="430"/>
      <c r="E588" s="480"/>
      <c r="F588" s="480"/>
      <c r="G588" s="430"/>
      <c r="H588" s="480"/>
      <c r="I588" s="480"/>
      <c r="J588" s="430"/>
      <c r="K588" s="480"/>
      <c r="L588" s="430"/>
      <c r="M588" s="480"/>
      <c r="N588" s="430"/>
      <c r="O588" s="480"/>
      <c r="P588" s="430"/>
      <c r="Q588" s="480"/>
    </row>
    <row r="589" ht="15.75" customHeight="1">
      <c r="A589" s="430"/>
      <c r="B589" s="480"/>
      <c r="C589" s="480"/>
      <c r="D589" s="430"/>
      <c r="E589" s="480"/>
      <c r="F589" s="480"/>
      <c r="G589" s="430"/>
      <c r="H589" s="480"/>
      <c r="I589" s="480"/>
      <c r="J589" s="430"/>
      <c r="K589" s="480"/>
      <c r="L589" s="430"/>
      <c r="M589" s="480"/>
      <c r="N589" s="430"/>
      <c r="O589" s="480"/>
      <c r="P589" s="430"/>
      <c r="Q589" s="480"/>
    </row>
    <row r="590" ht="15.75" customHeight="1">
      <c r="A590" s="430"/>
      <c r="B590" s="480"/>
      <c r="C590" s="480"/>
      <c r="D590" s="430"/>
      <c r="E590" s="480"/>
      <c r="F590" s="480"/>
      <c r="G590" s="430"/>
      <c r="H590" s="480"/>
      <c r="I590" s="480"/>
      <c r="J590" s="430"/>
      <c r="K590" s="480"/>
      <c r="L590" s="430"/>
      <c r="M590" s="480"/>
      <c r="N590" s="430"/>
      <c r="O590" s="480"/>
      <c r="P590" s="430"/>
      <c r="Q590" s="480"/>
    </row>
    <row r="591" ht="15.75" customHeight="1">
      <c r="A591" s="430"/>
      <c r="B591" s="480"/>
      <c r="C591" s="480"/>
      <c r="D591" s="430"/>
      <c r="E591" s="480"/>
      <c r="F591" s="480"/>
      <c r="G591" s="430"/>
      <c r="H591" s="480"/>
      <c r="I591" s="480"/>
      <c r="J591" s="430"/>
      <c r="K591" s="480"/>
      <c r="L591" s="430"/>
      <c r="M591" s="480"/>
      <c r="N591" s="430"/>
      <c r="O591" s="480"/>
      <c r="P591" s="430"/>
      <c r="Q591" s="480"/>
    </row>
    <row r="592" ht="15.75" customHeight="1">
      <c r="A592" s="430"/>
      <c r="B592" s="480"/>
      <c r="C592" s="480"/>
      <c r="D592" s="430"/>
      <c r="E592" s="480"/>
      <c r="F592" s="480"/>
      <c r="G592" s="430"/>
      <c r="H592" s="480"/>
      <c r="I592" s="480"/>
      <c r="J592" s="430"/>
      <c r="K592" s="480"/>
      <c r="L592" s="430"/>
      <c r="M592" s="480"/>
      <c r="N592" s="430"/>
      <c r="O592" s="480"/>
      <c r="P592" s="430"/>
      <c r="Q592" s="480"/>
    </row>
    <row r="593" ht="15.75" customHeight="1">
      <c r="A593" s="430"/>
      <c r="B593" s="480"/>
      <c r="C593" s="480"/>
      <c r="D593" s="430"/>
      <c r="E593" s="480"/>
      <c r="F593" s="480"/>
      <c r="G593" s="430"/>
      <c r="H593" s="480"/>
      <c r="I593" s="480"/>
      <c r="J593" s="430"/>
      <c r="K593" s="480"/>
      <c r="L593" s="430"/>
      <c r="M593" s="480"/>
      <c r="N593" s="430"/>
      <c r="O593" s="480"/>
      <c r="P593" s="430"/>
      <c r="Q593" s="480"/>
    </row>
    <row r="594" ht="15.75" customHeight="1">
      <c r="A594" s="430"/>
      <c r="B594" s="480"/>
      <c r="C594" s="480"/>
      <c r="D594" s="430"/>
      <c r="E594" s="480"/>
      <c r="F594" s="480"/>
      <c r="G594" s="430"/>
      <c r="H594" s="480"/>
      <c r="I594" s="480"/>
      <c r="J594" s="430"/>
      <c r="K594" s="480"/>
      <c r="L594" s="430"/>
      <c r="M594" s="480"/>
      <c r="N594" s="430"/>
      <c r="O594" s="480"/>
      <c r="P594" s="430"/>
      <c r="Q594" s="480"/>
    </row>
    <row r="595" ht="15.75" customHeight="1">
      <c r="A595" s="430"/>
      <c r="B595" s="480"/>
      <c r="C595" s="480"/>
      <c r="D595" s="430"/>
      <c r="E595" s="480"/>
      <c r="F595" s="480"/>
      <c r="G595" s="430"/>
      <c r="H595" s="480"/>
      <c r="I595" s="480"/>
      <c r="J595" s="430"/>
      <c r="K595" s="480"/>
      <c r="L595" s="430"/>
      <c r="M595" s="480"/>
      <c r="N595" s="430"/>
      <c r="O595" s="480"/>
      <c r="P595" s="430"/>
      <c r="Q595" s="480"/>
    </row>
    <row r="596" ht="15.75" customHeight="1">
      <c r="A596" s="430"/>
      <c r="B596" s="480"/>
      <c r="C596" s="480"/>
      <c r="D596" s="430"/>
      <c r="E596" s="480"/>
      <c r="F596" s="480"/>
      <c r="G596" s="430"/>
      <c r="H596" s="480"/>
      <c r="I596" s="480"/>
      <c r="J596" s="430"/>
      <c r="K596" s="480"/>
      <c r="L596" s="430"/>
      <c r="M596" s="480"/>
      <c r="N596" s="430"/>
      <c r="O596" s="480"/>
      <c r="P596" s="430"/>
      <c r="Q596" s="480"/>
    </row>
    <row r="597" ht="15.75" customHeight="1">
      <c r="A597" s="430"/>
      <c r="B597" s="480"/>
      <c r="C597" s="480"/>
      <c r="D597" s="430"/>
      <c r="E597" s="480"/>
      <c r="F597" s="480"/>
      <c r="G597" s="430"/>
      <c r="H597" s="480"/>
      <c r="I597" s="480"/>
      <c r="J597" s="430"/>
      <c r="K597" s="480"/>
      <c r="L597" s="430"/>
      <c r="M597" s="480"/>
      <c r="N597" s="430"/>
      <c r="O597" s="480"/>
      <c r="P597" s="430"/>
      <c r="Q597" s="480"/>
    </row>
    <row r="598" ht="15.75" customHeight="1">
      <c r="A598" s="430"/>
      <c r="B598" s="480"/>
      <c r="C598" s="480"/>
      <c r="D598" s="430"/>
      <c r="E598" s="480"/>
      <c r="F598" s="480"/>
      <c r="G598" s="430"/>
      <c r="H598" s="480"/>
      <c r="I598" s="480"/>
      <c r="J598" s="430"/>
      <c r="K598" s="480"/>
      <c r="L598" s="430"/>
      <c r="M598" s="480"/>
      <c r="N598" s="430"/>
      <c r="O598" s="480"/>
      <c r="P598" s="430"/>
      <c r="Q598" s="480"/>
    </row>
    <row r="599" ht="15.75" customHeight="1">
      <c r="A599" s="430"/>
      <c r="B599" s="480"/>
      <c r="C599" s="480"/>
      <c r="D599" s="430"/>
      <c r="E599" s="480"/>
      <c r="F599" s="480"/>
      <c r="G599" s="430"/>
      <c r="H599" s="480"/>
      <c r="I599" s="480"/>
      <c r="J599" s="430"/>
      <c r="K599" s="480"/>
      <c r="L599" s="430"/>
      <c r="M599" s="480"/>
      <c r="N599" s="430"/>
      <c r="O599" s="480"/>
      <c r="P599" s="430"/>
      <c r="Q599" s="480"/>
    </row>
    <row r="600" ht="15.75" customHeight="1">
      <c r="A600" s="430"/>
      <c r="B600" s="480"/>
      <c r="C600" s="480"/>
      <c r="D600" s="430"/>
      <c r="E600" s="480"/>
      <c r="F600" s="480"/>
      <c r="G600" s="430"/>
      <c r="H600" s="480"/>
      <c r="I600" s="480"/>
      <c r="J600" s="430"/>
      <c r="K600" s="480"/>
      <c r="L600" s="430"/>
      <c r="M600" s="480"/>
      <c r="N600" s="430"/>
      <c r="O600" s="480"/>
      <c r="P600" s="430"/>
      <c r="Q600" s="480"/>
    </row>
    <row r="601" ht="15.75" customHeight="1">
      <c r="A601" s="430"/>
      <c r="B601" s="480"/>
      <c r="C601" s="480"/>
      <c r="D601" s="430"/>
      <c r="E601" s="480"/>
      <c r="F601" s="480"/>
      <c r="G601" s="430"/>
      <c r="H601" s="480"/>
      <c r="I601" s="480"/>
      <c r="J601" s="430"/>
      <c r="K601" s="480"/>
      <c r="L601" s="430"/>
      <c r="M601" s="480"/>
      <c r="N601" s="430"/>
      <c r="O601" s="480"/>
      <c r="P601" s="430"/>
      <c r="Q601" s="480"/>
    </row>
    <row r="602" ht="15.75" customHeight="1">
      <c r="A602" s="430"/>
      <c r="B602" s="480"/>
      <c r="C602" s="480"/>
      <c r="D602" s="430"/>
      <c r="E602" s="480"/>
      <c r="F602" s="480"/>
      <c r="G602" s="430"/>
      <c r="H602" s="480"/>
      <c r="I602" s="480"/>
      <c r="J602" s="430"/>
      <c r="K602" s="480"/>
      <c r="L602" s="430"/>
      <c r="M602" s="480"/>
      <c r="N602" s="430"/>
      <c r="O602" s="480"/>
      <c r="P602" s="430"/>
      <c r="Q602" s="480"/>
    </row>
    <row r="603" ht="15.75" customHeight="1">
      <c r="A603" s="430"/>
      <c r="B603" s="480"/>
      <c r="C603" s="480"/>
      <c r="D603" s="430"/>
      <c r="E603" s="480"/>
      <c r="F603" s="480"/>
      <c r="G603" s="430"/>
      <c r="H603" s="480"/>
      <c r="I603" s="480"/>
      <c r="J603" s="430"/>
      <c r="K603" s="480"/>
      <c r="L603" s="430"/>
      <c r="M603" s="480"/>
      <c r="N603" s="430"/>
      <c r="O603" s="480"/>
      <c r="P603" s="430"/>
      <c r="Q603" s="480"/>
    </row>
    <row r="604" ht="15.75" customHeight="1">
      <c r="A604" s="430"/>
      <c r="B604" s="480"/>
      <c r="C604" s="480"/>
      <c r="D604" s="430"/>
      <c r="E604" s="480"/>
      <c r="F604" s="480"/>
      <c r="G604" s="430"/>
      <c r="H604" s="480"/>
      <c r="I604" s="480"/>
      <c r="J604" s="430"/>
      <c r="K604" s="480"/>
      <c r="L604" s="430"/>
      <c r="M604" s="480"/>
      <c r="N604" s="430"/>
      <c r="O604" s="480"/>
      <c r="P604" s="430"/>
      <c r="Q604" s="480"/>
    </row>
    <row r="605" ht="15.75" customHeight="1">
      <c r="A605" s="430"/>
      <c r="B605" s="480"/>
      <c r="C605" s="480"/>
      <c r="D605" s="430"/>
      <c r="E605" s="480"/>
      <c r="F605" s="480"/>
      <c r="G605" s="430"/>
      <c r="H605" s="480"/>
      <c r="I605" s="480"/>
      <c r="J605" s="430"/>
      <c r="K605" s="480"/>
      <c r="L605" s="430"/>
      <c r="M605" s="480"/>
      <c r="N605" s="430"/>
      <c r="O605" s="480"/>
      <c r="P605" s="430"/>
      <c r="Q605" s="480"/>
    </row>
    <row r="606" ht="15.75" customHeight="1">
      <c r="A606" s="430"/>
      <c r="B606" s="480"/>
      <c r="C606" s="480"/>
      <c r="D606" s="430"/>
      <c r="E606" s="480"/>
      <c r="F606" s="480"/>
      <c r="G606" s="430"/>
      <c r="H606" s="480"/>
      <c r="I606" s="480"/>
      <c r="J606" s="430"/>
      <c r="K606" s="480"/>
      <c r="L606" s="430"/>
      <c r="M606" s="480"/>
      <c r="N606" s="430"/>
      <c r="O606" s="480"/>
      <c r="P606" s="430"/>
      <c r="Q606" s="480"/>
    </row>
    <row r="607" ht="15.75" customHeight="1">
      <c r="A607" s="430"/>
      <c r="B607" s="480"/>
      <c r="C607" s="480"/>
      <c r="D607" s="430"/>
      <c r="E607" s="480"/>
      <c r="F607" s="480"/>
      <c r="G607" s="430"/>
      <c r="H607" s="480"/>
      <c r="I607" s="480"/>
      <c r="J607" s="430"/>
      <c r="K607" s="480"/>
      <c r="L607" s="430"/>
      <c r="M607" s="480"/>
      <c r="N607" s="430"/>
      <c r="O607" s="480"/>
      <c r="P607" s="430"/>
      <c r="Q607" s="480"/>
    </row>
    <row r="608" ht="15.75" customHeight="1">
      <c r="A608" s="430"/>
      <c r="B608" s="480"/>
      <c r="C608" s="480"/>
      <c r="D608" s="430"/>
      <c r="E608" s="480"/>
      <c r="F608" s="480"/>
      <c r="G608" s="430"/>
      <c r="H608" s="480"/>
      <c r="I608" s="480"/>
      <c r="J608" s="430"/>
      <c r="K608" s="480"/>
      <c r="L608" s="430"/>
      <c r="M608" s="480"/>
      <c r="N608" s="430"/>
      <c r="O608" s="480"/>
      <c r="P608" s="430"/>
      <c r="Q608" s="480"/>
    </row>
    <row r="609" ht="15.75" customHeight="1">
      <c r="A609" s="430"/>
      <c r="B609" s="480"/>
      <c r="C609" s="480"/>
      <c r="D609" s="430"/>
      <c r="E609" s="480"/>
      <c r="F609" s="480"/>
      <c r="G609" s="430"/>
      <c r="H609" s="480"/>
      <c r="I609" s="480"/>
      <c r="J609" s="430"/>
      <c r="K609" s="480"/>
      <c r="L609" s="430"/>
      <c r="M609" s="480"/>
      <c r="N609" s="430"/>
      <c r="O609" s="480"/>
      <c r="P609" s="430"/>
      <c r="Q609" s="480"/>
    </row>
    <row r="610" ht="15.75" customHeight="1">
      <c r="A610" s="430"/>
      <c r="B610" s="480"/>
      <c r="C610" s="480"/>
      <c r="D610" s="430"/>
      <c r="E610" s="480"/>
      <c r="F610" s="480"/>
      <c r="G610" s="430"/>
      <c r="H610" s="480"/>
      <c r="I610" s="480"/>
      <c r="J610" s="430"/>
      <c r="K610" s="480"/>
      <c r="L610" s="430"/>
      <c r="M610" s="480"/>
      <c r="N610" s="430"/>
      <c r="O610" s="480"/>
      <c r="P610" s="430"/>
      <c r="Q610" s="480"/>
    </row>
    <row r="611" ht="15.75" customHeight="1">
      <c r="A611" s="430"/>
      <c r="B611" s="480"/>
      <c r="C611" s="480"/>
      <c r="D611" s="430"/>
      <c r="E611" s="480"/>
      <c r="F611" s="480"/>
      <c r="G611" s="430"/>
      <c r="H611" s="480"/>
      <c r="I611" s="480"/>
      <c r="J611" s="430"/>
      <c r="K611" s="480"/>
      <c r="L611" s="430"/>
      <c r="M611" s="480"/>
      <c r="N611" s="430"/>
      <c r="O611" s="480"/>
      <c r="P611" s="430"/>
      <c r="Q611" s="480"/>
    </row>
    <row r="612" ht="15.75" customHeight="1">
      <c r="A612" s="430"/>
      <c r="B612" s="480"/>
      <c r="C612" s="480"/>
      <c r="D612" s="430"/>
      <c r="E612" s="480"/>
      <c r="F612" s="480"/>
      <c r="G612" s="430"/>
      <c r="H612" s="480"/>
      <c r="I612" s="480"/>
      <c r="J612" s="430"/>
      <c r="K612" s="480"/>
      <c r="L612" s="430"/>
      <c r="M612" s="480"/>
      <c r="N612" s="430"/>
      <c r="O612" s="480"/>
      <c r="P612" s="430"/>
      <c r="Q612" s="480"/>
    </row>
    <row r="613" ht="15.75" customHeight="1">
      <c r="A613" s="430"/>
      <c r="B613" s="480"/>
      <c r="C613" s="480"/>
      <c r="D613" s="430"/>
      <c r="E613" s="480"/>
      <c r="F613" s="480"/>
      <c r="G613" s="430"/>
      <c r="H613" s="480"/>
      <c r="I613" s="480"/>
      <c r="J613" s="430"/>
      <c r="K613" s="480"/>
      <c r="L613" s="430"/>
      <c r="M613" s="480"/>
      <c r="N613" s="430"/>
      <c r="O613" s="480"/>
      <c r="P613" s="430"/>
      <c r="Q613" s="480"/>
    </row>
    <row r="614" ht="15.75" customHeight="1">
      <c r="A614" s="430"/>
      <c r="B614" s="480"/>
      <c r="C614" s="480"/>
      <c r="D614" s="430"/>
      <c r="E614" s="480"/>
      <c r="F614" s="480"/>
      <c r="G614" s="430"/>
      <c r="H614" s="480"/>
      <c r="I614" s="480"/>
      <c r="J614" s="430"/>
      <c r="K614" s="480"/>
      <c r="L614" s="430"/>
      <c r="M614" s="480"/>
      <c r="N614" s="430"/>
      <c r="O614" s="480"/>
      <c r="P614" s="430"/>
      <c r="Q614" s="480"/>
    </row>
    <row r="615" ht="15.75" customHeight="1">
      <c r="A615" s="430"/>
      <c r="B615" s="480"/>
      <c r="C615" s="480"/>
      <c r="D615" s="430"/>
      <c r="E615" s="480"/>
      <c r="F615" s="480"/>
      <c r="G615" s="430"/>
      <c r="H615" s="480"/>
      <c r="I615" s="480"/>
      <c r="J615" s="430"/>
      <c r="K615" s="480"/>
      <c r="L615" s="430"/>
      <c r="M615" s="480"/>
      <c r="N615" s="430"/>
      <c r="O615" s="480"/>
      <c r="P615" s="430"/>
      <c r="Q615" s="480"/>
    </row>
    <row r="616" ht="15.75" customHeight="1">
      <c r="A616" s="430"/>
      <c r="B616" s="480"/>
      <c r="C616" s="480"/>
      <c r="D616" s="430"/>
      <c r="E616" s="480"/>
      <c r="F616" s="480"/>
      <c r="G616" s="430"/>
      <c r="H616" s="480"/>
      <c r="I616" s="480"/>
      <c r="J616" s="430"/>
      <c r="K616" s="480"/>
      <c r="L616" s="430"/>
      <c r="M616" s="480"/>
      <c r="N616" s="430"/>
      <c r="O616" s="480"/>
      <c r="P616" s="430"/>
      <c r="Q616" s="480"/>
    </row>
    <row r="617" ht="15.75" customHeight="1">
      <c r="A617" s="430"/>
      <c r="B617" s="480"/>
      <c r="C617" s="480"/>
      <c r="D617" s="430"/>
      <c r="E617" s="480"/>
      <c r="F617" s="480"/>
      <c r="G617" s="430"/>
      <c r="H617" s="480"/>
      <c r="I617" s="480"/>
      <c r="J617" s="430"/>
      <c r="K617" s="480"/>
      <c r="L617" s="430"/>
      <c r="M617" s="480"/>
      <c r="N617" s="430"/>
      <c r="O617" s="480"/>
      <c r="P617" s="430"/>
      <c r="Q617" s="480"/>
    </row>
    <row r="618" ht="15.75" customHeight="1">
      <c r="A618" s="430"/>
      <c r="B618" s="480"/>
      <c r="C618" s="480"/>
      <c r="D618" s="430"/>
      <c r="E618" s="480"/>
      <c r="F618" s="480"/>
      <c r="G618" s="430"/>
      <c r="H618" s="480"/>
      <c r="I618" s="480"/>
      <c r="J618" s="430"/>
      <c r="K618" s="480"/>
      <c r="L618" s="430"/>
      <c r="M618" s="480"/>
      <c r="N618" s="430"/>
      <c r="O618" s="480"/>
      <c r="P618" s="430"/>
      <c r="Q618" s="480"/>
    </row>
    <row r="619" ht="15.75" customHeight="1">
      <c r="A619" s="430"/>
      <c r="B619" s="480"/>
      <c r="C619" s="480"/>
      <c r="D619" s="430"/>
      <c r="E619" s="480"/>
      <c r="F619" s="480"/>
      <c r="G619" s="430"/>
      <c r="H619" s="480"/>
      <c r="I619" s="480"/>
      <c r="J619" s="430"/>
      <c r="K619" s="480"/>
      <c r="L619" s="430"/>
      <c r="M619" s="480"/>
      <c r="N619" s="430"/>
      <c r="O619" s="480"/>
      <c r="P619" s="430"/>
      <c r="Q619" s="480"/>
    </row>
    <row r="620" ht="15.75" customHeight="1">
      <c r="A620" s="430"/>
      <c r="B620" s="480"/>
      <c r="C620" s="480"/>
      <c r="D620" s="430"/>
      <c r="E620" s="480"/>
      <c r="F620" s="480"/>
      <c r="G620" s="430"/>
      <c r="H620" s="480"/>
      <c r="I620" s="480"/>
      <c r="J620" s="430"/>
      <c r="K620" s="480"/>
      <c r="L620" s="430"/>
      <c r="M620" s="480"/>
      <c r="N620" s="430"/>
      <c r="O620" s="480"/>
      <c r="P620" s="430"/>
      <c r="Q620" s="480"/>
    </row>
    <row r="621" ht="15.75" customHeight="1">
      <c r="A621" s="430"/>
      <c r="B621" s="480"/>
      <c r="C621" s="480"/>
      <c r="D621" s="430"/>
      <c r="E621" s="480"/>
      <c r="F621" s="480"/>
      <c r="G621" s="430"/>
      <c r="H621" s="480"/>
      <c r="I621" s="480"/>
      <c r="J621" s="430"/>
      <c r="K621" s="480"/>
      <c r="L621" s="430"/>
      <c r="M621" s="480"/>
      <c r="N621" s="430"/>
      <c r="O621" s="480"/>
      <c r="P621" s="430"/>
      <c r="Q621" s="480"/>
    </row>
    <row r="622" ht="15.75" customHeight="1">
      <c r="A622" s="430"/>
      <c r="B622" s="480"/>
      <c r="C622" s="480"/>
      <c r="D622" s="430"/>
      <c r="E622" s="480"/>
      <c r="F622" s="480"/>
      <c r="G622" s="430"/>
      <c r="H622" s="480"/>
      <c r="I622" s="480"/>
      <c r="J622" s="430"/>
      <c r="K622" s="480"/>
      <c r="L622" s="430"/>
      <c r="M622" s="480"/>
      <c r="N622" s="430"/>
      <c r="O622" s="480"/>
      <c r="P622" s="430"/>
      <c r="Q622" s="480"/>
    </row>
    <row r="623" ht="15.75" customHeight="1">
      <c r="A623" s="430"/>
      <c r="B623" s="480"/>
      <c r="C623" s="480"/>
      <c r="D623" s="430"/>
      <c r="E623" s="480"/>
      <c r="F623" s="480"/>
      <c r="G623" s="430"/>
      <c r="H623" s="480"/>
      <c r="I623" s="480"/>
      <c r="J623" s="430"/>
      <c r="K623" s="480"/>
      <c r="L623" s="430"/>
      <c r="M623" s="480"/>
      <c r="N623" s="430"/>
      <c r="O623" s="480"/>
      <c r="P623" s="430"/>
      <c r="Q623" s="480"/>
    </row>
    <row r="624" ht="15.75" customHeight="1">
      <c r="A624" s="430"/>
      <c r="B624" s="480"/>
      <c r="C624" s="480"/>
      <c r="D624" s="430"/>
      <c r="E624" s="480"/>
      <c r="F624" s="480"/>
      <c r="G624" s="430"/>
      <c r="H624" s="480"/>
      <c r="I624" s="480"/>
      <c r="J624" s="430"/>
      <c r="K624" s="480"/>
      <c r="L624" s="430"/>
      <c r="M624" s="480"/>
      <c r="N624" s="430"/>
      <c r="O624" s="480"/>
      <c r="P624" s="430"/>
      <c r="Q624" s="480"/>
    </row>
    <row r="625" ht="15.75" customHeight="1">
      <c r="A625" s="430"/>
      <c r="B625" s="480"/>
      <c r="C625" s="480"/>
      <c r="D625" s="430"/>
      <c r="E625" s="480"/>
      <c r="F625" s="480"/>
      <c r="G625" s="430"/>
      <c r="H625" s="480"/>
      <c r="I625" s="480"/>
      <c r="J625" s="430"/>
      <c r="K625" s="480"/>
      <c r="L625" s="430"/>
      <c r="M625" s="480"/>
      <c r="N625" s="430"/>
      <c r="O625" s="480"/>
      <c r="P625" s="430"/>
      <c r="Q625" s="480"/>
    </row>
    <row r="626" ht="15.75" customHeight="1">
      <c r="A626" s="430"/>
      <c r="B626" s="480"/>
      <c r="C626" s="480"/>
      <c r="D626" s="430"/>
      <c r="E626" s="480"/>
      <c r="F626" s="480"/>
      <c r="G626" s="430"/>
      <c r="H626" s="480"/>
      <c r="I626" s="480"/>
      <c r="J626" s="430"/>
      <c r="K626" s="480"/>
      <c r="L626" s="430"/>
      <c r="M626" s="480"/>
      <c r="N626" s="430"/>
      <c r="O626" s="480"/>
      <c r="P626" s="430"/>
      <c r="Q626" s="480"/>
    </row>
    <row r="627" ht="15.75" customHeight="1">
      <c r="A627" s="430"/>
      <c r="B627" s="480"/>
      <c r="C627" s="480"/>
      <c r="D627" s="430"/>
      <c r="E627" s="480"/>
      <c r="F627" s="480"/>
      <c r="G627" s="430"/>
      <c r="H627" s="480"/>
      <c r="I627" s="480"/>
      <c r="J627" s="430"/>
      <c r="K627" s="480"/>
      <c r="L627" s="430"/>
      <c r="M627" s="480"/>
      <c r="N627" s="430"/>
      <c r="O627" s="480"/>
      <c r="P627" s="430"/>
      <c r="Q627" s="480"/>
    </row>
    <row r="628" ht="15.75" customHeight="1">
      <c r="A628" s="430"/>
      <c r="B628" s="480"/>
      <c r="C628" s="480"/>
      <c r="D628" s="430"/>
      <c r="E628" s="480"/>
      <c r="F628" s="480"/>
      <c r="G628" s="430"/>
      <c r="H628" s="480"/>
      <c r="I628" s="480"/>
      <c r="J628" s="430"/>
      <c r="K628" s="480"/>
      <c r="L628" s="430"/>
      <c r="M628" s="480"/>
      <c r="N628" s="430"/>
      <c r="O628" s="480"/>
      <c r="P628" s="430"/>
      <c r="Q628" s="480"/>
    </row>
    <row r="629" ht="15.75" customHeight="1">
      <c r="A629" s="430"/>
      <c r="B629" s="480"/>
      <c r="C629" s="480"/>
      <c r="D629" s="430"/>
      <c r="E629" s="480"/>
      <c r="F629" s="480"/>
      <c r="G629" s="430"/>
      <c r="H629" s="480"/>
      <c r="I629" s="480"/>
      <c r="J629" s="430"/>
      <c r="K629" s="480"/>
      <c r="L629" s="430"/>
      <c r="M629" s="480"/>
      <c r="N629" s="430"/>
      <c r="O629" s="480"/>
      <c r="P629" s="430"/>
      <c r="Q629" s="480"/>
    </row>
    <row r="630" ht="15.75" customHeight="1">
      <c r="A630" s="430"/>
      <c r="B630" s="480"/>
      <c r="C630" s="480"/>
      <c r="D630" s="430"/>
      <c r="E630" s="480"/>
      <c r="F630" s="480"/>
      <c r="G630" s="430"/>
      <c r="H630" s="480"/>
      <c r="I630" s="480"/>
      <c r="J630" s="430"/>
      <c r="K630" s="480"/>
      <c r="L630" s="430"/>
      <c r="M630" s="480"/>
      <c r="N630" s="430"/>
      <c r="O630" s="480"/>
      <c r="P630" s="430"/>
      <c r="Q630" s="480"/>
    </row>
    <row r="631" ht="15.75" customHeight="1">
      <c r="A631" s="430"/>
      <c r="B631" s="480"/>
      <c r="C631" s="480"/>
      <c r="D631" s="430"/>
      <c r="E631" s="480"/>
      <c r="F631" s="480"/>
      <c r="G631" s="430"/>
      <c r="H631" s="480"/>
      <c r="I631" s="480"/>
      <c r="J631" s="430"/>
      <c r="K631" s="480"/>
      <c r="L631" s="430"/>
      <c r="M631" s="480"/>
      <c r="N631" s="430"/>
      <c r="O631" s="480"/>
      <c r="P631" s="430"/>
      <c r="Q631" s="480"/>
    </row>
    <row r="632" ht="15.75" customHeight="1">
      <c r="A632" s="430"/>
      <c r="B632" s="480"/>
      <c r="C632" s="480"/>
      <c r="D632" s="430"/>
      <c r="E632" s="480"/>
      <c r="F632" s="480"/>
      <c r="G632" s="430"/>
      <c r="H632" s="480"/>
      <c r="I632" s="480"/>
      <c r="J632" s="430"/>
      <c r="K632" s="480"/>
      <c r="L632" s="430"/>
      <c r="M632" s="480"/>
      <c r="N632" s="430"/>
      <c r="O632" s="480"/>
      <c r="P632" s="430"/>
      <c r="Q632" s="480"/>
    </row>
    <row r="633" ht="15.75" customHeight="1">
      <c r="A633" s="430"/>
      <c r="B633" s="480"/>
      <c r="C633" s="480"/>
      <c r="D633" s="430"/>
      <c r="E633" s="480"/>
      <c r="F633" s="480"/>
      <c r="G633" s="430"/>
      <c r="H633" s="480"/>
      <c r="I633" s="480"/>
      <c r="J633" s="430"/>
      <c r="K633" s="480"/>
      <c r="L633" s="430"/>
      <c r="M633" s="480"/>
      <c r="N633" s="430"/>
      <c r="O633" s="480"/>
      <c r="P633" s="430"/>
      <c r="Q633" s="480"/>
    </row>
    <row r="634" ht="15.75" customHeight="1">
      <c r="A634" s="430"/>
      <c r="B634" s="480"/>
      <c r="C634" s="480"/>
      <c r="D634" s="430"/>
      <c r="E634" s="480"/>
      <c r="F634" s="480"/>
      <c r="G634" s="430"/>
      <c r="H634" s="480"/>
      <c r="I634" s="480"/>
      <c r="J634" s="430"/>
      <c r="K634" s="480"/>
      <c r="L634" s="430"/>
      <c r="M634" s="480"/>
      <c r="N634" s="430"/>
      <c r="O634" s="480"/>
      <c r="P634" s="430"/>
      <c r="Q634" s="480"/>
    </row>
    <row r="635" ht="15.75" customHeight="1">
      <c r="A635" s="430"/>
      <c r="B635" s="480"/>
      <c r="C635" s="480"/>
      <c r="D635" s="430"/>
      <c r="E635" s="480"/>
      <c r="F635" s="480"/>
      <c r="G635" s="430"/>
      <c r="H635" s="480"/>
      <c r="I635" s="480"/>
      <c r="J635" s="430"/>
      <c r="K635" s="480"/>
      <c r="L635" s="430"/>
      <c r="M635" s="480"/>
      <c r="N635" s="430"/>
      <c r="O635" s="480"/>
      <c r="P635" s="430"/>
      <c r="Q635" s="480"/>
    </row>
    <row r="636" ht="15.75" customHeight="1">
      <c r="A636" s="430"/>
      <c r="B636" s="480"/>
      <c r="C636" s="480"/>
      <c r="D636" s="430"/>
      <c r="E636" s="480"/>
      <c r="F636" s="480"/>
      <c r="G636" s="430"/>
      <c r="H636" s="480"/>
      <c r="I636" s="480"/>
      <c r="J636" s="430"/>
      <c r="K636" s="480"/>
      <c r="L636" s="430"/>
      <c r="M636" s="480"/>
      <c r="N636" s="430"/>
      <c r="O636" s="480"/>
      <c r="P636" s="430"/>
      <c r="Q636" s="480"/>
    </row>
    <row r="637" ht="15.75" customHeight="1">
      <c r="A637" s="430"/>
      <c r="B637" s="480"/>
      <c r="C637" s="480"/>
      <c r="D637" s="430"/>
      <c r="E637" s="480"/>
      <c r="F637" s="480"/>
      <c r="G637" s="430"/>
      <c r="H637" s="480"/>
      <c r="I637" s="480"/>
      <c r="J637" s="430"/>
      <c r="K637" s="480"/>
      <c r="L637" s="430"/>
      <c r="M637" s="480"/>
      <c r="N637" s="430"/>
      <c r="O637" s="480"/>
      <c r="P637" s="430"/>
      <c r="Q637" s="480"/>
    </row>
    <row r="638" ht="15.75" customHeight="1">
      <c r="A638" s="430"/>
      <c r="B638" s="480"/>
      <c r="C638" s="480"/>
      <c r="D638" s="430"/>
      <c r="E638" s="480"/>
      <c r="F638" s="480"/>
      <c r="G638" s="430"/>
      <c r="H638" s="480"/>
      <c r="I638" s="480"/>
      <c r="J638" s="430"/>
      <c r="K638" s="480"/>
      <c r="L638" s="430"/>
      <c r="M638" s="480"/>
      <c r="N638" s="430"/>
      <c r="O638" s="480"/>
      <c r="P638" s="430"/>
      <c r="Q638" s="480"/>
    </row>
    <row r="639" ht="15.75" customHeight="1">
      <c r="A639" s="430"/>
      <c r="B639" s="480"/>
      <c r="C639" s="480"/>
      <c r="D639" s="430"/>
      <c r="E639" s="480"/>
      <c r="F639" s="480"/>
      <c r="G639" s="430"/>
      <c r="H639" s="480"/>
      <c r="I639" s="480"/>
      <c r="J639" s="430"/>
      <c r="K639" s="480"/>
      <c r="L639" s="430"/>
      <c r="M639" s="480"/>
      <c r="N639" s="430"/>
      <c r="O639" s="480"/>
      <c r="P639" s="430"/>
      <c r="Q639" s="480"/>
    </row>
    <row r="640" ht="15.75" customHeight="1">
      <c r="A640" s="430"/>
      <c r="B640" s="480"/>
      <c r="C640" s="480"/>
      <c r="D640" s="430"/>
      <c r="E640" s="480"/>
      <c r="F640" s="480"/>
      <c r="G640" s="430"/>
      <c r="H640" s="480"/>
      <c r="I640" s="480"/>
      <c r="J640" s="430"/>
      <c r="K640" s="480"/>
      <c r="L640" s="430"/>
      <c r="M640" s="480"/>
      <c r="N640" s="430"/>
      <c r="O640" s="480"/>
      <c r="P640" s="430"/>
      <c r="Q640" s="480"/>
    </row>
    <row r="641" ht="15.75" customHeight="1">
      <c r="A641" s="430"/>
      <c r="B641" s="480"/>
      <c r="C641" s="480"/>
      <c r="D641" s="430"/>
      <c r="E641" s="480"/>
      <c r="F641" s="480"/>
      <c r="G641" s="430"/>
      <c r="H641" s="480"/>
      <c r="I641" s="480"/>
      <c r="J641" s="430"/>
      <c r="K641" s="480"/>
      <c r="L641" s="430"/>
      <c r="M641" s="480"/>
      <c r="N641" s="430"/>
      <c r="O641" s="480"/>
      <c r="P641" s="430"/>
      <c r="Q641" s="480"/>
    </row>
    <row r="642" ht="15.75" customHeight="1">
      <c r="A642" s="430"/>
      <c r="B642" s="480"/>
      <c r="C642" s="480"/>
      <c r="D642" s="430"/>
      <c r="E642" s="480"/>
      <c r="F642" s="480"/>
      <c r="G642" s="430"/>
      <c r="H642" s="480"/>
      <c r="I642" s="480"/>
      <c r="J642" s="430"/>
      <c r="K642" s="480"/>
      <c r="L642" s="430"/>
      <c r="M642" s="480"/>
      <c r="N642" s="430"/>
      <c r="O642" s="480"/>
      <c r="P642" s="430"/>
      <c r="Q642" s="480"/>
    </row>
    <row r="643" ht="15.75" customHeight="1">
      <c r="A643" s="430"/>
      <c r="B643" s="480"/>
      <c r="C643" s="480"/>
      <c r="D643" s="430"/>
      <c r="E643" s="480"/>
      <c r="F643" s="480"/>
      <c r="G643" s="430"/>
      <c r="H643" s="480"/>
      <c r="I643" s="480"/>
      <c r="J643" s="430"/>
      <c r="K643" s="480"/>
      <c r="L643" s="430"/>
      <c r="M643" s="480"/>
      <c r="N643" s="430"/>
      <c r="O643" s="480"/>
      <c r="P643" s="430"/>
      <c r="Q643" s="480"/>
    </row>
    <row r="644" ht="15.75" customHeight="1">
      <c r="A644" s="430"/>
      <c r="B644" s="480"/>
      <c r="C644" s="480"/>
      <c r="D644" s="430"/>
      <c r="E644" s="480"/>
      <c r="F644" s="480"/>
      <c r="G644" s="430"/>
      <c r="H644" s="480"/>
      <c r="I644" s="480"/>
      <c r="J644" s="430"/>
      <c r="K644" s="480"/>
      <c r="L644" s="430"/>
      <c r="M644" s="480"/>
      <c r="N644" s="430"/>
      <c r="O644" s="480"/>
      <c r="P644" s="430"/>
      <c r="Q644" s="480"/>
    </row>
    <row r="645" ht="15.75" customHeight="1">
      <c r="A645" s="430"/>
      <c r="B645" s="480"/>
      <c r="C645" s="480"/>
      <c r="D645" s="430"/>
      <c r="E645" s="480"/>
      <c r="F645" s="480"/>
      <c r="G645" s="430"/>
      <c r="H645" s="480"/>
      <c r="I645" s="480"/>
      <c r="J645" s="430"/>
      <c r="K645" s="480"/>
      <c r="L645" s="430"/>
      <c r="M645" s="480"/>
      <c r="N645" s="430"/>
      <c r="O645" s="480"/>
      <c r="P645" s="430"/>
      <c r="Q645" s="480"/>
    </row>
    <row r="646" ht="15.75" customHeight="1">
      <c r="A646" s="430"/>
      <c r="B646" s="480"/>
      <c r="C646" s="480"/>
      <c r="D646" s="430"/>
      <c r="E646" s="480"/>
      <c r="F646" s="480"/>
      <c r="G646" s="430"/>
      <c r="H646" s="480"/>
      <c r="I646" s="480"/>
      <c r="J646" s="430"/>
      <c r="K646" s="480"/>
      <c r="L646" s="430"/>
      <c r="M646" s="480"/>
      <c r="N646" s="430"/>
      <c r="O646" s="480"/>
      <c r="P646" s="430"/>
      <c r="Q646" s="480"/>
    </row>
    <row r="647" ht="15.75" customHeight="1">
      <c r="A647" s="430"/>
      <c r="B647" s="480"/>
      <c r="C647" s="480"/>
      <c r="D647" s="430"/>
      <c r="E647" s="480"/>
      <c r="F647" s="480"/>
      <c r="G647" s="430"/>
      <c r="H647" s="480"/>
      <c r="I647" s="480"/>
      <c r="J647" s="430"/>
      <c r="K647" s="480"/>
      <c r="L647" s="430"/>
      <c r="M647" s="480"/>
      <c r="N647" s="430"/>
      <c r="O647" s="480"/>
      <c r="P647" s="430"/>
      <c r="Q647" s="480"/>
    </row>
    <row r="648" ht="15.75" customHeight="1">
      <c r="A648" s="430"/>
      <c r="B648" s="480"/>
      <c r="C648" s="480"/>
      <c r="D648" s="430"/>
      <c r="E648" s="480"/>
      <c r="F648" s="480"/>
      <c r="G648" s="430"/>
      <c r="H648" s="480"/>
      <c r="I648" s="480"/>
      <c r="J648" s="430"/>
      <c r="K648" s="480"/>
      <c r="L648" s="430"/>
      <c r="M648" s="480"/>
      <c r="N648" s="430"/>
      <c r="O648" s="480"/>
      <c r="P648" s="430"/>
      <c r="Q648" s="480"/>
    </row>
    <row r="649" ht="15.75" customHeight="1">
      <c r="A649" s="430"/>
      <c r="B649" s="480"/>
      <c r="C649" s="480"/>
      <c r="D649" s="430"/>
      <c r="E649" s="480"/>
      <c r="F649" s="480"/>
      <c r="G649" s="430"/>
      <c r="H649" s="480"/>
      <c r="I649" s="480"/>
      <c r="J649" s="430"/>
      <c r="K649" s="480"/>
      <c r="L649" s="430"/>
      <c r="M649" s="480"/>
      <c r="N649" s="430"/>
      <c r="O649" s="480"/>
      <c r="P649" s="430"/>
      <c r="Q649" s="480"/>
    </row>
    <row r="650" ht="15.75" customHeight="1">
      <c r="A650" s="430"/>
      <c r="B650" s="480"/>
      <c r="C650" s="480"/>
      <c r="D650" s="430"/>
      <c r="E650" s="480"/>
      <c r="F650" s="480"/>
      <c r="G650" s="430"/>
      <c r="H650" s="480"/>
      <c r="I650" s="480"/>
      <c r="J650" s="430"/>
      <c r="K650" s="480"/>
      <c r="L650" s="430"/>
      <c r="M650" s="480"/>
      <c r="N650" s="430"/>
      <c r="O650" s="480"/>
      <c r="P650" s="430"/>
      <c r="Q650" s="480"/>
    </row>
    <row r="651" ht="15.75" customHeight="1">
      <c r="A651" s="430"/>
      <c r="B651" s="480"/>
      <c r="C651" s="480"/>
      <c r="D651" s="430"/>
      <c r="E651" s="480"/>
      <c r="F651" s="480"/>
      <c r="G651" s="430"/>
      <c r="H651" s="480"/>
      <c r="I651" s="480"/>
      <c r="J651" s="430"/>
      <c r="K651" s="480"/>
      <c r="L651" s="430"/>
      <c r="M651" s="480"/>
      <c r="N651" s="430"/>
      <c r="O651" s="480"/>
      <c r="P651" s="430"/>
      <c r="Q651" s="480"/>
    </row>
    <row r="652" ht="15.75" customHeight="1">
      <c r="A652" s="430"/>
      <c r="B652" s="480"/>
      <c r="C652" s="480"/>
      <c r="D652" s="430"/>
      <c r="E652" s="480"/>
      <c r="F652" s="480"/>
      <c r="G652" s="430"/>
      <c r="H652" s="480"/>
      <c r="I652" s="480"/>
      <c r="J652" s="430"/>
      <c r="K652" s="480"/>
      <c r="L652" s="430"/>
      <c r="M652" s="480"/>
      <c r="N652" s="430"/>
      <c r="O652" s="480"/>
      <c r="P652" s="430"/>
      <c r="Q652" s="480"/>
    </row>
    <row r="653" ht="15.75" customHeight="1">
      <c r="A653" s="430"/>
      <c r="B653" s="480"/>
      <c r="C653" s="480"/>
      <c r="D653" s="430"/>
      <c r="E653" s="480"/>
      <c r="F653" s="480"/>
      <c r="G653" s="430"/>
      <c r="H653" s="480"/>
      <c r="I653" s="480"/>
      <c r="J653" s="430"/>
      <c r="K653" s="480"/>
      <c r="L653" s="430"/>
      <c r="M653" s="480"/>
      <c r="N653" s="430"/>
      <c r="O653" s="480"/>
      <c r="P653" s="430"/>
      <c r="Q653" s="480"/>
    </row>
    <row r="654" ht="15.75" customHeight="1">
      <c r="A654" s="430"/>
      <c r="B654" s="480"/>
      <c r="C654" s="480"/>
      <c r="D654" s="430"/>
      <c r="E654" s="480"/>
      <c r="F654" s="480"/>
      <c r="G654" s="430"/>
      <c r="H654" s="480"/>
      <c r="I654" s="480"/>
      <c r="J654" s="430"/>
      <c r="K654" s="480"/>
      <c r="L654" s="430"/>
      <c r="M654" s="480"/>
      <c r="N654" s="430"/>
      <c r="O654" s="480"/>
      <c r="P654" s="430"/>
      <c r="Q654" s="480"/>
    </row>
    <row r="655" ht="15.75" customHeight="1">
      <c r="A655" s="430"/>
      <c r="B655" s="480"/>
      <c r="C655" s="480"/>
      <c r="D655" s="430"/>
      <c r="E655" s="480"/>
      <c r="F655" s="480"/>
      <c r="G655" s="430"/>
      <c r="H655" s="480"/>
      <c r="I655" s="480"/>
      <c r="J655" s="430"/>
      <c r="K655" s="480"/>
      <c r="L655" s="430"/>
      <c r="M655" s="480"/>
      <c r="N655" s="430"/>
      <c r="O655" s="480"/>
      <c r="P655" s="430"/>
      <c r="Q655" s="480"/>
    </row>
    <row r="656" ht="15.75" customHeight="1">
      <c r="A656" s="430"/>
      <c r="B656" s="480"/>
      <c r="C656" s="480"/>
      <c r="D656" s="430"/>
      <c r="E656" s="480"/>
      <c r="F656" s="480"/>
      <c r="G656" s="430"/>
      <c r="H656" s="480"/>
      <c r="I656" s="480"/>
      <c r="J656" s="430"/>
      <c r="K656" s="480"/>
      <c r="L656" s="430"/>
      <c r="M656" s="480"/>
      <c r="N656" s="430"/>
      <c r="O656" s="480"/>
      <c r="P656" s="430"/>
      <c r="Q656" s="480"/>
    </row>
    <row r="657" ht="15.75" customHeight="1">
      <c r="A657" s="430"/>
      <c r="B657" s="480"/>
      <c r="C657" s="480"/>
      <c r="D657" s="430"/>
      <c r="E657" s="480"/>
      <c r="F657" s="480"/>
      <c r="G657" s="430"/>
      <c r="H657" s="480"/>
      <c r="I657" s="480"/>
      <c r="J657" s="430"/>
      <c r="K657" s="480"/>
      <c r="L657" s="430"/>
      <c r="M657" s="480"/>
      <c r="N657" s="430"/>
      <c r="O657" s="480"/>
      <c r="P657" s="430"/>
      <c r="Q657" s="480"/>
    </row>
    <row r="658" ht="15.75" customHeight="1">
      <c r="A658" s="430"/>
      <c r="B658" s="480"/>
      <c r="C658" s="480"/>
      <c r="D658" s="430"/>
      <c r="E658" s="480"/>
      <c r="F658" s="480"/>
      <c r="G658" s="430"/>
      <c r="H658" s="480"/>
      <c r="I658" s="480"/>
      <c r="J658" s="430"/>
      <c r="K658" s="480"/>
      <c r="L658" s="430"/>
      <c r="M658" s="480"/>
      <c r="N658" s="430"/>
      <c r="O658" s="480"/>
      <c r="P658" s="430"/>
      <c r="Q658" s="480"/>
    </row>
    <row r="659" ht="15.75" customHeight="1">
      <c r="A659" s="430"/>
      <c r="B659" s="480"/>
      <c r="C659" s="480"/>
      <c r="D659" s="430"/>
      <c r="E659" s="480"/>
      <c r="F659" s="480"/>
      <c r="G659" s="430"/>
      <c r="H659" s="480"/>
      <c r="I659" s="480"/>
      <c r="J659" s="430"/>
      <c r="K659" s="480"/>
      <c r="L659" s="430"/>
      <c r="M659" s="480"/>
      <c r="N659" s="430"/>
      <c r="O659" s="480"/>
      <c r="P659" s="430"/>
      <c r="Q659" s="480"/>
    </row>
    <row r="660" ht="15.75" customHeight="1">
      <c r="A660" s="430"/>
      <c r="B660" s="480"/>
      <c r="C660" s="480"/>
      <c r="D660" s="430"/>
      <c r="E660" s="480"/>
      <c r="F660" s="480"/>
      <c r="G660" s="430"/>
      <c r="H660" s="480"/>
      <c r="I660" s="480"/>
      <c r="J660" s="430"/>
      <c r="K660" s="480"/>
      <c r="L660" s="430"/>
      <c r="M660" s="480"/>
      <c r="N660" s="430"/>
      <c r="O660" s="480"/>
      <c r="P660" s="430"/>
      <c r="Q660" s="480"/>
    </row>
    <row r="661" ht="15.75" customHeight="1">
      <c r="A661" s="430"/>
      <c r="B661" s="480"/>
      <c r="C661" s="480"/>
      <c r="D661" s="430"/>
      <c r="E661" s="480"/>
      <c r="F661" s="480"/>
      <c r="G661" s="430"/>
      <c r="H661" s="480"/>
      <c r="I661" s="480"/>
      <c r="J661" s="430"/>
      <c r="K661" s="480"/>
      <c r="L661" s="430"/>
      <c r="M661" s="480"/>
      <c r="N661" s="430"/>
      <c r="O661" s="480"/>
      <c r="P661" s="430"/>
      <c r="Q661" s="480"/>
    </row>
    <row r="662" ht="15.75" customHeight="1">
      <c r="A662" s="430"/>
      <c r="B662" s="480"/>
      <c r="C662" s="480"/>
      <c r="D662" s="430"/>
      <c r="E662" s="480"/>
      <c r="F662" s="480"/>
      <c r="G662" s="430"/>
      <c r="H662" s="480"/>
      <c r="I662" s="480"/>
      <c r="J662" s="430"/>
      <c r="K662" s="480"/>
      <c r="L662" s="430"/>
      <c r="M662" s="480"/>
      <c r="N662" s="430"/>
      <c r="O662" s="480"/>
      <c r="P662" s="430"/>
      <c r="Q662" s="480"/>
    </row>
    <row r="663" ht="15.75" customHeight="1">
      <c r="A663" s="430"/>
      <c r="B663" s="480"/>
      <c r="C663" s="480"/>
      <c r="D663" s="430"/>
      <c r="E663" s="480"/>
      <c r="F663" s="480"/>
      <c r="G663" s="430"/>
      <c r="H663" s="480"/>
      <c r="I663" s="480"/>
      <c r="J663" s="430"/>
      <c r="K663" s="480"/>
      <c r="L663" s="430"/>
      <c r="M663" s="480"/>
      <c r="N663" s="430"/>
      <c r="O663" s="480"/>
      <c r="P663" s="430"/>
      <c r="Q663" s="480"/>
    </row>
    <row r="664" ht="15.75" customHeight="1">
      <c r="A664" s="430"/>
      <c r="B664" s="480"/>
      <c r="C664" s="480"/>
      <c r="D664" s="430"/>
      <c r="E664" s="480"/>
      <c r="F664" s="480"/>
      <c r="G664" s="430"/>
      <c r="H664" s="480"/>
      <c r="I664" s="480"/>
      <c r="J664" s="430"/>
      <c r="K664" s="480"/>
      <c r="L664" s="430"/>
      <c r="M664" s="480"/>
      <c r="N664" s="430"/>
      <c r="O664" s="480"/>
      <c r="P664" s="430"/>
      <c r="Q664" s="480"/>
    </row>
    <row r="665" ht="15.75" customHeight="1">
      <c r="A665" s="430"/>
      <c r="B665" s="480"/>
      <c r="C665" s="480"/>
      <c r="D665" s="430"/>
      <c r="E665" s="480"/>
      <c r="F665" s="480"/>
      <c r="G665" s="430"/>
      <c r="H665" s="480"/>
      <c r="I665" s="480"/>
      <c r="J665" s="430"/>
      <c r="K665" s="480"/>
      <c r="L665" s="430"/>
      <c r="M665" s="480"/>
      <c r="N665" s="430"/>
      <c r="O665" s="480"/>
      <c r="P665" s="430"/>
      <c r="Q665" s="480"/>
    </row>
    <row r="666" ht="15.75" customHeight="1">
      <c r="A666" s="430"/>
      <c r="B666" s="480"/>
      <c r="C666" s="480"/>
      <c r="D666" s="430"/>
      <c r="E666" s="480"/>
      <c r="F666" s="480"/>
      <c r="G666" s="430"/>
      <c r="H666" s="480"/>
      <c r="I666" s="480"/>
      <c r="J666" s="430"/>
      <c r="K666" s="480"/>
      <c r="L666" s="430"/>
      <c r="M666" s="480"/>
      <c r="N666" s="430"/>
      <c r="O666" s="480"/>
      <c r="P666" s="430"/>
      <c r="Q666" s="480"/>
    </row>
    <row r="667" ht="15.75" customHeight="1">
      <c r="A667" s="430"/>
      <c r="B667" s="480"/>
      <c r="C667" s="480"/>
      <c r="D667" s="430"/>
      <c r="E667" s="480"/>
      <c r="F667" s="480"/>
      <c r="G667" s="430"/>
      <c r="H667" s="480"/>
      <c r="I667" s="480"/>
      <c r="J667" s="430"/>
      <c r="K667" s="480"/>
      <c r="L667" s="430"/>
      <c r="M667" s="480"/>
      <c r="N667" s="430"/>
      <c r="O667" s="480"/>
      <c r="P667" s="430"/>
      <c r="Q667" s="480"/>
    </row>
    <row r="668" ht="15.75" customHeight="1">
      <c r="A668" s="430"/>
      <c r="B668" s="480"/>
      <c r="C668" s="480"/>
      <c r="D668" s="430"/>
      <c r="E668" s="480"/>
      <c r="F668" s="480"/>
      <c r="G668" s="430"/>
      <c r="H668" s="480"/>
      <c r="I668" s="480"/>
      <c r="J668" s="430"/>
      <c r="K668" s="480"/>
      <c r="L668" s="430"/>
      <c r="M668" s="480"/>
      <c r="N668" s="430"/>
      <c r="O668" s="480"/>
      <c r="P668" s="430"/>
      <c r="Q668" s="480"/>
    </row>
    <row r="669" ht="15.75" customHeight="1">
      <c r="A669" s="430"/>
      <c r="B669" s="480"/>
      <c r="C669" s="480"/>
      <c r="D669" s="430"/>
      <c r="E669" s="480"/>
      <c r="F669" s="480"/>
      <c r="G669" s="430"/>
      <c r="H669" s="480"/>
      <c r="I669" s="480"/>
      <c r="J669" s="430"/>
      <c r="K669" s="480"/>
      <c r="L669" s="430"/>
      <c r="M669" s="480"/>
      <c r="N669" s="430"/>
      <c r="O669" s="480"/>
      <c r="P669" s="430"/>
      <c r="Q669" s="480"/>
    </row>
    <row r="670" ht="15.75" customHeight="1">
      <c r="A670" s="430"/>
      <c r="B670" s="480"/>
      <c r="C670" s="480"/>
      <c r="D670" s="430"/>
      <c r="E670" s="480"/>
      <c r="F670" s="480"/>
      <c r="G670" s="430"/>
      <c r="H670" s="480"/>
      <c r="I670" s="480"/>
      <c r="J670" s="430"/>
      <c r="K670" s="480"/>
      <c r="L670" s="430"/>
      <c r="M670" s="480"/>
      <c r="N670" s="430"/>
      <c r="O670" s="480"/>
      <c r="P670" s="430"/>
      <c r="Q670" s="480"/>
    </row>
    <row r="671" ht="15.75" customHeight="1">
      <c r="A671" s="430"/>
      <c r="B671" s="480"/>
      <c r="C671" s="480"/>
      <c r="D671" s="430"/>
      <c r="E671" s="480"/>
      <c r="F671" s="480"/>
      <c r="G671" s="430"/>
      <c r="H671" s="480"/>
      <c r="I671" s="480"/>
      <c r="J671" s="430"/>
      <c r="K671" s="480"/>
      <c r="L671" s="430"/>
      <c r="M671" s="480"/>
      <c r="N671" s="430"/>
      <c r="O671" s="480"/>
      <c r="P671" s="430"/>
      <c r="Q671" s="480"/>
    </row>
    <row r="672" ht="15.75" customHeight="1">
      <c r="A672" s="430"/>
      <c r="B672" s="480"/>
      <c r="C672" s="480"/>
      <c r="D672" s="430"/>
      <c r="E672" s="480"/>
      <c r="F672" s="480"/>
      <c r="G672" s="430"/>
      <c r="H672" s="480"/>
      <c r="I672" s="480"/>
      <c r="J672" s="430"/>
      <c r="K672" s="480"/>
      <c r="L672" s="430"/>
      <c r="M672" s="480"/>
      <c r="N672" s="430"/>
      <c r="O672" s="480"/>
      <c r="P672" s="430"/>
      <c r="Q672" s="480"/>
    </row>
    <row r="673" ht="15.75" customHeight="1">
      <c r="A673" s="430"/>
      <c r="B673" s="480"/>
      <c r="C673" s="480"/>
      <c r="D673" s="430"/>
      <c r="E673" s="480"/>
      <c r="F673" s="480"/>
      <c r="G673" s="430"/>
      <c r="H673" s="480"/>
      <c r="I673" s="480"/>
      <c r="J673" s="430"/>
      <c r="K673" s="480"/>
      <c r="L673" s="430"/>
      <c r="M673" s="480"/>
      <c r="N673" s="430"/>
      <c r="O673" s="480"/>
      <c r="P673" s="430"/>
      <c r="Q673" s="480"/>
    </row>
    <row r="674" ht="15.75" customHeight="1">
      <c r="A674" s="430"/>
      <c r="B674" s="480"/>
      <c r="C674" s="480"/>
      <c r="D674" s="430"/>
      <c r="E674" s="480"/>
      <c r="F674" s="480"/>
      <c r="G674" s="430"/>
      <c r="H674" s="480"/>
      <c r="I674" s="480"/>
      <c r="J674" s="430"/>
      <c r="K674" s="480"/>
      <c r="L674" s="430"/>
      <c r="M674" s="480"/>
      <c r="N674" s="430"/>
      <c r="O674" s="480"/>
      <c r="P674" s="430"/>
      <c r="Q674" s="480"/>
    </row>
    <row r="675" ht="15.75" customHeight="1">
      <c r="A675" s="430"/>
      <c r="B675" s="480"/>
      <c r="C675" s="480"/>
      <c r="D675" s="430"/>
      <c r="E675" s="480"/>
      <c r="F675" s="480"/>
      <c r="G675" s="430"/>
      <c r="H675" s="480"/>
      <c r="I675" s="480"/>
      <c r="J675" s="430"/>
      <c r="K675" s="480"/>
      <c r="L675" s="430"/>
      <c r="M675" s="480"/>
      <c r="N675" s="430"/>
      <c r="O675" s="480"/>
      <c r="P675" s="430"/>
      <c r="Q675" s="480"/>
    </row>
    <row r="676" ht="15.75" customHeight="1">
      <c r="A676" s="430"/>
      <c r="B676" s="480"/>
      <c r="C676" s="480"/>
      <c r="D676" s="430"/>
      <c r="E676" s="480"/>
      <c r="F676" s="480"/>
      <c r="G676" s="430"/>
      <c r="H676" s="480"/>
      <c r="I676" s="480"/>
      <c r="J676" s="430"/>
      <c r="K676" s="480"/>
      <c r="L676" s="430"/>
      <c r="M676" s="480"/>
      <c r="N676" s="430"/>
      <c r="O676" s="480"/>
      <c r="P676" s="430"/>
      <c r="Q676" s="480"/>
    </row>
    <row r="677" ht="15.75" customHeight="1">
      <c r="A677" s="430"/>
      <c r="B677" s="480"/>
      <c r="C677" s="480"/>
      <c r="D677" s="430"/>
      <c r="E677" s="480"/>
      <c r="F677" s="480"/>
      <c r="G677" s="430"/>
      <c r="H677" s="480"/>
      <c r="I677" s="480"/>
      <c r="J677" s="430"/>
      <c r="K677" s="480"/>
      <c r="L677" s="430"/>
      <c r="M677" s="480"/>
      <c r="N677" s="430"/>
      <c r="O677" s="480"/>
      <c r="P677" s="430"/>
      <c r="Q677" s="480"/>
    </row>
    <row r="678" ht="15.75" customHeight="1">
      <c r="A678" s="430"/>
      <c r="B678" s="480"/>
      <c r="C678" s="480"/>
      <c r="D678" s="430"/>
      <c r="E678" s="480"/>
      <c r="F678" s="480"/>
      <c r="G678" s="430"/>
      <c r="H678" s="480"/>
      <c r="I678" s="480"/>
      <c r="J678" s="430"/>
      <c r="K678" s="480"/>
      <c r="L678" s="430"/>
      <c r="M678" s="480"/>
      <c r="N678" s="430"/>
      <c r="O678" s="480"/>
      <c r="P678" s="430"/>
      <c r="Q678" s="480"/>
    </row>
    <row r="679" ht="15.75" customHeight="1">
      <c r="A679" s="430"/>
      <c r="B679" s="480"/>
      <c r="C679" s="480"/>
      <c r="D679" s="430"/>
      <c r="E679" s="480"/>
      <c r="F679" s="480"/>
      <c r="G679" s="430"/>
      <c r="H679" s="480"/>
      <c r="I679" s="480"/>
      <c r="J679" s="430"/>
      <c r="K679" s="480"/>
      <c r="L679" s="430"/>
      <c r="M679" s="480"/>
      <c r="N679" s="430"/>
      <c r="O679" s="480"/>
      <c r="P679" s="430"/>
      <c r="Q679" s="480"/>
    </row>
    <row r="680" ht="15.75" customHeight="1">
      <c r="A680" s="430"/>
      <c r="B680" s="480"/>
      <c r="C680" s="480"/>
      <c r="D680" s="430"/>
      <c r="E680" s="480"/>
      <c r="F680" s="480"/>
      <c r="G680" s="430"/>
      <c r="H680" s="480"/>
      <c r="I680" s="480"/>
      <c r="J680" s="430"/>
      <c r="K680" s="480"/>
      <c r="L680" s="430"/>
      <c r="M680" s="480"/>
      <c r="N680" s="430"/>
      <c r="O680" s="480"/>
      <c r="P680" s="430"/>
      <c r="Q680" s="480"/>
    </row>
    <row r="681" ht="15.75" customHeight="1">
      <c r="A681" s="430"/>
      <c r="B681" s="480"/>
      <c r="C681" s="480"/>
      <c r="D681" s="430"/>
      <c r="E681" s="480"/>
      <c r="F681" s="480"/>
      <c r="G681" s="430"/>
      <c r="H681" s="480"/>
      <c r="I681" s="480"/>
      <c r="J681" s="430"/>
      <c r="K681" s="480"/>
      <c r="L681" s="430"/>
      <c r="M681" s="480"/>
      <c r="N681" s="430"/>
      <c r="O681" s="480"/>
      <c r="P681" s="430"/>
      <c r="Q681" s="480"/>
    </row>
    <row r="682" ht="15.75" customHeight="1">
      <c r="A682" s="430"/>
      <c r="B682" s="480"/>
      <c r="C682" s="480"/>
      <c r="D682" s="430"/>
      <c r="E682" s="480"/>
      <c r="F682" s="480"/>
      <c r="G682" s="430"/>
      <c r="H682" s="480"/>
      <c r="I682" s="480"/>
      <c r="J682" s="430"/>
      <c r="K682" s="480"/>
      <c r="L682" s="430"/>
      <c r="M682" s="480"/>
      <c r="N682" s="430"/>
      <c r="O682" s="480"/>
      <c r="P682" s="430"/>
      <c r="Q682" s="480"/>
    </row>
    <row r="683" ht="15.75" customHeight="1">
      <c r="A683" s="430"/>
      <c r="B683" s="480"/>
      <c r="C683" s="480"/>
      <c r="D683" s="430"/>
      <c r="E683" s="480"/>
      <c r="F683" s="480"/>
      <c r="G683" s="430"/>
      <c r="H683" s="480"/>
      <c r="I683" s="480"/>
      <c r="J683" s="430"/>
      <c r="K683" s="480"/>
      <c r="L683" s="430"/>
      <c r="M683" s="480"/>
      <c r="N683" s="430"/>
      <c r="O683" s="480"/>
      <c r="P683" s="430"/>
      <c r="Q683" s="480"/>
    </row>
    <row r="684" ht="15.75" customHeight="1">
      <c r="A684" s="430"/>
      <c r="B684" s="480"/>
      <c r="C684" s="480"/>
      <c r="D684" s="430"/>
      <c r="E684" s="480"/>
      <c r="F684" s="480"/>
      <c r="G684" s="430"/>
      <c r="H684" s="480"/>
      <c r="I684" s="480"/>
      <c r="J684" s="430"/>
      <c r="K684" s="480"/>
      <c r="L684" s="430"/>
      <c r="M684" s="480"/>
      <c r="N684" s="430"/>
      <c r="O684" s="480"/>
      <c r="P684" s="430"/>
      <c r="Q684" s="480"/>
    </row>
    <row r="685" ht="15.75" customHeight="1">
      <c r="A685" s="430"/>
      <c r="B685" s="480"/>
      <c r="C685" s="480"/>
      <c r="D685" s="430"/>
      <c r="E685" s="480"/>
      <c r="F685" s="480"/>
      <c r="G685" s="430"/>
      <c r="H685" s="480"/>
      <c r="I685" s="480"/>
      <c r="J685" s="430"/>
      <c r="K685" s="480"/>
      <c r="L685" s="430"/>
      <c r="M685" s="480"/>
      <c r="N685" s="430"/>
      <c r="O685" s="480"/>
      <c r="P685" s="430"/>
      <c r="Q685" s="480"/>
    </row>
    <row r="686" ht="15.75" customHeight="1">
      <c r="A686" s="430"/>
      <c r="B686" s="480"/>
      <c r="C686" s="480"/>
      <c r="D686" s="430"/>
      <c r="E686" s="480"/>
      <c r="F686" s="480"/>
      <c r="G686" s="430"/>
      <c r="H686" s="480"/>
      <c r="I686" s="480"/>
      <c r="J686" s="430"/>
      <c r="K686" s="480"/>
      <c r="L686" s="430"/>
      <c r="M686" s="480"/>
      <c r="N686" s="430"/>
      <c r="O686" s="480"/>
      <c r="P686" s="430"/>
      <c r="Q686" s="480"/>
    </row>
    <row r="687" ht="15.75" customHeight="1">
      <c r="A687" s="430"/>
      <c r="B687" s="480"/>
      <c r="C687" s="480"/>
      <c r="D687" s="430"/>
      <c r="E687" s="480"/>
      <c r="F687" s="480"/>
      <c r="G687" s="430"/>
      <c r="H687" s="480"/>
      <c r="I687" s="480"/>
      <c r="J687" s="430"/>
      <c r="K687" s="480"/>
      <c r="L687" s="430"/>
      <c r="M687" s="480"/>
      <c r="N687" s="430"/>
      <c r="O687" s="480"/>
      <c r="P687" s="430"/>
      <c r="Q687" s="480"/>
    </row>
    <row r="688" ht="15.75" customHeight="1">
      <c r="A688" s="430"/>
      <c r="B688" s="480"/>
      <c r="C688" s="480"/>
      <c r="D688" s="430"/>
      <c r="E688" s="480"/>
      <c r="F688" s="480"/>
      <c r="G688" s="430"/>
      <c r="H688" s="480"/>
      <c r="I688" s="480"/>
      <c r="J688" s="430"/>
      <c r="K688" s="480"/>
      <c r="L688" s="430"/>
      <c r="M688" s="480"/>
      <c r="N688" s="430"/>
      <c r="O688" s="480"/>
      <c r="P688" s="430"/>
      <c r="Q688" s="480"/>
    </row>
    <row r="689" ht="15.75" customHeight="1">
      <c r="A689" s="430"/>
      <c r="B689" s="480"/>
      <c r="C689" s="480"/>
      <c r="D689" s="430"/>
      <c r="E689" s="480"/>
      <c r="F689" s="480"/>
      <c r="G689" s="430"/>
      <c r="H689" s="480"/>
      <c r="I689" s="480"/>
      <c r="J689" s="430"/>
      <c r="K689" s="480"/>
      <c r="L689" s="430"/>
      <c r="M689" s="480"/>
      <c r="N689" s="430"/>
      <c r="O689" s="480"/>
      <c r="P689" s="430"/>
      <c r="Q689" s="480"/>
    </row>
    <row r="690" ht="15.75" customHeight="1">
      <c r="A690" s="430"/>
      <c r="B690" s="480"/>
      <c r="C690" s="480"/>
      <c r="D690" s="430"/>
      <c r="E690" s="480"/>
      <c r="F690" s="480"/>
      <c r="G690" s="430"/>
      <c r="H690" s="480"/>
      <c r="I690" s="480"/>
      <c r="J690" s="430"/>
      <c r="K690" s="480"/>
      <c r="L690" s="430"/>
      <c r="M690" s="480"/>
      <c r="N690" s="430"/>
      <c r="O690" s="480"/>
      <c r="P690" s="430"/>
      <c r="Q690" s="480"/>
    </row>
    <row r="691" ht="15.75" customHeight="1">
      <c r="A691" s="430"/>
      <c r="B691" s="480"/>
      <c r="C691" s="480"/>
      <c r="D691" s="430"/>
      <c r="E691" s="480"/>
      <c r="F691" s="480"/>
      <c r="G691" s="430"/>
      <c r="H691" s="480"/>
      <c r="I691" s="480"/>
      <c r="J691" s="430"/>
      <c r="K691" s="480"/>
      <c r="L691" s="430"/>
      <c r="M691" s="480"/>
      <c r="N691" s="430"/>
      <c r="O691" s="480"/>
      <c r="P691" s="430"/>
      <c r="Q691" s="480"/>
    </row>
    <row r="692" ht="15.75" customHeight="1">
      <c r="A692" s="430"/>
      <c r="B692" s="480"/>
      <c r="C692" s="480"/>
      <c r="D692" s="430"/>
      <c r="E692" s="480"/>
      <c r="F692" s="480"/>
      <c r="G692" s="430"/>
      <c r="H692" s="480"/>
      <c r="I692" s="480"/>
      <c r="J692" s="430"/>
      <c r="K692" s="480"/>
      <c r="L692" s="430"/>
      <c r="M692" s="480"/>
      <c r="N692" s="430"/>
      <c r="O692" s="480"/>
      <c r="P692" s="430"/>
      <c r="Q692" s="480"/>
    </row>
    <row r="693" ht="15.75" customHeight="1">
      <c r="A693" s="430"/>
      <c r="B693" s="480"/>
      <c r="C693" s="480"/>
      <c r="D693" s="430"/>
      <c r="E693" s="480"/>
      <c r="F693" s="480"/>
      <c r="G693" s="430"/>
      <c r="H693" s="480"/>
      <c r="I693" s="480"/>
      <c r="J693" s="430"/>
      <c r="K693" s="480"/>
      <c r="L693" s="430"/>
      <c r="M693" s="480"/>
      <c r="N693" s="430"/>
      <c r="O693" s="480"/>
      <c r="P693" s="430"/>
      <c r="Q693" s="480"/>
    </row>
    <row r="694" ht="15.75" customHeight="1">
      <c r="A694" s="430"/>
      <c r="B694" s="480"/>
      <c r="C694" s="480"/>
      <c r="D694" s="430"/>
      <c r="E694" s="480"/>
      <c r="F694" s="480"/>
      <c r="G694" s="430"/>
      <c r="H694" s="480"/>
      <c r="I694" s="480"/>
      <c r="J694" s="430"/>
      <c r="K694" s="480"/>
      <c r="L694" s="430"/>
      <c r="M694" s="480"/>
      <c r="N694" s="430"/>
      <c r="O694" s="480"/>
      <c r="P694" s="430"/>
      <c r="Q694" s="480"/>
    </row>
    <row r="695" ht="15.75" customHeight="1">
      <c r="A695" s="430"/>
      <c r="B695" s="480"/>
      <c r="C695" s="480"/>
      <c r="D695" s="430"/>
      <c r="E695" s="480"/>
      <c r="F695" s="480"/>
      <c r="G695" s="430"/>
      <c r="H695" s="480"/>
      <c r="I695" s="480"/>
      <c r="J695" s="430"/>
      <c r="K695" s="480"/>
      <c r="L695" s="430"/>
      <c r="M695" s="480"/>
      <c r="N695" s="430"/>
      <c r="O695" s="480"/>
      <c r="P695" s="430"/>
      <c r="Q695" s="480"/>
    </row>
    <row r="696" ht="15.75" customHeight="1">
      <c r="A696" s="430"/>
      <c r="B696" s="480"/>
      <c r="C696" s="480"/>
      <c r="D696" s="430"/>
      <c r="E696" s="480"/>
      <c r="F696" s="480"/>
      <c r="G696" s="430"/>
      <c r="H696" s="480"/>
      <c r="I696" s="480"/>
      <c r="J696" s="430"/>
      <c r="K696" s="480"/>
      <c r="L696" s="430"/>
      <c r="M696" s="480"/>
      <c r="N696" s="430"/>
      <c r="O696" s="480"/>
      <c r="P696" s="430"/>
      <c r="Q696" s="480"/>
    </row>
    <row r="697" ht="15.75" customHeight="1">
      <c r="A697" s="430"/>
      <c r="B697" s="480"/>
      <c r="C697" s="480"/>
      <c r="D697" s="430"/>
      <c r="E697" s="480"/>
      <c r="F697" s="480"/>
      <c r="G697" s="430"/>
      <c r="H697" s="480"/>
      <c r="I697" s="480"/>
      <c r="J697" s="430"/>
      <c r="K697" s="480"/>
      <c r="L697" s="430"/>
      <c r="M697" s="480"/>
      <c r="N697" s="430"/>
      <c r="O697" s="480"/>
      <c r="P697" s="430"/>
      <c r="Q697" s="480"/>
    </row>
    <row r="698" ht="15.75" customHeight="1">
      <c r="A698" s="430"/>
      <c r="B698" s="480"/>
      <c r="C698" s="480"/>
      <c r="D698" s="430"/>
      <c r="E698" s="480"/>
      <c r="F698" s="480"/>
      <c r="G698" s="430"/>
      <c r="H698" s="480"/>
      <c r="I698" s="480"/>
      <c r="J698" s="430"/>
      <c r="K698" s="480"/>
      <c r="L698" s="430"/>
      <c r="M698" s="480"/>
      <c r="N698" s="430"/>
      <c r="O698" s="480"/>
      <c r="P698" s="430"/>
      <c r="Q698" s="480"/>
    </row>
    <row r="699" ht="15.75" customHeight="1">
      <c r="A699" s="430"/>
      <c r="B699" s="480"/>
      <c r="C699" s="480"/>
      <c r="D699" s="430"/>
      <c r="E699" s="480"/>
      <c r="F699" s="480"/>
      <c r="G699" s="430"/>
      <c r="H699" s="480"/>
      <c r="I699" s="480"/>
      <c r="J699" s="430"/>
      <c r="K699" s="480"/>
      <c r="L699" s="430"/>
      <c r="M699" s="480"/>
      <c r="N699" s="430"/>
      <c r="O699" s="480"/>
      <c r="P699" s="430"/>
      <c r="Q699" s="480"/>
    </row>
    <row r="700" ht="15.75" customHeight="1">
      <c r="A700" s="430"/>
      <c r="B700" s="480"/>
      <c r="C700" s="480"/>
      <c r="D700" s="430"/>
      <c r="E700" s="480"/>
      <c r="F700" s="480"/>
      <c r="G700" s="430"/>
      <c r="H700" s="480"/>
      <c r="I700" s="480"/>
      <c r="J700" s="430"/>
      <c r="K700" s="480"/>
      <c r="L700" s="430"/>
      <c r="M700" s="480"/>
      <c r="N700" s="430"/>
      <c r="O700" s="480"/>
      <c r="P700" s="430"/>
      <c r="Q700" s="480"/>
    </row>
    <row r="701" ht="15.75" customHeight="1">
      <c r="A701" s="430"/>
      <c r="B701" s="480"/>
      <c r="C701" s="480"/>
      <c r="D701" s="430"/>
      <c r="E701" s="480"/>
      <c r="F701" s="480"/>
      <c r="G701" s="430"/>
      <c r="H701" s="480"/>
      <c r="I701" s="480"/>
      <c r="J701" s="430"/>
      <c r="K701" s="480"/>
      <c r="L701" s="430"/>
      <c r="M701" s="480"/>
      <c r="N701" s="430"/>
      <c r="O701" s="480"/>
      <c r="P701" s="430"/>
      <c r="Q701" s="480"/>
    </row>
    <row r="702" ht="15.75" customHeight="1">
      <c r="A702" s="430"/>
      <c r="B702" s="480"/>
      <c r="C702" s="480"/>
      <c r="D702" s="430"/>
      <c r="E702" s="480"/>
      <c r="F702" s="480"/>
      <c r="G702" s="430"/>
      <c r="H702" s="480"/>
      <c r="I702" s="480"/>
      <c r="J702" s="430"/>
      <c r="K702" s="480"/>
      <c r="L702" s="430"/>
      <c r="M702" s="480"/>
      <c r="N702" s="430"/>
      <c r="O702" s="480"/>
      <c r="P702" s="430"/>
      <c r="Q702" s="480"/>
    </row>
    <row r="703" ht="15.75" customHeight="1">
      <c r="A703" s="430"/>
      <c r="B703" s="480"/>
      <c r="C703" s="480"/>
      <c r="D703" s="430"/>
      <c r="E703" s="480"/>
      <c r="F703" s="480"/>
      <c r="G703" s="430"/>
      <c r="H703" s="480"/>
      <c r="I703" s="480"/>
      <c r="J703" s="430"/>
      <c r="K703" s="480"/>
      <c r="L703" s="430"/>
      <c r="M703" s="480"/>
      <c r="N703" s="430"/>
      <c r="O703" s="480"/>
      <c r="P703" s="430"/>
      <c r="Q703" s="480"/>
    </row>
    <row r="704" ht="15.75" customHeight="1">
      <c r="A704" s="430"/>
      <c r="B704" s="480"/>
      <c r="C704" s="480"/>
      <c r="D704" s="430"/>
      <c r="E704" s="480"/>
      <c r="F704" s="480"/>
      <c r="G704" s="430"/>
      <c r="H704" s="480"/>
      <c r="I704" s="480"/>
      <c r="J704" s="430"/>
      <c r="K704" s="480"/>
      <c r="L704" s="430"/>
      <c r="M704" s="480"/>
      <c r="N704" s="430"/>
      <c r="O704" s="480"/>
      <c r="P704" s="430"/>
      <c r="Q704" s="480"/>
    </row>
    <row r="705" ht="15.75" customHeight="1">
      <c r="A705" s="430"/>
      <c r="B705" s="480"/>
      <c r="C705" s="480"/>
      <c r="D705" s="430"/>
      <c r="E705" s="480"/>
      <c r="F705" s="480"/>
      <c r="G705" s="430"/>
      <c r="H705" s="480"/>
      <c r="I705" s="480"/>
      <c r="J705" s="430"/>
      <c r="K705" s="480"/>
      <c r="L705" s="430"/>
      <c r="M705" s="480"/>
      <c r="N705" s="430"/>
      <c r="O705" s="480"/>
      <c r="P705" s="430"/>
      <c r="Q705" s="480"/>
    </row>
    <row r="706" ht="15.75" customHeight="1">
      <c r="A706" s="430"/>
      <c r="B706" s="480"/>
      <c r="C706" s="480"/>
      <c r="D706" s="430"/>
      <c r="E706" s="480"/>
      <c r="F706" s="480"/>
      <c r="G706" s="430"/>
      <c r="H706" s="480"/>
      <c r="I706" s="480"/>
      <c r="J706" s="430"/>
      <c r="K706" s="480"/>
      <c r="L706" s="430"/>
      <c r="M706" s="480"/>
      <c r="N706" s="430"/>
      <c r="O706" s="480"/>
      <c r="P706" s="430"/>
      <c r="Q706" s="480"/>
    </row>
    <row r="707" ht="15.75" customHeight="1">
      <c r="A707" s="430"/>
      <c r="B707" s="480"/>
      <c r="C707" s="480"/>
      <c r="D707" s="430"/>
      <c r="E707" s="480"/>
      <c r="F707" s="480"/>
      <c r="G707" s="430"/>
      <c r="H707" s="480"/>
      <c r="I707" s="480"/>
      <c r="J707" s="430"/>
      <c r="K707" s="480"/>
      <c r="L707" s="430"/>
      <c r="M707" s="480"/>
      <c r="N707" s="430"/>
      <c r="O707" s="480"/>
      <c r="P707" s="430"/>
      <c r="Q707" s="480"/>
    </row>
    <row r="708" ht="15.75" customHeight="1">
      <c r="A708" s="430"/>
      <c r="B708" s="480"/>
      <c r="C708" s="480"/>
      <c r="D708" s="430"/>
      <c r="E708" s="480"/>
      <c r="F708" s="480"/>
      <c r="G708" s="430"/>
      <c r="H708" s="480"/>
      <c r="I708" s="480"/>
      <c r="J708" s="430"/>
      <c r="K708" s="480"/>
      <c r="L708" s="430"/>
      <c r="M708" s="480"/>
      <c r="N708" s="430"/>
      <c r="O708" s="480"/>
      <c r="P708" s="430"/>
      <c r="Q708" s="480"/>
    </row>
    <row r="709" ht="15.75" customHeight="1">
      <c r="A709" s="430"/>
      <c r="B709" s="480"/>
      <c r="C709" s="480"/>
      <c r="D709" s="430"/>
      <c r="E709" s="480"/>
      <c r="F709" s="480"/>
      <c r="G709" s="430"/>
      <c r="H709" s="480"/>
      <c r="I709" s="480"/>
      <c r="J709" s="430"/>
      <c r="K709" s="480"/>
      <c r="L709" s="430"/>
      <c r="M709" s="480"/>
      <c r="N709" s="430"/>
      <c r="O709" s="480"/>
      <c r="P709" s="430"/>
      <c r="Q709" s="480"/>
    </row>
    <row r="710" ht="15.75" customHeight="1">
      <c r="A710" s="430"/>
      <c r="B710" s="480"/>
      <c r="C710" s="480"/>
      <c r="D710" s="430"/>
      <c r="E710" s="480"/>
      <c r="F710" s="480"/>
      <c r="G710" s="430"/>
      <c r="H710" s="480"/>
      <c r="I710" s="480"/>
      <c r="J710" s="430"/>
      <c r="K710" s="480"/>
      <c r="L710" s="430"/>
      <c r="M710" s="480"/>
      <c r="N710" s="430"/>
      <c r="O710" s="480"/>
      <c r="P710" s="430"/>
      <c r="Q710" s="480"/>
    </row>
    <row r="711" ht="15.75" customHeight="1">
      <c r="A711" s="430"/>
      <c r="B711" s="480"/>
      <c r="C711" s="480"/>
      <c r="D711" s="430"/>
      <c r="E711" s="480"/>
      <c r="F711" s="480"/>
      <c r="G711" s="430"/>
      <c r="H711" s="480"/>
      <c r="I711" s="480"/>
      <c r="J711" s="430"/>
      <c r="K711" s="480"/>
      <c r="L711" s="430"/>
      <c r="M711" s="480"/>
      <c r="N711" s="430"/>
      <c r="O711" s="480"/>
      <c r="P711" s="430"/>
      <c r="Q711" s="480"/>
    </row>
    <row r="712" ht="15.75" customHeight="1">
      <c r="A712" s="430"/>
      <c r="B712" s="480"/>
      <c r="C712" s="480"/>
      <c r="D712" s="430"/>
      <c r="E712" s="480"/>
      <c r="F712" s="480"/>
      <c r="G712" s="430"/>
      <c r="H712" s="480"/>
      <c r="I712" s="480"/>
      <c r="J712" s="430"/>
      <c r="K712" s="480"/>
      <c r="L712" s="430"/>
      <c r="M712" s="480"/>
      <c r="N712" s="430"/>
      <c r="O712" s="480"/>
      <c r="P712" s="430"/>
      <c r="Q712" s="480"/>
    </row>
    <row r="713" ht="15.75" customHeight="1">
      <c r="A713" s="430"/>
      <c r="B713" s="480"/>
      <c r="C713" s="480"/>
      <c r="D713" s="430"/>
      <c r="E713" s="480"/>
      <c r="F713" s="480"/>
      <c r="G713" s="430"/>
      <c r="H713" s="480"/>
      <c r="I713" s="480"/>
      <c r="J713" s="430"/>
      <c r="K713" s="480"/>
      <c r="L713" s="430"/>
      <c r="M713" s="480"/>
      <c r="N713" s="430"/>
      <c r="O713" s="480"/>
      <c r="P713" s="430"/>
      <c r="Q713" s="480"/>
    </row>
    <row r="714" ht="15.75" customHeight="1">
      <c r="A714" s="430"/>
      <c r="B714" s="480"/>
      <c r="C714" s="480"/>
      <c r="D714" s="430"/>
      <c r="E714" s="480"/>
      <c r="F714" s="480"/>
      <c r="G714" s="430"/>
      <c r="H714" s="480"/>
      <c r="I714" s="480"/>
      <c r="J714" s="430"/>
      <c r="K714" s="480"/>
      <c r="L714" s="430"/>
      <c r="M714" s="480"/>
      <c r="N714" s="430"/>
      <c r="O714" s="480"/>
      <c r="P714" s="430"/>
      <c r="Q714" s="480"/>
    </row>
    <row r="715" ht="15.75" customHeight="1">
      <c r="A715" s="430"/>
      <c r="B715" s="480"/>
      <c r="C715" s="480"/>
      <c r="D715" s="430"/>
      <c r="E715" s="480"/>
      <c r="F715" s="480"/>
      <c r="G715" s="430"/>
      <c r="H715" s="480"/>
      <c r="I715" s="480"/>
      <c r="J715" s="430"/>
      <c r="K715" s="480"/>
      <c r="L715" s="430"/>
      <c r="M715" s="480"/>
      <c r="N715" s="430"/>
      <c r="O715" s="480"/>
      <c r="P715" s="430"/>
      <c r="Q715" s="480"/>
    </row>
    <row r="716" ht="15.75" customHeight="1">
      <c r="A716" s="430"/>
      <c r="B716" s="480"/>
      <c r="C716" s="480"/>
      <c r="D716" s="430"/>
      <c r="E716" s="480"/>
      <c r="F716" s="480"/>
      <c r="G716" s="430"/>
      <c r="H716" s="480"/>
      <c r="I716" s="480"/>
      <c r="J716" s="430"/>
      <c r="K716" s="480"/>
      <c r="L716" s="430"/>
      <c r="M716" s="480"/>
      <c r="N716" s="430"/>
      <c r="O716" s="480"/>
      <c r="P716" s="430"/>
      <c r="Q716" s="480"/>
    </row>
    <row r="717" ht="15.75" customHeight="1">
      <c r="A717" s="430"/>
      <c r="B717" s="480"/>
      <c r="C717" s="480"/>
      <c r="D717" s="430"/>
      <c r="E717" s="480"/>
      <c r="F717" s="480"/>
      <c r="G717" s="430"/>
      <c r="H717" s="480"/>
      <c r="I717" s="480"/>
      <c r="J717" s="430"/>
      <c r="K717" s="480"/>
      <c r="L717" s="430"/>
      <c r="M717" s="480"/>
      <c r="N717" s="430"/>
      <c r="O717" s="480"/>
      <c r="P717" s="430"/>
      <c r="Q717" s="480"/>
    </row>
    <row r="718" ht="15.75" customHeight="1">
      <c r="A718" s="430"/>
      <c r="B718" s="480"/>
      <c r="C718" s="480"/>
      <c r="D718" s="430"/>
      <c r="E718" s="480"/>
      <c r="F718" s="480"/>
      <c r="G718" s="430"/>
      <c r="H718" s="480"/>
      <c r="I718" s="480"/>
      <c r="J718" s="430"/>
      <c r="K718" s="480"/>
      <c r="L718" s="430"/>
      <c r="M718" s="480"/>
      <c r="N718" s="430"/>
      <c r="O718" s="480"/>
      <c r="P718" s="430"/>
      <c r="Q718" s="480"/>
    </row>
    <row r="719" ht="15.75" customHeight="1">
      <c r="A719" s="430"/>
      <c r="B719" s="480"/>
      <c r="C719" s="480"/>
      <c r="D719" s="430"/>
      <c r="E719" s="480"/>
      <c r="F719" s="480"/>
      <c r="G719" s="430"/>
      <c r="H719" s="480"/>
      <c r="I719" s="480"/>
      <c r="J719" s="430"/>
      <c r="K719" s="480"/>
      <c r="L719" s="430"/>
      <c r="M719" s="480"/>
      <c r="N719" s="430"/>
      <c r="O719" s="480"/>
      <c r="P719" s="430"/>
      <c r="Q719" s="480"/>
    </row>
    <row r="720" ht="15.75" customHeight="1">
      <c r="A720" s="430"/>
      <c r="B720" s="480"/>
      <c r="C720" s="480"/>
      <c r="D720" s="430"/>
      <c r="E720" s="480"/>
      <c r="F720" s="480"/>
      <c r="G720" s="430"/>
      <c r="H720" s="480"/>
      <c r="I720" s="480"/>
      <c r="J720" s="430"/>
      <c r="K720" s="480"/>
      <c r="L720" s="430"/>
      <c r="M720" s="480"/>
      <c r="N720" s="430"/>
      <c r="O720" s="480"/>
      <c r="P720" s="430"/>
      <c r="Q720" s="480"/>
    </row>
    <row r="721" ht="15.75" customHeight="1">
      <c r="A721" s="430"/>
      <c r="B721" s="480"/>
      <c r="C721" s="480"/>
      <c r="D721" s="430"/>
      <c r="E721" s="480"/>
      <c r="F721" s="480"/>
      <c r="G721" s="430"/>
      <c r="H721" s="480"/>
      <c r="I721" s="480"/>
      <c r="J721" s="430"/>
      <c r="K721" s="480"/>
      <c r="L721" s="430"/>
      <c r="M721" s="480"/>
      <c r="N721" s="430"/>
      <c r="O721" s="480"/>
      <c r="P721" s="430"/>
      <c r="Q721" s="480"/>
    </row>
    <row r="722" ht="15.75" customHeight="1">
      <c r="A722" s="430"/>
      <c r="B722" s="480"/>
      <c r="C722" s="480"/>
      <c r="D722" s="430"/>
      <c r="E722" s="480"/>
      <c r="F722" s="480"/>
      <c r="G722" s="430"/>
      <c r="H722" s="480"/>
      <c r="I722" s="480"/>
      <c r="J722" s="430"/>
      <c r="K722" s="480"/>
      <c r="L722" s="430"/>
      <c r="M722" s="480"/>
      <c r="N722" s="430"/>
      <c r="O722" s="480"/>
      <c r="P722" s="430"/>
      <c r="Q722" s="480"/>
    </row>
    <row r="723" ht="15.75" customHeight="1">
      <c r="A723" s="430"/>
      <c r="B723" s="480"/>
      <c r="C723" s="480"/>
      <c r="D723" s="430"/>
      <c r="E723" s="480"/>
      <c r="F723" s="480"/>
      <c r="G723" s="430"/>
      <c r="H723" s="480"/>
      <c r="I723" s="480"/>
      <c r="J723" s="430"/>
      <c r="K723" s="480"/>
      <c r="L723" s="430"/>
      <c r="M723" s="480"/>
      <c r="N723" s="430"/>
      <c r="O723" s="480"/>
      <c r="P723" s="430"/>
      <c r="Q723" s="480"/>
    </row>
    <row r="724" ht="15.75" customHeight="1">
      <c r="A724" s="430"/>
      <c r="B724" s="480"/>
      <c r="C724" s="480"/>
      <c r="D724" s="430"/>
      <c r="E724" s="480"/>
      <c r="F724" s="480"/>
      <c r="G724" s="430"/>
      <c r="H724" s="480"/>
      <c r="I724" s="480"/>
      <c r="J724" s="430"/>
      <c r="K724" s="480"/>
      <c r="L724" s="430"/>
      <c r="M724" s="480"/>
      <c r="N724" s="430"/>
      <c r="O724" s="480"/>
      <c r="P724" s="430"/>
      <c r="Q724" s="480"/>
    </row>
    <row r="725" ht="15.75" customHeight="1">
      <c r="A725" s="430"/>
      <c r="B725" s="480"/>
      <c r="C725" s="480"/>
      <c r="D725" s="430"/>
      <c r="E725" s="480"/>
      <c r="F725" s="480"/>
      <c r="G725" s="430"/>
      <c r="H725" s="480"/>
      <c r="I725" s="480"/>
      <c r="J725" s="430"/>
      <c r="K725" s="480"/>
      <c r="L725" s="430"/>
      <c r="M725" s="480"/>
      <c r="N725" s="430"/>
      <c r="O725" s="480"/>
      <c r="P725" s="430"/>
      <c r="Q725" s="480"/>
    </row>
    <row r="726" ht="15.75" customHeight="1">
      <c r="A726" s="430"/>
      <c r="B726" s="480"/>
      <c r="C726" s="480"/>
      <c r="D726" s="430"/>
      <c r="E726" s="480"/>
      <c r="F726" s="480"/>
      <c r="G726" s="430"/>
      <c r="H726" s="480"/>
      <c r="I726" s="480"/>
      <c r="J726" s="430"/>
      <c r="K726" s="480"/>
      <c r="L726" s="430"/>
      <c r="M726" s="480"/>
      <c r="N726" s="430"/>
      <c r="O726" s="480"/>
      <c r="P726" s="430"/>
      <c r="Q726" s="480"/>
    </row>
    <row r="727" ht="15.75" customHeight="1">
      <c r="A727" s="430"/>
      <c r="B727" s="480"/>
      <c r="C727" s="480"/>
      <c r="D727" s="430"/>
      <c r="E727" s="480"/>
      <c r="F727" s="480"/>
      <c r="G727" s="430"/>
      <c r="H727" s="480"/>
      <c r="I727" s="480"/>
      <c r="J727" s="430"/>
      <c r="K727" s="480"/>
      <c r="L727" s="430"/>
      <c r="M727" s="480"/>
      <c r="N727" s="430"/>
      <c r="O727" s="480"/>
      <c r="P727" s="430"/>
      <c r="Q727" s="480"/>
    </row>
    <row r="728" ht="15.75" customHeight="1">
      <c r="A728" s="430"/>
      <c r="B728" s="480"/>
      <c r="C728" s="480"/>
      <c r="D728" s="430"/>
      <c r="E728" s="480"/>
      <c r="F728" s="480"/>
      <c r="G728" s="430"/>
      <c r="H728" s="480"/>
      <c r="I728" s="480"/>
      <c r="J728" s="430"/>
      <c r="K728" s="480"/>
      <c r="L728" s="430"/>
      <c r="M728" s="480"/>
      <c r="N728" s="430"/>
      <c r="O728" s="480"/>
      <c r="P728" s="430"/>
      <c r="Q728" s="480"/>
    </row>
    <row r="729" ht="15.75" customHeight="1">
      <c r="A729" s="430"/>
      <c r="B729" s="480"/>
      <c r="C729" s="480"/>
      <c r="D729" s="430"/>
      <c r="E729" s="480"/>
      <c r="F729" s="480"/>
      <c r="G729" s="430"/>
      <c r="H729" s="480"/>
      <c r="I729" s="480"/>
      <c r="J729" s="430"/>
      <c r="K729" s="480"/>
      <c r="L729" s="430"/>
      <c r="M729" s="480"/>
      <c r="N729" s="430"/>
      <c r="O729" s="480"/>
      <c r="P729" s="430"/>
      <c r="Q729" s="480"/>
    </row>
    <row r="730" ht="15.75" customHeight="1">
      <c r="A730" s="430"/>
      <c r="B730" s="480"/>
      <c r="C730" s="480"/>
      <c r="D730" s="430"/>
      <c r="E730" s="480"/>
      <c r="F730" s="480"/>
      <c r="G730" s="430"/>
      <c r="H730" s="480"/>
      <c r="I730" s="480"/>
      <c r="J730" s="430"/>
      <c r="K730" s="480"/>
      <c r="L730" s="430"/>
      <c r="M730" s="480"/>
      <c r="N730" s="430"/>
      <c r="O730" s="480"/>
      <c r="P730" s="430"/>
      <c r="Q730" s="480"/>
    </row>
    <row r="731" ht="15.75" customHeight="1">
      <c r="A731" s="430"/>
      <c r="B731" s="480"/>
      <c r="C731" s="480"/>
      <c r="D731" s="430"/>
      <c r="E731" s="480"/>
      <c r="F731" s="480"/>
      <c r="G731" s="430"/>
      <c r="H731" s="480"/>
      <c r="I731" s="480"/>
      <c r="J731" s="430"/>
      <c r="K731" s="480"/>
      <c r="L731" s="430"/>
      <c r="M731" s="480"/>
      <c r="N731" s="430"/>
      <c r="O731" s="480"/>
      <c r="P731" s="430"/>
      <c r="Q731" s="480"/>
    </row>
    <row r="732" ht="15.75" customHeight="1">
      <c r="A732" s="430"/>
      <c r="B732" s="480"/>
      <c r="C732" s="480"/>
      <c r="D732" s="430"/>
      <c r="E732" s="480"/>
      <c r="F732" s="480"/>
      <c r="G732" s="430"/>
      <c r="H732" s="480"/>
      <c r="I732" s="480"/>
      <c r="J732" s="430"/>
      <c r="K732" s="480"/>
      <c r="L732" s="430"/>
      <c r="M732" s="480"/>
      <c r="N732" s="430"/>
      <c r="O732" s="480"/>
      <c r="P732" s="430"/>
      <c r="Q732" s="480"/>
    </row>
    <row r="733" ht="15.75" customHeight="1">
      <c r="A733" s="430"/>
      <c r="B733" s="480"/>
      <c r="C733" s="480"/>
      <c r="D733" s="430"/>
      <c r="E733" s="480"/>
      <c r="F733" s="480"/>
      <c r="G733" s="430"/>
      <c r="H733" s="480"/>
      <c r="I733" s="480"/>
      <c r="J733" s="430"/>
      <c r="K733" s="480"/>
      <c r="L733" s="430"/>
      <c r="M733" s="480"/>
      <c r="N733" s="430"/>
      <c r="O733" s="480"/>
      <c r="P733" s="430"/>
      <c r="Q733" s="480"/>
    </row>
    <row r="734" ht="15.75" customHeight="1">
      <c r="A734" s="430"/>
      <c r="B734" s="480"/>
      <c r="C734" s="480"/>
      <c r="D734" s="430"/>
      <c r="E734" s="480"/>
      <c r="F734" s="480"/>
      <c r="G734" s="430"/>
      <c r="H734" s="480"/>
      <c r="I734" s="480"/>
      <c r="J734" s="430"/>
      <c r="K734" s="480"/>
      <c r="L734" s="430"/>
      <c r="M734" s="480"/>
      <c r="N734" s="430"/>
      <c r="O734" s="480"/>
      <c r="P734" s="430"/>
      <c r="Q734" s="480"/>
    </row>
    <row r="735" ht="15.75" customHeight="1">
      <c r="A735" s="430"/>
      <c r="B735" s="480"/>
      <c r="C735" s="480"/>
      <c r="D735" s="430"/>
      <c r="E735" s="480"/>
      <c r="F735" s="480"/>
      <c r="G735" s="430"/>
      <c r="H735" s="480"/>
      <c r="I735" s="480"/>
      <c r="J735" s="430"/>
      <c r="K735" s="480"/>
      <c r="L735" s="430"/>
      <c r="M735" s="480"/>
      <c r="N735" s="430"/>
      <c r="O735" s="480"/>
      <c r="P735" s="430"/>
      <c r="Q735" s="480"/>
    </row>
    <row r="736" ht="15.75" customHeight="1">
      <c r="A736" s="430"/>
      <c r="B736" s="480"/>
      <c r="C736" s="480"/>
      <c r="D736" s="430"/>
      <c r="E736" s="480"/>
      <c r="F736" s="480"/>
      <c r="G736" s="430"/>
      <c r="H736" s="480"/>
      <c r="I736" s="480"/>
      <c r="J736" s="430"/>
      <c r="K736" s="480"/>
      <c r="L736" s="430"/>
      <c r="M736" s="480"/>
      <c r="N736" s="430"/>
      <c r="O736" s="480"/>
      <c r="P736" s="430"/>
      <c r="Q736" s="480"/>
    </row>
    <row r="737" ht="15.75" customHeight="1">
      <c r="A737" s="430"/>
      <c r="B737" s="480"/>
      <c r="C737" s="480"/>
      <c r="D737" s="430"/>
      <c r="E737" s="480"/>
      <c r="F737" s="480"/>
      <c r="G737" s="430"/>
      <c r="H737" s="480"/>
      <c r="I737" s="480"/>
      <c r="J737" s="430"/>
      <c r="K737" s="480"/>
      <c r="L737" s="430"/>
      <c r="M737" s="480"/>
      <c r="N737" s="430"/>
      <c r="O737" s="480"/>
      <c r="P737" s="430"/>
      <c r="Q737" s="480"/>
    </row>
    <row r="738" ht="15.75" customHeight="1">
      <c r="A738" s="430"/>
      <c r="B738" s="480"/>
      <c r="C738" s="480"/>
      <c r="D738" s="430"/>
      <c r="E738" s="480"/>
      <c r="F738" s="480"/>
      <c r="G738" s="430"/>
      <c r="H738" s="480"/>
      <c r="I738" s="480"/>
      <c r="J738" s="430"/>
      <c r="K738" s="480"/>
      <c r="L738" s="430"/>
      <c r="M738" s="480"/>
      <c r="N738" s="430"/>
      <c r="O738" s="480"/>
      <c r="P738" s="430"/>
      <c r="Q738" s="480"/>
    </row>
    <row r="739" ht="15.75" customHeight="1">
      <c r="A739" s="430"/>
      <c r="B739" s="480"/>
      <c r="C739" s="480"/>
      <c r="D739" s="430"/>
      <c r="E739" s="480"/>
      <c r="F739" s="480"/>
      <c r="G739" s="430"/>
      <c r="H739" s="480"/>
      <c r="I739" s="480"/>
      <c r="J739" s="430"/>
      <c r="K739" s="480"/>
      <c r="L739" s="430"/>
      <c r="M739" s="480"/>
      <c r="N739" s="430"/>
      <c r="O739" s="480"/>
      <c r="P739" s="430"/>
      <c r="Q739" s="480"/>
    </row>
    <row r="740" ht="15.75" customHeight="1">
      <c r="A740" s="430"/>
      <c r="B740" s="480"/>
      <c r="C740" s="480"/>
      <c r="D740" s="430"/>
      <c r="E740" s="480"/>
      <c r="F740" s="480"/>
      <c r="G740" s="430"/>
      <c r="H740" s="480"/>
      <c r="I740" s="480"/>
      <c r="J740" s="430"/>
      <c r="K740" s="480"/>
      <c r="L740" s="430"/>
      <c r="M740" s="480"/>
      <c r="N740" s="430"/>
      <c r="O740" s="480"/>
      <c r="P740" s="430"/>
      <c r="Q740" s="480"/>
    </row>
    <row r="741" ht="15.75" customHeight="1">
      <c r="A741" s="430"/>
      <c r="B741" s="480"/>
      <c r="C741" s="480"/>
      <c r="D741" s="430"/>
      <c r="E741" s="480"/>
      <c r="F741" s="480"/>
      <c r="G741" s="430"/>
      <c r="H741" s="480"/>
      <c r="I741" s="480"/>
      <c r="J741" s="430"/>
      <c r="K741" s="480"/>
      <c r="L741" s="430"/>
      <c r="M741" s="480"/>
      <c r="N741" s="430"/>
      <c r="O741" s="480"/>
      <c r="P741" s="430"/>
      <c r="Q741" s="480"/>
    </row>
    <row r="742" ht="15.75" customHeight="1">
      <c r="A742" s="430"/>
      <c r="B742" s="480"/>
      <c r="C742" s="480"/>
      <c r="D742" s="430"/>
      <c r="E742" s="480"/>
      <c r="F742" s="480"/>
      <c r="G742" s="430"/>
      <c r="H742" s="480"/>
      <c r="I742" s="480"/>
      <c r="J742" s="430"/>
      <c r="K742" s="480"/>
      <c r="L742" s="430"/>
      <c r="M742" s="480"/>
      <c r="N742" s="430"/>
      <c r="O742" s="480"/>
      <c r="P742" s="430"/>
      <c r="Q742" s="480"/>
    </row>
    <row r="743" ht="15.75" customHeight="1">
      <c r="A743" s="430"/>
      <c r="B743" s="480"/>
      <c r="C743" s="480"/>
      <c r="D743" s="430"/>
      <c r="E743" s="480"/>
      <c r="F743" s="480"/>
      <c r="G743" s="430"/>
      <c r="H743" s="480"/>
      <c r="I743" s="480"/>
      <c r="J743" s="430"/>
      <c r="K743" s="480"/>
      <c r="L743" s="430"/>
      <c r="M743" s="480"/>
      <c r="N743" s="430"/>
      <c r="O743" s="480"/>
      <c r="P743" s="430"/>
      <c r="Q743" s="480"/>
    </row>
    <row r="744" ht="15.75" customHeight="1">
      <c r="A744" s="430"/>
      <c r="B744" s="480"/>
      <c r="C744" s="480"/>
      <c r="D744" s="430"/>
      <c r="E744" s="480"/>
      <c r="F744" s="480"/>
      <c r="G744" s="430"/>
      <c r="H744" s="480"/>
      <c r="I744" s="480"/>
      <c r="J744" s="430"/>
      <c r="K744" s="480"/>
      <c r="L744" s="430"/>
      <c r="M744" s="480"/>
      <c r="N744" s="430"/>
      <c r="O744" s="480"/>
      <c r="P744" s="430"/>
      <c r="Q744" s="480"/>
    </row>
    <row r="745" ht="15.75" customHeight="1">
      <c r="A745" s="430"/>
      <c r="B745" s="480"/>
      <c r="C745" s="480"/>
      <c r="D745" s="430"/>
      <c r="E745" s="480"/>
      <c r="F745" s="480"/>
      <c r="G745" s="430"/>
      <c r="H745" s="480"/>
      <c r="I745" s="480"/>
      <c r="J745" s="430"/>
      <c r="K745" s="480"/>
      <c r="L745" s="430"/>
      <c r="M745" s="480"/>
      <c r="N745" s="430"/>
      <c r="O745" s="480"/>
      <c r="P745" s="430"/>
      <c r="Q745" s="480"/>
    </row>
    <row r="746" ht="15.75" customHeight="1">
      <c r="A746" s="430"/>
      <c r="B746" s="480"/>
      <c r="C746" s="480"/>
      <c r="D746" s="430"/>
      <c r="E746" s="480"/>
      <c r="F746" s="480"/>
      <c r="G746" s="430"/>
      <c r="H746" s="480"/>
      <c r="I746" s="480"/>
      <c r="J746" s="430"/>
      <c r="K746" s="480"/>
      <c r="L746" s="430"/>
      <c r="M746" s="480"/>
      <c r="N746" s="430"/>
      <c r="O746" s="480"/>
      <c r="P746" s="430"/>
      <c r="Q746" s="480"/>
    </row>
    <row r="747" ht="15.75" customHeight="1">
      <c r="A747" s="430"/>
      <c r="B747" s="480"/>
      <c r="C747" s="480"/>
      <c r="D747" s="430"/>
      <c r="E747" s="480"/>
      <c r="F747" s="480"/>
      <c r="G747" s="430"/>
      <c r="H747" s="480"/>
      <c r="I747" s="480"/>
      <c r="J747" s="430"/>
      <c r="K747" s="480"/>
      <c r="L747" s="430"/>
      <c r="M747" s="480"/>
      <c r="N747" s="430"/>
      <c r="O747" s="480"/>
      <c r="P747" s="430"/>
      <c r="Q747" s="480"/>
    </row>
    <row r="748" ht="15.75" customHeight="1">
      <c r="A748" s="430"/>
      <c r="B748" s="480"/>
      <c r="C748" s="480"/>
      <c r="D748" s="430"/>
      <c r="E748" s="480"/>
      <c r="F748" s="480"/>
      <c r="G748" s="430"/>
      <c r="H748" s="480"/>
      <c r="I748" s="480"/>
      <c r="J748" s="430"/>
      <c r="K748" s="480"/>
      <c r="L748" s="430"/>
      <c r="M748" s="480"/>
      <c r="N748" s="430"/>
      <c r="O748" s="480"/>
      <c r="P748" s="430"/>
      <c r="Q748" s="480"/>
    </row>
    <row r="749" ht="15.75" customHeight="1">
      <c r="A749" s="430"/>
      <c r="B749" s="480"/>
      <c r="C749" s="480"/>
      <c r="D749" s="430"/>
      <c r="E749" s="480"/>
      <c r="F749" s="480"/>
      <c r="G749" s="430"/>
      <c r="H749" s="480"/>
      <c r="I749" s="480"/>
      <c r="J749" s="430"/>
      <c r="K749" s="480"/>
      <c r="L749" s="430"/>
      <c r="M749" s="480"/>
      <c r="N749" s="430"/>
      <c r="O749" s="480"/>
      <c r="P749" s="430"/>
      <c r="Q749" s="480"/>
    </row>
    <row r="750" ht="15.75" customHeight="1">
      <c r="A750" s="430"/>
      <c r="B750" s="480"/>
      <c r="C750" s="480"/>
      <c r="D750" s="430"/>
      <c r="E750" s="480"/>
      <c r="F750" s="480"/>
      <c r="G750" s="430"/>
      <c r="H750" s="480"/>
      <c r="I750" s="480"/>
      <c r="J750" s="430"/>
      <c r="K750" s="480"/>
      <c r="L750" s="430"/>
      <c r="M750" s="480"/>
      <c r="N750" s="430"/>
      <c r="O750" s="480"/>
      <c r="P750" s="430"/>
      <c r="Q750" s="480"/>
    </row>
    <row r="751" ht="15.75" customHeight="1">
      <c r="A751" s="430"/>
      <c r="B751" s="480"/>
      <c r="C751" s="480"/>
      <c r="D751" s="430"/>
      <c r="E751" s="480"/>
      <c r="F751" s="480"/>
      <c r="G751" s="430"/>
      <c r="H751" s="480"/>
      <c r="I751" s="480"/>
      <c r="J751" s="430"/>
      <c r="K751" s="480"/>
      <c r="L751" s="430"/>
      <c r="M751" s="480"/>
      <c r="N751" s="430"/>
      <c r="O751" s="480"/>
      <c r="P751" s="430"/>
      <c r="Q751" s="480"/>
    </row>
    <row r="752" ht="15.75" customHeight="1">
      <c r="A752" s="430"/>
      <c r="B752" s="480"/>
      <c r="C752" s="480"/>
      <c r="D752" s="430"/>
      <c r="E752" s="480"/>
      <c r="F752" s="480"/>
      <c r="G752" s="430"/>
      <c r="H752" s="480"/>
      <c r="I752" s="480"/>
      <c r="J752" s="430"/>
      <c r="K752" s="480"/>
      <c r="L752" s="430"/>
      <c r="M752" s="480"/>
      <c r="N752" s="430"/>
      <c r="O752" s="480"/>
      <c r="P752" s="430"/>
      <c r="Q752" s="480"/>
    </row>
    <row r="753" ht="15.75" customHeight="1">
      <c r="A753" s="430"/>
      <c r="B753" s="480"/>
      <c r="C753" s="480"/>
      <c r="D753" s="430"/>
      <c r="E753" s="480"/>
      <c r="F753" s="480"/>
      <c r="G753" s="430"/>
      <c r="H753" s="480"/>
      <c r="I753" s="480"/>
      <c r="J753" s="430"/>
      <c r="K753" s="480"/>
      <c r="L753" s="430"/>
      <c r="M753" s="480"/>
      <c r="N753" s="430"/>
      <c r="O753" s="480"/>
      <c r="P753" s="430"/>
      <c r="Q753" s="480"/>
    </row>
    <row r="754" ht="15.75" customHeight="1">
      <c r="A754" s="430"/>
      <c r="B754" s="480"/>
      <c r="C754" s="480"/>
      <c r="D754" s="430"/>
      <c r="E754" s="480"/>
      <c r="F754" s="480"/>
      <c r="G754" s="430"/>
      <c r="H754" s="480"/>
      <c r="I754" s="480"/>
      <c r="J754" s="430"/>
      <c r="K754" s="480"/>
      <c r="L754" s="430"/>
      <c r="M754" s="480"/>
      <c r="N754" s="430"/>
      <c r="O754" s="480"/>
      <c r="P754" s="430"/>
      <c r="Q754" s="480"/>
    </row>
    <row r="755" ht="15.75" customHeight="1">
      <c r="A755" s="430"/>
      <c r="B755" s="480"/>
      <c r="C755" s="480"/>
      <c r="D755" s="430"/>
      <c r="E755" s="480"/>
      <c r="F755" s="480"/>
      <c r="G755" s="430"/>
      <c r="H755" s="480"/>
      <c r="I755" s="480"/>
      <c r="J755" s="430"/>
      <c r="K755" s="480"/>
      <c r="L755" s="430"/>
      <c r="M755" s="480"/>
      <c r="N755" s="430"/>
      <c r="O755" s="480"/>
      <c r="P755" s="430"/>
      <c r="Q755" s="480"/>
    </row>
    <row r="756" ht="15.75" customHeight="1">
      <c r="A756" s="430"/>
      <c r="B756" s="480"/>
      <c r="C756" s="480"/>
      <c r="D756" s="430"/>
      <c r="E756" s="480"/>
      <c r="F756" s="480"/>
      <c r="G756" s="430"/>
      <c r="H756" s="480"/>
      <c r="I756" s="480"/>
      <c r="J756" s="430"/>
      <c r="K756" s="480"/>
      <c r="L756" s="430"/>
      <c r="M756" s="480"/>
      <c r="N756" s="430"/>
      <c r="O756" s="480"/>
      <c r="P756" s="430"/>
      <c r="Q756" s="480"/>
    </row>
    <row r="757" ht="15.75" customHeight="1">
      <c r="A757" s="430"/>
      <c r="B757" s="480"/>
      <c r="C757" s="480"/>
      <c r="D757" s="430"/>
      <c r="E757" s="480"/>
      <c r="F757" s="480"/>
      <c r="G757" s="430"/>
      <c r="H757" s="480"/>
      <c r="I757" s="480"/>
      <c r="J757" s="430"/>
      <c r="K757" s="480"/>
      <c r="L757" s="430"/>
      <c r="M757" s="480"/>
      <c r="N757" s="430"/>
      <c r="O757" s="480"/>
      <c r="P757" s="430"/>
      <c r="Q757" s="480"/>
    </row>
    <row r="758" ht="15.75" customHeight="1">
      <c r="A758" s="430"/>
      <c r="B758" s="480"/>
      <c r="C758" s="480"/>
      <c r="D758" s="430"/>
      <c r="E758" s="480"/>
      <c r="F758" s="480"/>
      <c r="G758" s="430"/>
      <c r="H758" s="480"/>
      <c r="I758" s="480"/>
      <c r="J758" s="430"/>
      <c r="K758" s="480"/>
      <c r="L758" s="430"/>
      <c r="M758" s="480"/>
      <c r="N758" s="430"/>
      <c r="O758" s="480"/>
      <c r="P758" s="430"/>
      <c r="Q758" s="480"/>
    </row>
    <row r="759" ht="15.75" customHeight="1">
      <c r="A759" s="430"/>
      <c r="B759" s="480"/>
      <c r="C759" s="480"/>
      <c r="D759" s="430"/>
      <c r="E759" s="480"/>
      <c r="F759" s="480"/>
      <c r="G759" s="430"/>
      <c r="H759" s="480"/>
      <c r="I759" s="480"/>
      <c r="J759" s="430"/>
      <c r="K759" s="480"/>
      <c r="L759" s="430"/>
      <c r="M759" s="480"/>
      <c r="N759" s="430"/>
      <c r="O759" s="480"/>
      <c r="P759" s="430"/>
      <c r="Q759" s="480"/>
    </row>
    <row r="760" ht="15.75" customHeight="1">
      <c r="A760" s="430"/>
      <c r="B760" s="480"/>
      <c r="C760" s="480"/>
      <c r="D760" s="430"/>
      <c r="E760" s="480"/>
      <c r="F760" s="480"/>
      <c r="G760" s="430"/>
      <c r="H760" s="480"/>
      <c r="I760" s="480"/>
      <c r="J760" s="430"/>
      <c r="K760" s="480"/>
      <c r="L760" s="430"/>
      <c r="M760" s="480"/>
      <c r="N760" s="430"/>
      <c r="O760" s="480"/>
      <c r="P760" s="430"/>
      <c r="Q760" s="480"/>
    </row>
    <row r="761" ht="15.75" customHeight="1">
      <c r="A761" s="430"/>
      <c r="B761" s="480"/>
      <c r="C761" s="480"/>
      <c r="D761" s="430"/>
      <c r="E761" s="480"/>
      <c r="F761" s="480"/>
      <c r="G761" s="430"/>
      <c r="H761" s="480"/>
      <c r="I761" s="480"/>
      <c r="J761" s="430"/>
      <c r="K761" s="480"/>
      <c r="L761" s="430"/>
      <c r="M761" s="480"/>
      <c r="N761" s="430"/>
      <c r="O761" s="480"/>
      <c r="P761" s="430"/>
      <c r="Q761" s="480"/>
    </row>
    <row r="762" ht="15.75" customHeight="1">
      <c r="A762" s="430"/>
      <c r="B762" s="480"/>
      <c r="C762" s="480"/>
      <c r="D762" s="430"/>
      <c r="E762" s="480"/>
      <c r="F762" s="480"/>
      <c r="G762" s="430"/>
      <c r="H762" s="480"/>
      <c r="I762" s="480"/>
      <c r="J762" s="430"/>
      <c r="K762" s="480"/>
      <c r="L762" s="430"/>
      <c r="M762" s="480"/>
      <c r="N762" s="430"/>
      <c r="O762" s="480"/>
      <c r="P762" s="430"/>
      <c r="Q762" s="480"/>
    </row>
    <row r="763" ht="15.75" customHeight="1">
      <c r="A763" s="430"/>
      <c r="B763" s="480"/>
      <c r="C763" s="480"/>
      <c r="D763" s="430"/>
      <c r="E763" s="480"/>
      <c r="F763" s="480"/>
      <c r="G763" s="430"/>
      <c r="H763" s="480"/>
      <c r="I763" s="480"/>
      <c r="J763" s="430"/>
      <c r="K763" s="480"/>
      <c r="L763" s="430"/>
      <c r="M763" s="480"/>
      <c r="N763" s="430"/>
      <c r="O763" s="480"/>
      <c r="P763" s="430"/>
      <c r="Q763" s="480"/>
    </row>
    <row r="764" ht="15.75" customHeight="1">
      <c r="A764" s="430"/>
      <c r="B764" s="480"/>
      <c r="C764" s="480"/>
      <c r="D764" s="430"/>
      <c r="E764" s="480"/>
      <c r="F764" s="480"/>
      <c r="G764" s="430"/>
      <c r="H764" s="480"/>
      <c r="I764" s="480"/>
      <c r="J764" s="430"/>
      <c r="K764" s="480"/>
      <c r="L764" s="430"/>
      <c r="M764" s="480"/>
      <c r="N764" s="430"/>
      <c r="O764" s="480"/>
      <c r="P764" s="430"/>
      <c r="Q764" s="480"/>
    </row>
    <row r="765" ht="15.75" customHeight="1">
      <c r="A765" s="430"/>
      <c r="B765" s="480"/>
      <c r="C765" s="480"/>
      <c r="D765" s="430"/>
      <c r="E765" s="480"/>
      <c r="F765" s="480"/>
      <c r="G765" s="430"/>
      <c r="H765" s="480"/>
      <c r="I765" s="480"/>
      <c r="J765" s="430"/>
      <c r="K765" s="480"/>
      <c r="L765" s="430"/>
      <c r="M765" s="480"/>
      <c r="N765" s="430"/>
      <c r="O765" s="480"/>
      <c r="P765" s="430"/>
      <c r="Q765" s="480"/>
    </row>
    <row r="766" ht="15.75" customHeight="1">
      <c r="A766" s="430"/>
      <c r="B766" s="480"/>
      <c r="C766" s="480"/>
      <c r="D766" s="430"/>
      <c r="E766" s="480"/>
      <c r="F766" s="480"/>
      <c r="G766" s="430"/>
      <c r="H766" s="480"/>
      <c r="I766" s="480"/>
      <c r="J766" s="430"/>
      <c r="K766" s="480"/>
      <c r="L766" s="430"/>
      <c r="M766" s="480"/>
      <c r="N766" s="430"/>
      <c r="O766" s="480"/>
      <c r="P766" s="430"/>
      <c r="Q766" s="480"/>
    </row>
    <row r="767" ht="15.75" customHeight="1">
      <c r="A767" s="430"/>
      <c r="B767" s="480"/>
      <c r="C767" s="480"/>
      <c r="D767" s="430"/>
      <c r="E767" s="480"/>
      <c r="F767" s="480"/>
      <c r="G767" s="430"/>
      <c r="H767" s="480"/>
      <c r="I767" s="480"/>
      <c r="J767" s="430"/>
      <c r="K767" s="480"/>
      <c r="L767" s="430"/>
      <c r="M767" s="480"/>
      <c r="N767" s="430"/>
      <c r="O767" s="480"/>
      <c r="P767" s="430"/>
      <c r="Q767" s="480"/>
    </row>
    <row r="768" ht="15.75" customHeight="1">
      <c r="A768" s="430"/>
      <c r="B768" s="480"/>
      <c r="C768" s="480"/>
      <c r="D768" s="430"/>
      <c r="E768" s="480"/>
      <c r="F768" s="480"/>
      <c r="G768" s="430"/>
      <c r="H768" s="480"/>
      <c r="I768" s="480"/>
      <c r="J768" s="430"/>
      <c r="K768" s="480"/>
      <c r="L768" s="430"/>
      <c r="M768" s="480"/>
      <c r="N768" s="430"/>
      <c r="O768" s="480"/>
      <c r="P768" s="430"/>
      <c r="Q768" s="480"/>
    </row>
    <row r="769" ht="15.75" customHeight="1">
      <c r="A769" s="430"/>
      <c r="B769" s="480"/>
      <c r="C769" s="480"/>
      <c r="D769" s="430"/>
      <c r="E769" s="480"/>
      <c r="F769" s="480"/>
      <c r="G769" s="430"/>
      <c r="H769" s="480"/>
      <c r="I769" s="480"/>
      <c r="J769" s="430"/>
      <c r="K769" s="480"/>
      <c r="L769" s="430"/>
      <c r="M769" s="480"/>
      <c r="N769" s="430"/>
      <c r="O769" s="480"/>
      <c r="P769" s="430"/>
      <c r="Q769" s="480"/>
    </row>
    <row r="770" ht="15.75" customHeight="1">
      <c r="A770" s="430"/>
      <c r="B770" s="480"/>
      <c r="C770" s="480"/>
      <c r="D770" s="430"/>
      <c r="E770" s="480"/>
      <c r="F770" s="480"/>
      <c r="G770" s="430"/>
      <c r="H770" s="480"/>
      <c r="I770" s="480"/>
      <c r="J770" s="430"/>
      <c r="K770" s="480"/>
      <c r="L770" s="430"/>
      <c r="M770" s="480"/>
      <c r="N770" s="430"/>
      <c r="O770" s="480"/>
      <c r="P770" s="430"/>
      <c r="Q770" s="480"/>
    </row>
    <row r="771" ht="15.75" customHeight="1">
      <c r="A771" s="430"/>
      <c r="B771" s="480"/>
      <c r="C771" s="480"/>
      <c r="D771" s="430"/>
      <c r="E771" s="480"/>
      <c r="F771" s="480"/>
      <c r="G771" s="430"/>
      <c r="H771" s="480"/>
      <c r="I771" s="480"/>
      <c r="J771" s="430"/>
      <c r="K771" s="480"/>
      <c r="L771" s="430"/>
      <c r="M771" s="480"/>
      <c r="N771" s="430"/>
      <c r="O771" s="480"/>
      <c r="P771" s="430"/>
      <c r="Q771" s="480"/>
    </row>
    <row r="772" ht="15.75" customHeight="1">
      <c r="A772" s="430"/>
      <c r="B772" s="480"/>
      <c r="C772" s="480"/>
      <c r="D772" s="430"/>
      <c r="E772" s="480"/>
      <c r="F772" s="480"/>
      <c r="G772" s="430"/>
      <c r="H772" s="480"/>
      <c r="I772" s="480"/>
      <c r="J772" s="430"/>
      <c r="K772" s="480"/>
      <c r="L772" s="430"/>
      <c r="M772" s="480"/>
      <c r="N772" s="430"/>
      <c r="O772" s="480"/>
      <c r="P772" s="430"/>
      <c r="Q772" s="480"/>
    </row>
    <row r="773" ht="15.75" customHeight="1">
      <c r="A773" s="430"/>
      <c r="B773" s="480"/>
      <c r="C773" s="480"/>
      <c r="D773" s="430"/>
      <c r="E773" s="480"/>
      <c r="F773" s="480"/>
      <c r="G773" s="430"/>
      <c r="H773" s="480"/>
      <c r="I773" s="480"/>
      <c r="J773" s="430"/>
      <c r="K773" s="480"/>
      <c r="L773" s="430"/>
      <c r="M773" s="480"/>
      <c r="N773" s="430"/>
      <c r="O773" s="480"/>
      <c r="P773" s="430"/>
      <c r="Q773" s="480"/>
    </row>
    <row r="774" ht="15.75" customHeight="1">
      <c r="A774" s="430"/>
      <c r="B774" s="480"/>
      <c r="C774" s="480"/>
      <c r="D774" s="430"/>
      <c r="E774" s="480"/>
      <c r="F774" s="480"/>
      <c r="G774" s="430"/>
      <c r="H774" s="480"/>
      <c r="I774" s="480"/>
      <c r="J774" s="430"/>
      <c r="K774" s="480"/>
      <c r="L774" s="430"/>
      <c r="M774" s="480"/>
      <c r="N774" s="430"/>
      <c r="O774" s="480"/>
      <c r="P774" s="430"/>
      <c r="Q774" s="480"/>
    </row>
    <row r="775" ht="15.75" customHeight="1">
      <c r="A775" s="430"/>
      <c r="B775" s="480"/>
      <c r="C775" s="480"/>
      <c r="D775" s="430"/>
      <c r="E775" s="480"/>
      <c r="F775" s="480"/>
      <c r="G775" s="430"/>
      <c r="H775" s="480"/>
      <c r="I775" s="480"/>
      <c r="J775" s="430"/>
      <c r="K775" s="480"/>
      <c r="L775" s="430"/>
      <c r="M775" s="480"/>
      <c r="N775" s="430"/>
      <c r="O775" s="480"/>
      <c r="P775" s="430"/>
      <c r="Q775" s="480"/>
    </row>
    <row r="776" ht="15.75" customHeight="1">
      <c r="A776" s="430"/>
      <c r="B776" s="480"/>
      <c r="C776" s="480"/>
      <c r="D776" s="430"/>
      <c r="E776" s="480"/>
      <c r="F776" s="480"/>
      <c r="G776" s="430"/>
      <c r="H776" s="480"/>
      <c r="I776" s="480"/>
      <c r="J776" s="430"/>
      <c r="K776" s="480"/>
      <c r="L776" s="430"/>
      <c r="M776" s="480"/>
      <c r="N776" s="430"/>
      <c r="O776" s="480"/>
      <c r="P776" s="430"/>
      <c r="Q776" s="480"/>
    </row>
    <row r="777" ht="15.75" customHeight="1">
      <c r="A777" s="430"/>
      <c r="B777" s="480"/>
      <c r="C777" s="480"/>
      <c r="D777" s="430"/>
      <c r="E777" s="480"/>
      <c r="F777" s="480"/>
      <c r="G777" s="430"/>
      <c r="H777" s="480"/>
      <c r="I777" s="480"/>
      <c r="J777" s="430"/>
      <c r="K777" s="480"/>
      <c r="L777" s="430"/>
      <c r="M777" s="480"/>
      <c r="N777" s="430"/>
      <c r="O777" s="480"/>
      <c r="P777" s="430"/>
      <c r="Q777" s="480"/>
    </row>
    <row r="778" ht="15.75" customHeight="1">
      <c r="A778" s="430"/>
      <c r="B778" s="480"/>
      <c r="C778" s="480"/>
      <c r="D778" s="430"/>
      <c r="E778" s="480"/>
      <c r="F778" s="480"/>
      <c r="G778" s="430"/>
      <c r="H778" s="480"/>
      <c r="I778" s="480"/>
      <c r="J778" s="430"/>
      <c r="K778" s="480"/>
      <c r="L778" s="430"/>
      <c r="M778" s="480"/>
      <c r="N778" s="430"/>
      <c r="O778" s="480"/>
      <c r="P778" s="430"/>
      <c r="Q778" s="480"/>
    </row>
    <row r="779" ht="15.75" customHeight="1">
      <c r="A779" s="430"/>
      <c r="B779" s="480"/>
      <c r="C779" s="480"/>
      <c r="D779" s="430"/>
      <c r="E779" s="480"/>
      <c r="F779" s="480"/>
      <c r="G779" s="430"/>
      <c r="H779" s="480"/>
      <c r="I779" s="480"/>
      <c r="J779" s="430"/>
      <c r="K779" s="480"/>
      <c r="L779" s="430"/>
      <c r="M779" s="480"/>
      <c r="N779" s="430"/>
      <c r="O779" s="480"/>
      <c r="P779" s="430"/>
      <c r="Q779" s="480"/>
    </row>
    <row r="780" ht="15.75" customHeight="1">
      <c r="A780" s="430"/>
      <c r="B780" s="480"/>
      <c r="C780" s="480"/>
      <c r="D780" s="430"/>
      <c r="E780" s="480"/>
      <c r="F780" s="480"/>
      <c r="G780" s="430"/>
      <c r="H780" s="480"/>
      <c r="I780" s="480"/>
      <c r="J780" s="430"/>
      <c r="K780" s="480"/>
      <c r="L780" s="430"/>
      <c r="M780" s="480"/>
      <c r="N780" s="430"/>
      <c r="O780" s="480"/>
      <c r="P780" s="430"/>
      <c r="Q780" s="480"/>
    </row>
    <row r="781" ht="15.75" customHeight="1">
      <c r="A781" s="430"/>
      <c r="B781" s="480"/>
      <c r="C781" s="480"/>
      <c r="D781" s="430"/>
      <c r="E781" s="480"/>
      <c r="F781" s="480"/>
      <c r="G781" s="430"/>
      <c r="H781" s="480"/>
      <c r="I781" s="480"/>
      <c r="J781" s="430"/>
      <c r="K781" s="480"/>
      <c r="L781" s="430"/>
      <c r="M781" s="480"/>
      <c r="N781" s="430"/>
      <c r="O781" s="480"/>
      <c r="P781" s="430"/>
      <c r="Q781" s="480"/>
    </row>
    <row r="782" ht="15.75" customHeight="1">
      <c r="A782" s="430"/>
      <c r="B782" s="480"/>
      <c r="C782" s="480"/>
      <c r="D782" s="430"/>
      <c r="E782" s="480"/>
      <c r="F782" s="480"/>
      <c r="G782" s="430"/>
      <c r="H782" s="480"/>
      <c r="I782" s="480"/>
      <c r="J782" s="430"/>
      <c r="K782" s="480"/>
      <c r="L782" s="430"/>
      <c r="M782" s="480"/>
      <c r="N782" s="430"/>
      <c r="O782" s="480"/>
      <c r="P782" s="430"/>
      <c r="Q782" s="480"/>
    </row>
    <row r="783" ht="15.75" customHeight="1">
      <c r="A783" s="430"/>
      <c r="B783" s="480"/>
      <c r="C783" s="480"/>
      <c r="D783" s="430"/>
      <c r="E783" s="480"/>
      <c r="F783" s="480"/>
      <c r="G783" s="430"/>
      <c r="H783" s="480"/>
      <c r="I783" s="480"/>
      <c r="J783" s="430"/>
      <c r="K783" s="480"/>
      <c r="L783" s="430"/>
      <c r="M783" s="480"/>
      <c r="N783" s="430"/>
      <c r="O783" s="480"/>
      <c r="P783" s="430"/>
      <c r="Q783" s="480"/>
    </row>
    <row r="784" ht="15.75" customHeight="1">
      <c r="A784" s="430"/>
      <c r="B784" s="480"/>
      <c r="C784" s="480"/>
      <c r="D784" s="430"/>
      <c r="E784" s="480"/>
      <c r="F784" s="480"/>
      <c r="G784" s="430"/>
      <c r="H784" s="480"/>
      <c r="I784" s="480"/>
      <c r="J784" s="430"/>
      <c r="K784" s="480"/>
      <c r="L784" s="430"/>
      <c r="M784" s="480"/>
      <c r="N784" s="430"/>
      <c r="O784" s="480"/>
      <c r="P784" s="430"/>
      <c r="Q784" s="480"/>
    </row>
    <row r="785" ht="15.75" customHeight="1">
      <c r="A785" s="430"/>
      <c r="B785" s="480"/>
      <c r="C785" s="480"/>
      <c r="D785" s="430"/>
      <c r="E785" s="480"/>
      <c r="F785" s="480"/>
      <c r="G785" s="430"/>
      <c r="H785" s="480"/>
      <c r="I785" s="480"/>
      <c r="J785" s="430"/>
      <c r="K785" s="480"/>
      <c r="L785" s="430"/>
      <c r="M785" s="480"/>
      <c r="N785" s="430"/>
      <c r="O785" s="480"/>
      <c r="P785" s="430"/>
      <c r="Q785" s="480"/>
    </row>
    <row r="786" ht="15.75" customHeight="1">
      <c r="A786" s="430"/>
      <c r="B786" s="480"/>
      <c r="C786" s="480"/>
      <c r="D786" s="430"/>
      <c r="E786" s="480"/>
      <c r="F786" s="480"/>
      <c r="G786" s="430"/>
      <c r="H786" s="480"/>
      <c r="I786" s="480"/>
      <c r="J786" s="430"/>
      <c r="K786" s="480"/>
      <c r="L786" s="430"/>
      <c r="M786" s="480"/>
      <c r="N786" s="430"/>
      <c r="O786" s="480"/>
      <c r="P786" s="430"/>
      <c r="Q786" s="480"/>
    </row>
    <row r="787" ht="15.75" customHeight="1">
      <c r="A787" s="430"/>
      <c r="B787" s="480"/>
      <c r="C787" s="480"/>
      <c r="D787" s="430"/>
      <c r="E787" s="480"/>
      <c r="F787" s="480"/>
      <c r="G787" s="430"/>
      <c r="H787" s="480"/>
      <c r="I787" s="480"/>
      <c r="J787" s="430"/>
      <c r="K787" s="480"/>
      <c r="L787" s="430"/>
      <c r="M787" s="480"/>
      <c r="N787" s="430"/>
      <c r="O787" s="480"/>
      <c r="P787" s="430"/>
      <c r="Q787" s="480"/>
    </row>
    <row r="788" ht="15.75" customHeight="1">
      <c r="A788" s="430"/>
      <c r="B788" s="480"/>
      <c r="C788" s="480"/>
      <c r="D788" s="430"/>
      <c r="E788" s="480"/>
      <c r="F788" s="480"/>
      <c r="G788" s="430"/>
      <c r="H788" s="480"/>
      <c r="I788" s="480"/>
      <c r="J788" s="430"/>
      <c r="K788" s="480"/>
      <c r="L788" s="430"/>
      <c r="M788" s="480"/>
      <c r="N788" s="430"/>
      <c r="O788" s="480"/>
      <c r="P788" s="430"/>
      <c r="Q788" s="480"/>
    </row>
    <row r="789" ht="15.75" customHeight="1">
      <c r="A789" s="430"/>
      <c r="B789" s="480"/>
      <c r="C789" s="480"/>
      <c r="D789" s="430"/>
      <c r="E789" s="480"/>
      <c r="F789" s="480"/>
      <c r="G789" s="430"/>
      <c r="H789" s="480"/>
      <c r="I789" s="480"/>
      <c r="J789" s="430"/>
      <c r="K789" s="480"/>
      <c r="L789" s="430"/>
      <c r="M789" s="480"/>
      <c r="N789" s="430"/>
      <c r="O789" s="480"/>
      <c r="P789" s="430"/>
      <c r="Q789" s="480"/>
    </row>
    <row r="790" ht="15.75" customHeight="1">
      <c r="A790" s="430"/>
      <c r="B790" s="480"/>
      <c r="C790" s="480"/>
      <c r="D790" s="430"/>
      <c r="E790" s="480"/>
      <c r="F790" s="480"/>
      <c r="G790" s="430"/>
      <c r="H790" s="480"/>
      <c r="I790" s="480"/>
      <c r="J790" s="430"/>
      <c r="K790" s="480"/>
      <c r="L790" s="430"/>
      <c r="M790" s="480"/>
      <c r="N790" s="430"/>
      <c r="O790" s="480"/>
      <c r="P790" s="430"/>
      <c r="Q790" s="480"/>
    </row>
    <row r="791" ht="15.75" customHeight="1">
      <c r="A791" s="430"/>
      <c r="B791" s="480"/>
      <c r="C791" s="480"/>
      <c r="D791" s="430"/>
      <c r="E791" s="480"/>
      <c r="F791" s="480"/>
      <c r="G791" s="430"/>
      <c r="H791" s="480"/>
      <c r="I791" s="480"/>
      <c r="J791" s="430"/>
      <c r="K791" s="480"/>
      <c r="L791" s="430"/>
      <c r="M791" s="480"/>
      <c r="N791" s="430"/>
      <c r="O791" s="480"/>
      <c r="P791" s="430"/>
      <c r="Q791" s="480"/>
    </row>
    <row r="792" ht="15.75" customHeight="1">
      <c r="A792" s="430"/>
      <c r="B792" s="480"/>
      <c r="C792" s="480"/>
      <c r="D792" s="430"/>
      <c r="E792" s="480"/>
      <c r="F792" s="480"/>
      <c r="G792" s="430"/>
      <c r="H792" s="480"/>
      <c r="I792" s="480"/>
      <c r="J792" s="430"/>
      <c r="K792" s="480"/>
      <c r="L792" s="430"/>
      <c r="M792" s="480"/>
      <c r="N792" s="430"/>
      <c r="O792" s="480"/>
      <c r="P792" s="430"/>
      <c r="Q792" s="480"/>
    </row>
    <row r="793" ht="15.75" customHeight="1">
      <c r="A793" s="430"/>
      <c r="B793" s="480"/>
      <c r="C793" s="480"/>
      <c r="D793" s="430"/>
      <c r="E793" s="480"/>
      <c r="F793" s="480"/>
      <c r="G793" s="430"/>
      <c r="H793" s="480"/>
      <c r="I793" s="480"/>
      <c r="J793" s="430"/>
      <c r="K793" s="480"/>
      <c r="L793" s="430"/>
      <c r="M793" s="480"/>
      <c r="N793" s="430"/>
      <c r="O793" s="480"/>
      <c r="P793" s="430"/>
      <c r="Q793" s="480"/>
    </row>
    <row r="794" ht="15.75" customHeight="1">
      <c r="A794" s="430"/>
      <c r="B794" s="480"/>
      <c r="C794" s="480"/>
      <c r="D794" s="430"/>
      <c r="E794" s="480"/>
      <c r="F794" s="480"/>
      <c r="G794" s="430"/>
      <c r="H794" s="480"/>
      <c r="I794" s="480"/>
      <c r="J794" s="430"/>
      <c r="K794" s="480"/>
      <c r="L794" s="430"/>
      <c r="M794" s="480"/>
      <c r="N794" s="430"/>
      <c r="O794" s="480"/>
      <c r="P794" s="430"/>
      <c r="Q794" s="480"/>
    </row>
    <row r="795" ht="15.75" customHeight="1">
      <c r="A795" s="430"/>
      <c r="B795" s="480"/>
      <c r="C795" s="480"/>
      <c r="D795" s="430"/>
      <c r="E795" s="480"/>
      <c r="F795" s="480"/>
      <c r="G795" s="430"/>
      <c r="H795" s="480"/>
      <c r="I795" s="480"/>
      <c r="J795" s="430"/>
      <c r="K795" s="480"/>
      <c r="L795" s="430"/>
      <c r="M795" s="480"/>
      <c r="N795" s="430"/>
      <c r="O795" s="480"/>
      <c r="P795" s="430"/>
      <c r="Q795" s="480"/>
    </row>
    <row r="796" ht="15.75" customHeight="1">
      <c r="A796" s="430"/>
      <c r="B796" s="480"/>
      <c r="C796" s="480"/>
      <c r="D796" s="430"/>
      <c r="E796" s="480"/>
      <c r="F796" s="480"/>
      <c r="G796" s="430"/>
      <c r="H796" s="480"/>
      <c r="I796" s="480"/>
      <c r="J796" s="430"/>
      <c r="K796" s="480"/>
      <c r="L796" s="430"/>
      <c r="M796" s="480"/>
      <c r="N796" s="430"/>
      <c r="O796" s="480"/>
      <c r="P796" s="430"/>
      <c r="Q796" s="480"/>
    </row>
    <row r="797" ht="15.75" customHeight="1">
      <c r="A797" s="430"/>
      <c r="B797" s="480"/>
      <c r="C797" s="480"/>
      <c r="D797" s="430"/>
      <c r="E797" s="480"/>
      <c r="F797" s="480"/>
      <c r="G797" s="430"/>
      <c r="H797" s="480"/>
      <c r="I797" s="480"/>
      <c r="J797" s="430"/>
      <c r="K797" s="480"/>
      <c r="L797" s="430"/>
      <c r="M797" s="480"/>
      <c r="N797" s="430"/>
      <c r="O797" s="480"/>
      <c r="P797" s="430"/>
      <c r="Q797" s="480"/>
    </row>
    <row r="798" ht="15.75" customHeight="1">
      <c r="A798" s="430"/>
      <c r="B798" s="480"/>
      <c r="C798" s="480"/>
      <c r="D798" s="430"/>
      <c r="E798" s="480"/>
      <c r="F798" s="480"/>
      <c r="G798" s="430"/>
      <c r="H798" s="480"/>
      <c r="I798" s="480"/>
      <c r="J798" s="430"/>
      <c r="K798" s="480"/>
      <c r="L798" s="430"/>
      <c r="M798" s="480"/>
      <c r="N798" s="430"/>
      <c r="O798" s="480"/>
      <c r="P798" s="430"/>
      <c r="Q798" s="480"/>
    </row>
    <row r="799" ht="15.75" customHeight="1">
      <c r="A799" s="430"/>
      <c r="B799" s="480"/>
      <c r="C799" s="480"/>
      <c r="D799" s="430"/>
      <c r="E799" s="480"/>
      <c r="F799" s="480"/>
      <c r="G799" s="430"/>
      <c r="H799" s="480"/>
      <c r="I799" s="480"/>
      <c r="J799" s="430"/>
      <c r="K799" s="480"/>
      <c r="L799" s="430"/>
      <c r="M799" s="480"/>
      <c r="N799" s="430"/>
      <c r="O799" s="480"/>
      <c r="P799" s="430"/>
      <c r="Q799" s="480"/>
    </row>
    <row r="800" ht="15.75" customHeight="1">
      <c r="A800" s="430"/>
      <c r="B800" s="480"/>
      <c r="C800" s="480"/>
      <c r="D800" s="430"/>
      <c r="E800" s="480"/>
      <c r="F800" s="480"/>
      <c r="G800" s="430"/>
      <c r="H800" s="480"/>
      <c r="I800" s="480"/>
      <c r="J800" s="430"/>
      <c r="K800" s="480"/>
      <c r="L800" s="430"/>
      <c r="M800" s="480"/>
      <c r="N800" s="430"/>
      <c r="O800" s="480"/>
      <c r="P800" s="430"/>
      <c r="Q800" s="480"/>
    </row>
    <row r="801" ht="15.75" customHeight="1">
      <c r="A801" s="430"/>
      <c r="B801" s="480"/>
      <c r="C801" s="480"/>
      <c r="D801" s="430"/>
      <c r="E801" s="480"/>
      <c r="F801" s="480"/>
      <c r="G801" s="430"/>
      <c r="H801" s="480"/>
      <c r="I801" s="480"/>
      <c r="J801" s="430"/>
      <c r="K801" s="480"/>
      <c r="L801" s="430"/>
      <c r="M801" s="480"/>
      <c r="N801" s="430"/>
      <c r="O801" s="480"/>
      <c r="P801" s="430"/>
      <c r="Q801" s="480"/>
    </row>
    <row r="802" ht="15.75" customHeight="1">
      <c r="A802" s="430"/>
      <c r="B802" s="480"/>
      <c r="C802" s="480"/>
      <c r="D802" s="430"/>
      <c r="E802" s="480"/>
      <c r="F802" s="480"/>
      <c r="G802" s="430"/>
      <c r="H802" s="480"/>
      <c r="I802" s="480"/>
      <c r="J802" s="430"/>
      <c r="K802" s="480"/>
      <c r="L802" s="430"/>
      <c r="M802" s="480"/>
      <c r="N802" s="430"/>
      <c r="O802" s="480"/>
      <c r="P802" s="430"/>
      <c r="Q802" s="480"/>
    </row>
    <row r="803" ht="15.75" customHeight="1">
      <c r="A803" s="430"/>
      <c r="B803" s="480"/>
      <c r="C803" s="480"/>
      <c r="D803" s="430"/>
      <c r="E803" s="480"/>
      <c r="F803" s="480"/>
      <c r="G803" s="430"/>
      <c r="H803" s="480"/>
      <c r="I803" s="480"/>
      <c r="J803" s="430"/>
      <c r="K803" s="480"/>
      <c r="L803" s="430"/>
      <c r="M803" s="480"/>
      <c r="N803" s="430"/>
      <c r="O803" s="480"/>
      <c r="P803" s="430"/>
      <c r="Q803" s="480"/>
    </row>
    <row r="804" ht="15.75" customHeight="1">
      <c r="A804" s="430"/>
      <c r="B804" s="480"/>
      <c r="C804" s="480"/>
      <c r="D804" s="430"/>
      <c r="E804" s="480"/>
      <c r="F804" s="480"/>
      <c r="G804" s="430"/>
      <c r="H804" s="480"/>
      <c r="I804" s="480"/>
      <c r="J804" s="430"/>
      <c r="K804" s="480"/>
      <c r="L804" s="430"/>
      <c r="M804" s="480"/>
      <c r="N804" s="430"/>
      <c r="O804" s="480"/>
      <c r="P804" s="430"/>
      <c r="Q804" s="480"/>
    </row>
    <row r="805" ht="15.75" customHeight="1">
      <c r="A805" s="430"/>
      <c r="B805" s="480"/>
      <c r="C805" s="480"/>
      <c r="D805" s="430"/>
      <c r="E805" s="480"/>
      <c r="F805" s="480"/>
      <c r="G805" s="430"/>
      <c r="H805" s="480"/>
      <c r="I805" s="480"/>
      <c r="J805" s="430"/>
      <c r="K805" s="480"/>
      <c r="L805" s="430"/>
      <c r="M805" s="480"/>
      <c r="N805" s="430"/>
      <c r="O805" s="480"/>
      <c r="P805" s="430"/>
      <c r="Q805" s="480"/>
    </row>
    <row r="806" ht="15.75" customHeight="1">
      <c r="A806" s="430"/>
      <c r="B806" s="480"/>
      <c r="C806" s="480"/>
      <c r="D806" s="430"/>
      <c r="E806" s="480"/>
      <c r="F806" s="480"/>
      <c r="G806" s="430"/>
      <c r="H806" s="480"/>
      <c r="I806" s="480"/>
      <c r="J806" s="430"/>
      <c r="K806" s="480"/>
      <c r="L806" s="430"/>
      <c r="M806" s="480"/>
      <c r="N806" s="430"/>
      <c r="O806" s="480"/>
      <c r="P806" s="430"/>
      <c r="Q806" s="480"/>
    </row>
    <row r="807" ht="15.75" customHeight="1">
      <c r="A807" s="430"/>
      <c r="B807" s="480"/>
      <c r="C807" s="480"/>
      <c r="D807" s="430"/>
      <c r="E807" s="480"/>
      <c r="F807" s="480"/>
      <c r="G807" s="430"/>
      <c r="H807" s="480"/>
      <c r="I807" s="480"/>
      <c r="J807" s="430"/>
      <c r="K807" s="480"/>
      <c r="L807" s="430"/>
      <c r="M807" s="480"/>
      <c r="N807" s="430"/>
      <c r="O807" s="480"/>
      <c r="P807" s="430"/>
      <c r="Q807" s="480"/>
    </row>
    <row r="808" ht="15.75" customHeight="1">
      <c r="A808" s="430"/>
      <c r="B808" s="480"/>
      <c r="C808" s="480"/>
      <c r="D808" s="430"/>
      <c r="E808" s="480"/>
      <c r="F808" s="480"/>
      <c r="G808" s="430"/>
      <c r="H808" s="480"/>
      <c r="I808" s="480"/>
      <c r="J808" s="430"/>
      <c r="K808" s="480"/>
      <c r="L808" s="430"/>
      <c r="M808" s="480"/>
      <c r="N808" s="430"/>
      <c r="O808" s="480"/>
      <c r="P808" s="430"/>
      <c r="Q808" s="480"/>
    </row>
    <row r="809" ht="15.75" customHeight="1">
      <c r="A809" s="430"/>
      <c r="B809" s="480"/>
      <c r="C809" s="480"/>
      <c r="D809" s="430"/>
      <c r="E809" s="480"/>
      <c r="F809" s="480"/>
      <c r="G809" s="430"/>
      <c r="H809" s="480"/>
      <c r="I809" s="480"/>
      <c r="J809" s="430"/>
      <c r="K809" s="480"/>
      <c r="L809" s="430"/>
      <c r="M809" s="480"/>
      <c r="N809" s="430"/>
      <c r="O809" s="480"/>
      <c r="P809" s="430"/>
      <c r="Q809" s="480"/>
    </row>
    <row r="810" ht="15.75" customHeight="1">
      <c r="A810" s="430"/>
      <c r="B810" s="480"/>
      <c r="C810" s="480"/>
      <c r="D810" s="430"/>
      <c r="E810" s="480"/>
      <c r="F810" s="480"/>
      <c r="G810" s="430"/>
      <c r="H810" s="480"/>
      <c r="I810" s="480"/>
      <c r="J810" s="430"/>
      <c r="K810" s="480"/>
      <c r="L810" s="430"/>
      <c r="M810" s="480"/>
      <c r="N810" s="430"/>
      <c r="O810" s="480"/>
      <c r="P810" s="430"/>
      <c r="Q810" s="480"/>
    </row>
    <row r="811" ht="15.75" customHeight="1">
      <c r="A811" s="430"/>
      <c r="B811" s="480"/>
      <c r="C811" s="480"/>
      <c r="D811" s="430"/>
      <c r="E811" s="480"/>
      <c r="F811" s="480"/>
      <c r="G811" s="430"/>
      <c r="H811" s="480"/>
      <c r="I811" s="480"/>
      <c r="J811" s="430"/>
      <c r="K811" s="480"/>
      <c r="L811" s="430"/>
      <c r="M811" s="480"/>
      <c r="N811" s="430"/>
      <c r="O811" s="480"/>
      <c r="P811" s="430"/>
      <c r="Q811" s="480"/>
    </row>
    <row r="812" ht="15.75" customHeight="1">
      <c r="A812" s="430"/>
      <c r="B812" s="480"/>
      <c r="C812" s="480"/>
      <c r="D812" s="430"/>
      <c r="E812" s="480"/>
      <c r="F812" s="480"/>
      <c r="G812" s="430"/>
      <c r="H812" s="480"/>
      <c r="I812" s="480"/>
      <c r="J812" s="430"/>
      <c r="K812" s="480"/>
      <c r="L812" s="430"/>
      <c r="M812" s="480"/>
      <c r="N812" s="430"/>
      <c r="O812" s="480"/>
      <c r="P812" s="430"/>
      <c r="Q812" s="480"/>
    </row>
    <row r="813" ht="15.75" customHeight="1">
      <c r="A813" s="430"/>
      <c r="B813" s="480"/>
      <c r="C813" s="480"/>
      <c r="D813" s="430"/>
      <c r="E813" s="480"/>
      <c r="F813" s="480"/>
      <c r="G813" s="430"/>
      <c r="H813" s="480"/>
      <c r="I813" s="480"/>
      <c r="J813" s="430"/>
      <c r="K813" s="480"/>
      <c r="L813" s="430"/>
      <c r="M813" s="480"/>
      <c r="N813" s="430"/>
      <c r="O813" s="480"/>
      <c r="P813" s="430"/>
      <c r="Q813" s="480"/>
    </row>
    <row r="814" ht="15.75" customHeight="1">
      <c r="A814" s="430"/>
      <c r="B814" s="480"/>
      <c r="C814" s="480"/>
      <c r="D814" s="430"/>
      <c r="E814" s="480"/>
      <c r="F814" s="480"/>
      <c r="G814" s="430"/>
      <c r="H814" s="480"/>
      <c r="I814" s="480"/>
      <c r="J814" s="430"/>
      <c r="K814" s="480"/>
      <c r="L814" s="430"/>
      <c r="M814" s="480"/>
      <c r="N814" s="430"/>
      <c r="O814" s="480"/>
      <c r="P814" s="430"/>
      <c r="Q814" s="480"/>
    </row>
    <row r="815" ht="15.75" customHeight="1">
      <c r="A815" s="430"/>
      <c r="B815" s="480"/>
      <c r="C815" s="480"/>
      <c r="D815" s="430"/>
      <c r="E815" s="480"/>
      <c r="F815" s="480"/>
      <c r="G815" s="430"/>
      <c r="H815" s="480"/>
      <c r="I815" s="480"/>
      <c r="J815" s="430"/>
      <c r="K815" s="480"/>
      <c r="L815" s="430"/>
      <c r="M815" s="480"/>
      <c r="N815" s="430"/>
      <c r="O815" s="480"/>
      <c r="P815" s="430"/>
      <c r="Q815" s="480"/>
    </row>
    <row r="816" ht="15.75" customHeight="1">
      <c r="A816" s="430"/>
      <c r="B816" s="480"/>
      <c r="C816" s="480"/>
      <c r="D816" s="430"/>
      <c r="E816" s="480"/>
      <c r="F816" s="480"/>
      <c r="G816" s="430"/>
      <c r="H816" s="480"/>
      <c r="I816" s="480"/>
      <c r="J816" s="430"/>
      <c r="K816" s="480"/>
      <c r="L816" s="430"/>
      <c r="M816" s="480"/>
      <c r="N816" s="430"/>
      <c r="O816" s="480"/>
      <c r="P816" s="430"/>
      <c r="Q816" s="480"/>
    </row>
    <row r="817" ht="15.75" customHeight="1">
      <c r="A817" s="430"/>
      <c r="B817" s="480"/>
      <c r="C817" s="480"/>
      <c r="D817" s="430"/>
      <c r="E817" s="480"/>
      <c r="F817" s="480"/>
      <c r="G817" s="430"/>
      <c r="H817" s="480"/>
      <c r="I817" s="480"/>
      <c r="J817" s="430"/>
      <c r="K817" s="480"/>
      <c r="L817" s="430"/>
      <c r="M817" s="480"/>
      <c r="N817" s="430"/>
      <c r="O817" s="480"/>
      <c r="P817" s="430"/>
      <c r="Q817" s="480"/>
    </row>
    <row r="818" ht="15.75" customHeight="1">
      <c r="A818" s="430"/>
      <c r="B818" s="480"/>
      <c r="C818" s="480"/>
      <c r="D818" s="430"/>
      <c r="E818" s="480"/>
      <c r="F818" s="480"/>
      <c r="G818" s="430"/>
      <c r="H818" s="480"/>
      <c r="I818" s="480"/>
      <c r="J818" s="430"/>
      <c r="K818" s="480"/>
      <c r="L818" s="430"/>
      <c r="M818" s="480"/>
      <c r="N818" s="430"/>
      <c r="O818" s="480"/>
      <c r="P818" s="430"/>
      <c r="Q818" s="480"/>
    </row>
    <row r="819" ht="15.75" customHeight="1">
      <c r="A819" s="430"/>
      <c r="B819" s="480"/>
      <c r="C819" s="480"/>
      <c r="D819" s="430"/>
      <c r="E819" s="480"/>
      <c r="F819" s="480"/>
      <c r="G819" s="430"/>
      <c r="H819" s="480"/>
      <c r="I819" s="480"/>
      <c r="J819" s="430"/>
      <c r="K819" s="480"/>
      <c r="L819" s="430"/>
      <c r="M819" s="480"/>
      <c r="N819" s="430"/>
      <c r="O819" s="480"/>
      <c r="P819" s="430"/>
      <c r="Q819" s="480"/>
    </row>
    <row r="820" ht="15.75" customHeight="1">
      <c r="A820" s="430"/>
      <c r="B820" s="480"/>
      <c r="C820" s="480"/>
      <c r="D820" s="430"/>
      <c r="E820" s="480"/>
      <c r="F820" s="480"/>
      <c r="G820" s="430"/>
      <c r="H820" s="480"/>
      <c r="I820" s="480"/>
      <c r="J820" s="430"/>
      <c r="K820" s="480"/>
      <c r="L820" s="430"/>
      <c r="M820" s="480"/>
      <c r="N820" s="430"/>
      <c r="O820" s="480"/>
      <c r="P820" s="430"/>
      <c r="Q820" s="480"/>
    </row>
    <row r="821" ht="15.75" customHeight="1">
      <c r="A821" s="430"/>
      <c r="B821" s="480"/>
      <c r="C821" s="480"/>
      <c r="D821" s="430"/>
      <c r="E821" s="480"/>
      <c r="F821" s="480"/>
      <c r="G821" s="430"/>
      <c r="H821" s="480"/>
      <c r="I821" s="480"/>
      <c r="J821" s="430"/>
      <c r="K821" s="480"/>
      <c r="L821" s="430"/>
      <c r="M821" s="480"/>
      <c r="N821" s="430"/>
      <c r="O821" s="480"/>
      <c r="P821" s="430"/>
      <c r="Q821" s="480"/>
    </row>
    <row r="822" ht="15.75" customHeight="1">
      <c r="A822" s="430"/>
      <c r="B822" s="480"/>
      <c r="C822" s="480"/>
      <c r="D822" s="430"/>
      <c r="E822" s="480"/>
      <c r="F822" s="480"/>
      <c r="G822" s="430"/>
      <c r="H822" s="480"/>
      <c r="I822" s="480"/>
      <c r="J822" s="430"/>
      <c r="K822" s="480"/>
      <c r="L822" s="430"/>
      <c r="M822" s="480"/>
      <c r="N822" s="430"/>
      <c r="O822" s="480"/>
      <c r="P822" s="430"/>
      <c r="Q822" s="480"/>
    </row>
    <row r="823" ht="15.75" customHeight="1">
      <c r="A823" s="430"/>
      <c r="B823" s="480"/>
      <c r="C823" s="480"/>
      <c r="D823" s="430"/>
      <c r="E823" s="480"/>
      <c r="F823" s="480"/>
      <c r="G823" s="430"/>
      <c r="H823" s="480"/>
      <c r="I823" s="480"/>
      <c r="J823" s="430"/>
      <c r="K823" s="480"/>
      <c r="L823" s="430"/>
      <c r="M823" s="480"/>
      <c r="N823" s="430"/>
      <c r="O823" s="480"/>
      <c r="P823" s="430"/>
      <c r="Q823" s="480"/>
    </row>
    <row r="824" ht="15.75" customHeight="1">
      <c r="A824" s="430"/>
      <c r="B824" s="480"/>
      <c r="C824" s="480"/>
      <c r="D824" s="430"/>
      <c r="E824" s="480"/>
      <c r="F824" s="480"/>
      <c r="G824" s="430"/>
      <c r="H824" s="480"/>
      <c r="I824" s="480"/>
      <c r="J824" s="430"/>
      <c r="K824" s="480"/>
      <c r="L824" s="430"/>
      <c r="M824" s="480"/>
      <c r="N824" s="430"/>
      <c r="O824" s="480"/>
      <c r="P824" s="430"/>
      <c r="Q824" s="480"/>
    </row>
    <row r="825" ht="15.75" customHeight="1">
      <c r="A825" s="430"/>
      <c r="B825" s="480"/>
      <c r="C825" s="480"/>
      <c r="D825" s="430"/>
      <c r="E825" s="480"/>
      <c r="F825" s="480"/>
      <c r="G825" s="430"/>
      <c r="H825" s="480"/>
      <c r="I825" s="480"/>
      <c r="J825" s="430"/>
      <c r="K825" s="480"/>
      <c r="L825" s="430"/>
      <c r="M825" s="480"/>
      <c r="N825" s="430"/>
      <c r="O825" s="480"/>
      <c r="P825" s="430"/>
      <c r="Q825" s="480"/>
    </row>
    <row r="826" ht="15.75" customHeight="1">
      <c r="A826" s="430"/>
      <c r="B826" s="480"/>
      <c r="C826" s="480"/>
      <c r="D826" s="430"/>
      <c r="E826" s="480"/>
      <c r="F826" s="480"/>
      <c r="G826" s="430"/>
      <c r="H826" s="480"/>
      <c r="I826" s="480"/>
      <c r="J826" s="430"/>
      <c r="K826" s="480"/>
      <c r="L826" s="430"/>
      <c r="M826" s="480"/>
      <c r="N826" s="430"/>
      <c r="O826" s="480"/>
      <c r="P826" s="430"/>
      <c r="Q826" s="480"/>
    </row>
    <row r="827" ht="15.75" customHeight="1">
      <c r="A827" s="430"/>
      <c r="B827" s="480"/>
      <c r="C827" s="480"/>
      <c r="D827" s="430"/>
      <c r="E827" s="480"/>
      <c r="F827" s="480"/>
      <c r="G827" s="430"/>
      <c r="H827" s="480"/>
      <c r="I827" s="480"/>
      <c r="J827" s="430"/>
      <c r="K827" s="480"/>
      <c r="L827" s="430"/>
      <c r="M827" s="480"/>
      <c r="N827" s="430"/>
      <c r="O827" s="480"/>
      <c r="P827" s="430"/>
      <c r="Q827" s="480"/>
    </row>
    <row r="828" ht="15.75" customHeight="1">
      <c r="A828" s="430"/>
      <c r="B828" s="480"/>
      <c r="C828" s="480"/>
      <c r="D828" s="430"/>
      <c r="E828" s="480"/>
      <c r="F828" s="480"/>
      <c r="G828" s="430"/>
      <c r="H828" s="480"/>
      <c r="I828" s="480"/>
      <c r="J828" s="430"/>
      <c r="K828" s="480"/>
      <c r="L828" s="430"/>
      <c r="M828" s="480"/>
      <c r="N828" s="430"/>
      <c r="O828" s="480"/>
      <c r="P828" s="430"/>
      <c r="Q828" s="480"/>
    </row>
    <row r="829" ht="15.75" customHeight="1">
      <c r="A829" s="430"/>
      <c r="B829" s="480"/>
      <c r="C829" s="480"/>
      <c r="D829" s="430"/>
      <c r="E829" s="480"/>
      <c r="F829" s="480"/>
      <c r="G829" s="430"/>
      <c r="H829" s="480"/>
      <c r="I829" s="480"/>
      <c r="J829" s="430"/>
      <c r="K829" s="480"/>
      <c r="L829" s="430"/>
      <c r="M829" s="480"/>
      <c r="N829" s="430"/>
      <c r="O829" s="480"/>
      <c r="P829" s="430"/>
      <c r="Q829" s="480"/>
    </row>
    <row r="830" ht="15.75" customHeight="1">
      <c r="A830" s="430"/>
      <c r="B830" s="480"/>
      <c r="C830" s="480"/>
      <c r="D830" s="430"/>
      <c r="E830" s="480"/>
      <c r="F830" s="480"/>
      <c r="G830" s="430"/>
      <c r="H830" s="480"/>
      <c r="I830" s="480"/>
      <c r="J830" s="430"/>
      <c r="K830" s="480"/>
      <c r="L830" s="430"/>
      <c r="M830" s="480"/>
      <c r="N830" s="430"/>
      <c r="O830" s="480"/>
      <c r="P830" s="430"/>
      <c r="Q830" s="480"/>
    </row>
    <row r="831" ht="15.75" customHeight="1">
      <c r="A831" s="430"/>
      <c r="B831" s="480"/>
      <c r="C831" s="480"/>
      <c r="D831" s="430"/>
      <c r="E831" s="480"/>
      <c r="F831" s="480"/>
      <c r="G831" s="430"/>
      <c r="H831" s="480"/>
      <c r="I831" s="480"/>
      <c r="J831" s="430"/>
      <c r="K831" s="480"/>
      <c r="L831" s="430"/>
      <c r="M831" s="480"/>
      <c r="N831" s="430"/>
      <c r="O831" s="480"/>
      <c r="P831" s="430"/>
      <c r="Q831" s="480"/>
    </row>
    <row r="832" ht="15.75" customHeight="1">
      <c r="A832" s="430"/>
      <c r="B832" s="480"/>
      <c r="C832" s="480"/>
      <c r="D832" s="430"/>
      <c r="E832" s="480"/>
      <c r="F832" s="480"/>
      <c r="G832" s="430"/>
      <c r="H832" s="480"/>
      <c r="I832" s="480"/>
      <c r="J832" s="430"/>
      <c r="K832" s="480"/>
      <c r="L832" s="430"/>
      <c r="M832" s="480"/>
      <c r="N832" s="430"/>
      <c r="O832" s="480"/>
      <c r="P832" s="430"/>
      <c r="Q832" s="480"/>
    </row>
    <row r="833" ht="15.75" customHeight="1">
      <c r="A833" s="430"/>
      <c r="B833" s="480"/>
      <c r="C833" s="480"/>
      <c r="D833" s="430"/>
      <c r="E833" s="480"/>
      <c r="F833" s="480"/>
      <c r="G833" s="430"/>
      <c r="H833" s="480"/>
      <c r="I833" s="480"/>
      <c r="J833" s="430"/>
      <c r="K833" s="480"/>
      <c r="L833" s="430"/>
      <c r="M833" s="480"/>
      <c r="N833" s="430"/>
      <c r="O833" s="480"/>
      <c r="P833" s="430"/>
      <c r="Q833" s="480"/>
    </row>
    <row r="834" ht="15.75" customHeight="1">
      <c r="A834" s="430"/>
      <c r="B834" s="480"/>
      <c r="C834" s="480"/>
      <c r="D834" s="430"/>
      <c r="E834" s="480"/>
      <c r="F834" s="480"/>
      <c r="G834" s="430"/>
      <c r="H834" s="480"/>
      <c r="I834" s="480"/>
      <c r="J834" s="430"/>
      <c r="K834" s="480"/>
      <c r="L834" s="430"/>
      <c r="M834" s="480"/>
      <c r="N834" s="430"/>
      <c r="O834" s="480"/>
      <c r="P834" s="430"/>
      <c r="Q834" s="480"/>
    </row>
    <row r="835" ht="15.75" customHeight="1">
      <c r="A835" s="430"/>
      <c r="B835" s="480"/>
      <c r="C835" s="480"/>
      <c r="D835" s="430"/>
      <c r="E835" s="480"/>
      <c r="F835" s="480"/>
      <c r="G835" s="430"/>
      <c r="H835" s="480"/>
      <c r="I835" s="480"/>
      <c r="J835" s="430"/>
      <c r="K835" s="480"/>
      <c r="L835" s="430"/>
      <c r="M835" s="480"/>
      <c r="N835" s="430"/>
      <c r="O835" s="480"/>
      <c r="P835" s="430"/>
      <c r="Q835" s="480"/>
    </row>
    <row r="836" ht="15.75" customHeight="1">
      <c r="A836" s="430"/>
      <c r="B836" s="480"/>
      <c r="C836" s="480"/>
      <c r="D836" s="430"/>
      <c r="E836" s="480"/>
      <c r="F836" s="480"/>
      <c r="G836" s="430"/>
      <c r="H836" s="480"/>
      <c r="I836" s="480"/>
      <c r="J836" s="430"/>
      <c r="K836" s="480"/>
      <c r="L836" s="430"/>
      <c r="M836" s="480"/>
      <c r="N836" s="430"/>
      <c r="O836" s="480"/>
      <c r="P836" s="430"/>
      <c r="Q836" s="480"/>
    </row>
    <row r="837" ht="15.75" customHeight="1">
      <c r="A837" s="430"/>
      <c r="B837" s="480"/>
      <c r="C837" s="480"/>
      <c r="D837" s="430"/>
      <c r="E837" s="480"/>
      <c r="F837" s="480"/>
      <c r="G837" s="430"/>
      <c r="H837" s="480"/>
      <c r="I837" s="480"/>
      <c r="J837" s="430"/>
      <c r="K837" s="480"/>
      <c r="L837" s="430"/>
      <c r="M837" s="480"/>
      <c r="N837" s="430"/>
      <c r="O837" s="480"/>
      <c r="P837" s="430"/>
      <c r="Q837" s="480"/>
    </row>
    <row r="838" ht="15.75" customHeight="1">
      <c r="A838" s="430"/>
      <c r="B838" s="480"/>
      <c r="C838" s="480"/>
      <c r="D838" s="430"/>
      <c r="E838" s="480"/>
      <c r="F838" s="480"/>
      <c r="G838" s="430"/>
      <c r="H838" s="480"/>
      <c r="I838" s="480"/>
      <c r="J838" s="430"/>
      <c r="K838" s="480"/>
      <c r="L838" s="430"/>
      <c r="M838" s="480"/>
      <c r="N838" s="430"/>
      <c r="O838" s="480"/>
      <c r="P838" s="430"/>
      <c r="Q838" s="480"/>
    </row>
    <row r="839" ht="15.75" customHeight="1">
      <c r="A839" s="430"/>
      <c r="B839" s="480"/>
      <c r="C839" s="480"/>
      <c r="D839" s="430"/>
      <c r="E839" s="480"/>
      <c r="F839" s="480"/>
      <c r="G839" s="430"/>
      <c r="H839" s="480"/>
      <c r="I839" s="480"/>
      <c r="J839" s="430"/>
      <c r="K839" s="480"/>
      <c r="L839" s="430"/>
      <c r="M839" s="480"/>
      <c r="N839" s="430"/>
      <c r="O839" s="480"/>
      <c r="P839" s="430"/>
      <c r="Q839" s="480"/>
    </row>
    <row r="840" ht="15.75" customHeight="1">
      <c r="A840" s="430"/>
      <c r="B840" s="480"/>
      <c r="C840" s="480"/>
      <c r="D840" s="430"/>
      <c r="E840" s="480"/>
      <c r="F840" s="480"/>
      <c r="G840" s="430"/>
      <c r="H840" s="480"/>
      <c r="I840" s="480"/>
      <c r="J840" s="430"/>
      <c r="K840" s="480"/>
      <c r="L840" s="430"/>
      <c r="M840" s="480"/>
      <c r="N840" s="430"/>
      <c r="O840" s="480"/>
      <c r="P840" s="430"/>
      <c r="Q840" s="480"/>
    </row>
    <row r="841" ht="15.75" customHeight="1">
      <c r="A841" s="430"/>
      <c r="B841" s="480"/>
      <c r="C841" s="480"/>
      <c r="D841" s="430"/>
      <c r="E841" s="480"/>
      <c r="F841" s="480"/>
      <c r="G841" s="430"/>
      <c r="H841" s="480"/>
      <c r="I841" s="480"/>
      <c r="J841" s="430"/>
      <c r="K841" s="480"/>
      <c r="L841" s="430"/>
      <c r="M841" s="480"/>
      <c r="N841" s="430"/>
      <c r="O841" s="480"/>
      <c r="P841" s="430"/>
      <c r="Q841" s="480"/>
    </row>
    <row r="842" ht="15.75" customHeight="1">
      <c r="A842" s="430"/>
      <c r="B842" s="480"/>
      <c r="C842" s="480"/>
      <c r="D842" s="430"/>
      <c r="E842" s="480"/>
      <c r="F842" s="480"/>
      <c r="G842" s="430"/>
      <c r="H842" s="480"/>
      <c r="I842" s="480"/>
      <c r="J842" s="430"/>
      <c r="K842" s="480"/>
      <c r="L842" s="430"/>
      <c r="M842" s="480"/>
      <c r="N842" s="430"/>
      <c r="O842" s="480"/>
      <c r="P842" s="430"/>
      <c r="Q842" s="480"/>
    </row>
    <row r="843" ht="15.75" customHeight="1">
      <c r="A843" s="430"/>
      <c r="B843" s="480"/>
      <c r="C843" s="480"/>
      <c r="D843" s="430"/>
      <c r="E843" s="480"/>
      <c r="F843" s="480"/>
      <c r="G843" s="430"/>
      <c r="H843" s="480"/>
      <c r="I843" s="480"/>
      <c r="J843" s="430"/>
      <c r="K843" s="480"/>
      <c r="L843" s="430"/>
      <c r="M843" s="480"/>
      <c r="N843" s="430"/>
      <c r="O843" s="480"/>
      <c r="P843" s="430"/>
      <c r="Q843" s="480"/>
    </row>
    <row r="844" ht="15.75" customHeight="1">
      <c r="A844" s="430"/>
      <c r="B844" s="480"/>
      <c r="C844" s="480"/>
      <c r="D844" s="430"/>
      <c r="E844" s="480"/>
      <c r="F844" s="480"/>
      <c r="G844" s="430"/>
      <c r="H844" s="480"/>
      <c r="I844" s="480"/>
      <c r="J844" s="430"/>
      <c r="K844" s="480"/>
      <c r="L844" s="430"/>
      <c r="M844" s="480"/>
      <c r="N844" s="430"/>
      <c r="O844" s="480"/>
      <c r="P844" s="430"/>
      <c r="Q844" s="480"/>
    </row>
    <row r="845" ht="15.75" customHeight="1">
      <c r="A845" s="430"/>
      <c r="B845" s="480"/>
      <c r="C845" s="480"/>
      <c r="D845" s="430"/>
      <c r="E845" s="480"/>
      <c r="F845" s="480"/>
      <c r="G845" s="430"/>
      <c r="H845" s="480"/>
      <c r="I845" s="480"/>
      <c r="J845" s="430"/>
      <c r="K845" s="480"/>
      <c r="L845" s="430"/>
      <c r="M845" s="480"/>
      <c r="N845" s="430"/>
      <c r="O845" s="480"/>
      <c r="P845" s="430"/>
      <c r="Q845" s="480"/>
    </row>
    <row r="846" ht="15.75" customHeight="1">
      <c r="A846" s="430"/>
      <c r="B846" s="480"/>
      <c r="C846" s="480"/>
      <c r="D846" s="430"/>
      <c r="E846" s="480"/>
      <c r="F846" s="480"/>
      <c r="G846" s="430"/>
      <c r="H846" s="480"/>
      <c r="I846" s="480"/>
      <c r="J846" s="430"/>
      <c r="K846" s="480"/>
      <c r="L846" s="430"/>
      <c r="M846" s="480"/>
      <c r="N846" s="430"/>
      <c r="O846" s="480"/>
      <c r="P846" s="430"/>
      <c r="Q846" s="480"/>
    </row>
    <row r="847" ht="15.75" customHeight="1">
      <c r="A847" s="430"/>
      <c r="B847" s="480"/>
      <c r="C847" s="480"/>
      <c r="D847" s="430"/>
      <c r="E847" s="480"/>
      <c r="F847" s="480"/>
      <c r="G847" s="430"/>
      <c r="H847" s="480"/>
      <c r="I847" s="480"/>
      <c r="J847" s="430"/>
      <c r="K847" s="480"/>
      <c r="L847" s="430"/>
      <c r="M847" s="480"/>
      <c r="N847" s="430"/>
      <c r="O847" s="480"/>
      <c r="P847" s="430"/>
      <c r="Q847" s="480"/>
    </row>
    <row r="848" ht="15.75" customHeight="1">
      <c r="A848" s="430"/>
      <c r="B848" s="480"/>
      <c r="C848" s="480"/>
      <c r="D848" s="430"/>
      <c r="E848" s="480"/>
      <c r="F848" s="480"/>
      <c r="G848" s="430"/>
      <c r="H848" s="480"/>
      <c r="I848" s="480"/>
      <c r="J848" s="430"/>
      <c r="K848" s="480"/>
      <c r="L848" s="430"/>
      <c r="M848" s="480"/>
      <c r="N848" s="430"/>
      <c r="O848" s="480"/>
      <c r="P848" s="430"/>
      <c r="Q848" s="480"/>
    </row>
    <row r="849" ht="15.75" customHeight="1">
      <c r="A849" s="430"/>
      <c r="B849" s="480"/>
      <c r="C849" s="480"/>
      <c r="D849" s="430"/>
      <c r="E849" s="480"/>
      <c r="F849" s="480"/>
      <c r="G849" s="430"/>
      <c r="H849" s="480"/>
      <c r="I849" s="480"/>
      <c r="J849" s="430"/>
      <c r="K849" s="480"/>
      <c r="L849" s="430"/>
      <c r="M849" s="480"/>
      <c r="N849" s="430"/>
      <c r="O849" s="480"/>
      <c r="P849" s="430"/>
      <c r="Q849" s="480"/>
    </row>
    <row r="850" ht="15.75" customHeight="1">
      <c r="A850" s="430"/>
      <c r="B850" s="480"/>
      <c r="C850" s="480"/>
      <c r="D850" s="430"/>
      <c r="E850" s="480"/>
      <c r="F850" s="480"/>
      <c r="G850" s="430"/>
      <c r="H850" s="480"/>
      <c r="I850" s="480"/>
      <c r="J850" s="430"/>
      <c r="K850" s="480"/>
      <c r="L850" s="430"/>
      <c r="M850" s="480"/>
      <c r="N850" s="430"/>
      <c r="O850" s="480"/>
      <c r="P850" s="430"/>
      <c r="Q850" s="480"/>
    </row>
    <row r="851" ht="15.75" customHeight="1">
      <c r="A851" s="430"/>
      <c r="B851" s="480"/>
      <c r="C851" s="480"/>
      <c r="D851" s="430"/>
      <c r="E851" s="480"/>
      <c r="F851" s="480"/>
      <c r="G851" s="430"/>
      <c r="H851" s="480"/>
      <c r="I851" s="480"/>
      <c r="J851" s="430"/>
      <c r="K851" s="480"/>
      <c r="L851" s="430"/>
      <c r="M851" s="480"/>
      <c r="N851" s="430"/>
      <c r="O851" s="480"/>
      <c r="P851" s="430"/>
      <c r="Q851" s="480"/>
    </row>
    <row r="852" ht="15.75" customHeight="1">
      <c r="A852" s="430"/>
      <c r="B852" s="480"/>
      <c r="C852" s="480"/>
      <c r="D852" s="430"/>
      <c r="E852" s="480"/>
      <c r="F852" s="480"/>
      <c r="G852" s="430"/>
      <c r="H852" s="480"/>
      <c r="I852" s="480"/>
      <c r="J852" s="430"/>
      <c r="K852" s="480"/>
      <c r="L852" s="430"/>
      <c r="M852" s="480"/>
      <c r="N852" s="430"/>
      <c r="O852" s="480"/>
      <c r="P852" s="430"/>
      <c r="Q852" s="480"/>
    </row>
    <row r="853" ht="15.75" customHeight="1">
      <c r="A853" s="430"/>
      <c r="B853" s="480"/>
      <c r="C853" s="480"/>
      <c r="D853" s="430"/>
      <c r="E853" s="480"/>
      <c r="F853" s="480"/>
      <c r="G853" s="430"/>
      <c r="H853" s="480"/>
      <c r="I853" s="480"/>
      <c r="J853" s="430"/>
      <c r="K853" s="480"/>
      <c r="L853" s="430"/>
      <c r="M853" s="480"/>
      <c r="N853" s="430"/>
      <c r="O853" s="480"/>
      <c r="P853" s="430"/>
      <c r="Q853" s="480"/>
    </row>
    <row r="854" ht="15.75" customHeight="1">
      <c r="A854" s="430"/>
      <c r="B854" s="480"/>
      <c r="C854" s="480"/>
      <c r="D854" s="430"/>
      <c r="E854" s="480"/>
      <c r="F854" s="480"/>
      <c r="G854" s="430"/>
      <c r="H854" s="480"/>
      <c r="I854" s="480"/>
      <c r="J854" s="430"/>
      <c r="K854" s="480"/>
      <c r="L854" s="430"/>
      <c r="M854" s="480"/>
      <c r="N854" s="430"/>
      <c r="O854" s="480"/>
      <c r="P854" s="430"/>
      <c r="Q854" s="480"/>
    </row>
    <row r="855" ht="15.75" customHeight="1">
      <c r="A855" s="430"/>
      <c r="B855" s="480"/>
      <c r="C855" s="480"/>
      <c r="D855" s="430"/>
      <c r="E855" s="480"/>
      <c r="F855" s="480"/>
      <c r="G855" s="430"/>
      <c r="H855" s="480"/>
      <c r="I855" s="480"/>
      <c r="J855" s="430"/>
      <c r="K855" s="480"/>
      <c r="L855" s="430"/>
      <c r="M855" s="480"/>
      <c r="N855" s="430"/>
      <c r="O855" s="480"/>
      <c r="P855" s="430"/>
      <c r="Q855" s="480"/>
    </row>
    <row r="856" ht="15.75" customHeight="1">
      <c r="A856" s="430"/>
      <c r="B856" s="480"/>
      <c r="C856" s="480"/>
      <c r="D856" s="430"/>
      <c r="E856" s="480"/>
      <c r="F856" s="480"/>
      <c r="G856" s="430"/>
      <c r="H856" s="480"/>
      <c r="I856" s="480"/>
      <c r="J856" s="430"/>
      <c r="K856" s="480"/>
      <c r="L856" s="430"/>
      <c r="M856" s="480"/>
      <c r="N856" s="430"/>
      <c r="O856" s="480"/>
      <c r="P856" s="430"/>
      <c r="Q856" s="480"/>
    </row>
    <row r="857" ht="15.75" customHeight="1">
      <c r="A857" s="430"/>
      <c r="B857" s="480"/>
      <c r="C857" s="480"/>
      <c r="D857" s="430"/>
      <c r="E857" s="480"/>
      <c r="F857" s="480"/>
      <c r="G857" s="430"/>
      <c r="H857" s="480"/>
      <c r="I857" s="480"/>
      <c r="J857" s="430"/>
      <c r="K857" s="480"/>
      <c r="L857" s="430"/>
      <c r="M857" s="480"/>
      <c r="N857" s="430"/>
      <c r="O857" s="480"/>
      <c r="P857" s="430"/>
      <c r="Q857" s="480"/>
    </row>
    <row r="858" ht="15.75" customHeight="1">
      <c r="A858" s="430"/>
      <c r="B858" s="480"/>
      <c r="C858" s="480"/>
      <c r="D858" s="430"/>
      <c r="E858" s="480"/>
      <c r="F858" s="480"/>
      <c r="G858" s="430"/>
      <c r="H858" s="480"/>
      <c r="I858" s="480"/>
      <c r="J858" s="430"/>
      <c r="K858" s="480"/>
      <c r="L858" s="430"/>
      <c r="M858" s="480"/>
      <c r="N858" s="430"/>
      <c r="O858" s="480"/>
      <c r="P858" s="430"/>
      <c r="Q858" s="480"/>
    </row>
    <row r="859" ht="15.75" customHeight="1">
      <c r="A859" s="430"/>
      <c r="B859" s="480"/>
      <c r="C859" s="480"/>
      <c r="D859" s="430"/>
      <c r="E859" s="480"/>
      <c r="F859" s="480"/>
      <c r="G859" s="430"/>
      <c r="H859" s="480"/>
      <c r="I859" s="480"/>
      <c r="J859" s="430"/>
      <c r="K859" s="480"/>
      <c r="L859" s="430"/>
      <c r="M859" s="480"/>
      <c r="N859" s="430"/>
      <c r="O859" s="480"/>
      <c r="P859" s="430"/>
      <c r="Q859" s="480"/>
    </row>
    <row r="860" ht="15.75" customHeight="1">
      <c r="A860" s="430"/>
      <c r="B860" s="480"/>
      <c r="C860" s="480"/>
      <c r="D860" s="430"/>
      <c r="E860" s="480"/>
      <c r="F860" s="480"/>
      <c r="G860" s="430"/>
      <c r="H860" s="480"/>
      <c r="I860" s="480"/>
      <c r="J860" s="430"/>
      <c r="K860" s="480"/>
      <c r="L860" s="430"/>
      <c r="M860" s="480"/>
      <c r="N860" s="430"/>
      <c r="O860" s="480"/>
      <c r="P860" s="430"/>
      <c r="Q860" s="480"/>
    </row>
    <row r="861" ht="15.75" customHeight="1">
      <c r="A861" s="430"/>
      <c r="B861" s="480"/>
      <c r="C861" s="480"/>
      <c r="D861" s="430"/>
      <c r="E861" s="480"/>
      <c r="F861" s="480"/>
      <c r="G861" s="430"/>
      <c r="H861" s="480"/>
      <c r="I861" s="480"/>
      <c r="J861" s="430"/>
      <c r="K861" s="480"/>
      <c r="L861" s="430"/>
      <c r="M861" s="480"/>
      <c r="N861" s="430"/>
      <c r="O861" s="480"/>
      <c r="P861" s="430"/>
      <c r="Q861" s="480"/>
    </row>
    <row r="862" ht="15.75" customHeight="1">
      <c r="A862" s="430"/>
      <c r="B862" s="480"/>
      <c r="C862" s="480"/>
      <c r="D862" s="430"/>
      <c r="E862" s="480"/>
      <c r="F862" s="480"/>
      <c r="G862" s="430"/>
      <c r="H862" s="480"/>
      <c r="I862" s="480"/>
      <c r="J862" s="430"/>
      <c r="K862" s="480"/>
      <c r="L862" s="430"/>
      <c r="M862" s="480"/>
      <c r="N862" s="430"/>
      <c r="O862" s="480"/>
      <c r="P862" s="430"/>
      <c r="Q862" s="480"/>
    </row>
    <row r="863" ht="15.75" customHeight="1">
      <c r="A863" s="430"/>
      <c r="B863" s="480"/>
      <c r="C863" s="480"/>
      <c r="D863" s="430"/>
      <c r="E863" s="480"/>
      <c r="F863" s="480"/>
      <c r="G863" s="430"/>
      <c r="H863" s="480"/>
      <c r="I863" s="480"/>
      <c r="J863" s="430"/>
      <c r="K863" s="480"/>
      <c r="L863" s="430"/>
      <c r="M863" s="480"/>
      <c r="N863" s="430"/>
      <c r="O863" s="480"/>
      <c r="P863" s="430"/>
      <c r="Q863" s="480"/>
    </row>
    <row r="864" ht="15.75" customHeight="1">
      <c r="A864" s="430"/>
      <c r="B864" s="480"/>
      <c r="C864" s="480"/>
      <c r="D864" s="430"/>
      <c r="E864" s="480"/>
      <c r="F864" s="480"/>
      <c r="G864" s="430"/>
      <c r="H864" s="480"/>
      <c r="I864" s="480"/>
      <c r="J864" s="430"/>
      <c r="K864" s="480"/>
      <c r="L864" s="430"/>
      <c r="M864" s="480"/>
      <c r="N864" s="430"/>
      <c r="O864" s="480"/>
      <c r="P864" s="430"/>
      <c r="Q864" s="480"/>
    </row>
    <row r="865" ht="15.75" customHeight="1">
      <c r="A865" s="430"/>
      <c r="B865" s="480"/>
      <c r="C865" s="480"/>
      <c r="D865" s="430"/>
      <c r="E865" s="480"/>
      <c r="F865" s="480"/>
      <c r="G865" s="430"/>
      <c r="H865" s="480"/>
      <c r="I865" s="480"/>
      <c r="J865" s="430"/>
      <c r="K865" s="480"/>
      <c r="L865" s="430"/>
      <c r="M865" s="480"/>
      <c r="N865" s="430"/>
      <c r="O865" s="480"/>
      <c r="P865" s="430"/>
      <c r="Q865" s="480"/>
    </row>
    <row r="866" ht="15.75" customHeight="1">
      <c r="A866" s="430"/>
      <c r="B866" s="480"/>
      <c r="C866" s="480"/>
      <c r="D866" s="430"/>
      <c r="E866" s="480"/>
      <c r="F866" s="480"/>
      <c r="G866" s="430"/>
      <c r="H866" s="480"/>
      <c r="I866" s="480"/>
      <c r="J866" s="430"/>
      <c r="K866" s="480"/>
      <c r="L866" s="430"/>
      <c r="M866" s="480"/>
      <c r="N866" s="430"/>
      <c r="O866" s="480"/>
      <c r="P866" s="430"/>
      <c r="Q866" s="480"/>
    </row>
    <row r="867" ht="15.75" customHeight="1">
      <c r="A867" s="430"/>
      <c r="B867" s="480"/>
      <c r="C867" s="480"/>
      <c r="D867" s="430"/>
      <c r="E867" s="480"/>
      <c r="F867" s="480"/>
      <c r="G867" s="430"/>
      <c r="H867" s="480"/>
      <c r="I867" s="480"/>
      <c r="J867" s="430"/>
      <c r="K867" s="480"/>
      <c r="L867" s="430"/>
      <c r="M867" s="480"/>
      <c r="N867" s="430"/>
      <c r="O867" s="480"/>
      <c r="P867" s="430"/>
      <c r="Q867" s="480"/>
    </row>
    <row r="868" ht="15.75" customHeight="1">
      <c r="A868" s="430"/>
      <c r="B868" s="480"/>
      <c r="C868" s="480"/>
      <c r="D868" s="430"/>
      <c r="E868" s="480"/>
      <c r="F868" s="480"/>
      <c r="G868" s="430"/>
      <c r="H868" s="480"/>
      <c r="I868" s="480"/>
      <c r="J868" s="430"/>
      <c r="K868" s="480"/>
      <c r="L868" s="430"/>
      <c r="M868" s="480"/>
      <c r="N868" s="430"/>
      <c r="O868" s="480"/>
      <c r="P868" s="430"/>
      <c r="Q868" s="480"/>
    </row>
    <row r="869" ht="15.75" customHeight="1">
      <c r="A869" s="430"/>
      <c r="B869" s="480"/>
      <c r="C869" s="480"/>
      <c r="D869" s="430"/>
      <c r="E869" s="480"/>
      <c r="F869" s="480"/>
      <c r="G869" s="430"/>
      <c r="H869" s="480"/>
      <c r="I869" s="480"/>
      <c r="J869" s="430"/>
      <c r="K869" s="480"/>
      <c r="L869" s="430"/>
      <c r="M869" s="480"/>
      <c r="N869" s="430"/>
      <c r="O869" s="480"/>
      <c r="P869" s="430"/>
      <c r="Q869" s="480"/>
    </row>
    <row r="870" ht="15.75" customHeight="1">
      <c r="A870" s="430"/>
      <c r="B870" s="480"/>
      <c r="C870" s="480"/>
      <c r="D870" s="430"/>
      <c r="E870" s="480"/>
      <c r="F870" s="480"/>
      <c r="G870" s="430"/>
      <c r="H870" s="480"/>
      <c r="I870" s="480"/>
      <c r="J870" s="430"/>
      <c r="K870" s="480"/>
      <c r="L870" s="430"/>
      <c r="M870" s="480"/>
      <c r="N870" s="430"/>
      <c r="O870" s="480"/>
      <c r="P870" s="430"/>
      <c r="Q870" s="480"/>
    </row>
    <row r="871" ht="15.75" customHeight="1">
      <c r="A871" s="430"/>
      <c r="B871" s="480"/>
      <c r="C871" s="480"/>
      <c r="D871" s="430"/>
      <c r="E871" s="480"/>
      <c r="F871" s="480"/>
      <c r="G871" s="430"/>
      <c r="H871" s="480"/>
      <c r="I871" s="480"/>
      <c r="J871" s="430"/>
      <c r="K871" s="480"/>
      <c r="L871" s="430"/>
      <c r="M871" s="480"/>
      <c r="N871" s="430"/>
      <c r="O871" s="480"/>
      <c r="P871" s="430"/>
      <c r="Q871" s="480"/>
    </row>
    <row r="872" ht="15.75" customHeight="1">
      <c r="A872" s="430"/>
      <c r="B872" s="480"/>
      <c r="C872" s="480"/>
      <c r="D872" s="430"/>
      <c r="E872" s="480"/>
      <c r="F872" s="480"/>
      <c r="G872" s="430"/>
      <c r="H872" s="480"/>
      <c r="I872" s="480"/>
      <c r="J872" s="430"/>
      <c r="K872" s="480"/>
      <c r="L872" s="430"/>
      <c r="M872" s="480"/>
      <c r="N872" s="430"/>
      <c r="O872" s="480"/>
      <c r="P872" s="430"/>
      <c r="Q872" s="480"/>
    </row>
    <row r="873" ht="15.75" customHeight="1">
      <c r="A873" s="430"/>
      <c r="B873" s="480"/>
      <c r="C873" s="480"/>
      <c r="D873" s="430"/>
      <c r="E873" s="480"/>
      <c r="F873" s="480"/>
      <c r="G873" s="430"/>
      <c r="H873" s="480"/>
      <c r="I873" s="480"/>
      <c r="J873" s="430"/>
      <c r="K873" s="480"/>
      <c r="L873" s="430"/>
      <c r="M873" s="480"/>
      <c r="N873" s="430"/>
      <c r="O873" s="480"/>
      <c r="P873" s="430"/>
      <c r="Q873" s="480"/>
    </row>
    <row r="874" ht="15.75" customHeight="1">
      <c r="A874" s="430"/>
      <c r="B874" s="480"/>
      <c r="C874" s="480"/>
      <c r="D874" s="430"/>
      <c r="E874" s="480"/>
      <c r="F874" s="480"/>
      <c r="G874" s="430"/>
      <c r="H874" s="480"/>
      <c r="I874" s="480"/>
      <c r="J874" s="430"/>
      <c r="K874" s="480"/>
      <c r="L874" s="430"/>
      <c r="M874" s="480"/>
      <c r="N874" s="430"/>
      <c r="O874" s="480"/>
      <c r="P874" s="430"/>
      <c r="Q874" s="480"/>
    </row>
    <row r="875" ht="15.75" customHeight="1">
      <c r="A875" s="430"/>
      <c r="B875" s="480"/>
      <c r="C875" s="480"/>
      <c r="D875" s="430"/>
      <c r="E875" s="480"/>
      <c r="F875" s="480"/>
      <c r="G875" s="430"/>
      <c r="H875" s="480"/>
      <c r="I875" s="480"/>
      <c r="J875" s="430"/>
      <c r="K875" s="480"/>
      <c r="L875" s="430"/>
      <c r="M875" s="480"/>
      <c r="N875" s="430"/>
      <c r="O875" s="480"/>
      <c r="P875" s="430"/>
      <c r="Q875" s="480"/>
    </row>
    <row r="876" ht="15.75" customHeight="1">
      <c r="A876" s="430"/>
      <c r="B876" s="480"/>
      <c r="C876" s="480"/>
      <c r="D876" s="430"/>
      <c r="E876" s="480"/>
      <c r="F876" s="480"/>
      <c r="G876" s="430"/>
      <c r="H876" s="480"/>
      <c r="I876" s="480"/>
      <c r="J876" s="430"/>
      <c r="K876" s="480"/>
      <c r="L876" s="430"/>
      <c r="M876" s="480"/>
      <c r="N876" s="430"/>
      <c r="O876" s="480"/>
      <c r="P876" s="430"/>
      <c r="Q876" s="480"/>
    </row>
    <row r="877" ht="15.75" customHeight="1">
      <c r="A877" s="430"/>
      <c r="B877" s="480"/>
      <c r="C877" s="480"/>
      <c r="D877" s="430"/>
      <c r="E877" s="480"/>
      <c r="F877" s="480"/>
      <c r="G877" s="430"/>
      <c r="H877" s="480"/>
      <c r="I877" s="480"/>
      <c r="J877" s="430"/>
      <c r="K877" s="480"/>
      <c r="L877" s="430"/>
      <c r="M877" s="480"/>
      <c r="N877" s="430"/>
      <c r="O877" s="480"/>
      <c r="P877" s="430"/>
      <c r="Q877" s="480"/>
    </row>
    <row r="878" ht="15.75" customHeight="1">
      <c r="A878" s="430"/>
      <c r="B878" s="480"/>
      <c r="C878" s="480"/>
      <c r="D878" s="430"/>
      <c r="E878" s="480"/>
      <c r="F878" s="480"/>
      <c r="G878" s="430"/>
      <c r="H878" s="480"/>
      <c r="I878" s="480"/>
      <c r="J878" s="430"/>
      <c r="K878" s="480"/>
      <c r="L878" s="430"/>
      <c r="M878" s="480"/>
      <c r="N878" s="430"/>
      <c r="O878" s="480"/>
      <c r="P878" s="430"/>
      <c r="Q878" s="480"/>
    </row>
    <row r="879" ht="15.75" customHeight="1">
      <c r="A879" s="430"/>
      <c r="B879" s="480"/>
      <c r="C879" s="480"/>
      <c r="D879" s="430"/>
      <c r="E879" s="480"/>
      <c r="F879" s="480"/>
      <c r="G879" s="430"/>
      <c r="H879" s="480"/>
      <c r="I879" s="480"/>
      <c r="J879" s="430"/>
      <c r="K879" s="480"/>
      <c r="L879" s="430"/>
      <c r="M879" s="480"/>
      <c r="N879" s="430"/>
      <c r="O879" s="480"/>
      <c r="P879" s="430"/>
      <c r="Q879" s="480"/>
    </row>
    <row r="880" ht="15.75" customHeight="1">
      <c r="A880" s="430"/>
      <c r="B880" s="480"/>
      <c r="C880" s="480"/>
      <c r="D880" s="430"/>
      <c r="E880" s="480"/>
      <c r="F880" s="480"/>
      <c r="G880" s="430"/>
      <c r="H880" s="480"/>
      <c r="I880" s="480"/>
      <c r="J880" s="430"/>
      <c r="K880" s="480"/>
      <c r="L880" s="430"/>
      <c r="M880" s="480"/>
      <c r="N880" s="430"/>
      <c r="O880" s="480"/>
      <c r="P880" s="430"/>
      <c r="Q880" s="480"/>
    </row>
    <row r="881" ht="15.75" customHeight="1">
      <c r="A881" s="430"/>
      <c r="B881" s="480"/>
      <c r="C881" s="480"/>
      <c r="D881" s="430"/>
      <c r="E881" s="480"/>
      <c r="F881" s="480"/>
      <c r="G881" s="430"/>
      <c r="H881" s="480"/>
      <c r="I881" s="480"/>
      <c r="J881" s="430"/>
      <c r="K881" s="480"/>
      <c r="L881" s="430"/>
      <c r="M881" s="480"/>
      <c r="N881" s="430"/>
      <c r="O881" s="480"/>
      <c r="P881" s="430"/>
      <c r="Q881" s="480"/>
    </row>
    <row r="882" ht="15.75" customHeight="1">
      <c r="A882" s="430"/>
      <c r="B882" s="480"/>
      <c r="C882" s="480"/>
      <c r="D882" s="430"/>
      <c r="E882" s="480"/>
      <c r="F882" s="480"/>
      <c r="G882" s="430"/>
      <c r="H882" s="480"/>
      <c r="I882" s="480"/>
      <c r="J882" s="430"/>
      <c r="K882" s="480"/>
      <c r="L882" s="430"/>
      <c r="M882" s="480"/>
      <c r="N882" s="430"/>
      <c r="O882" s="480"/>
      <c r="P882" s="430"/>
      <c r="Q882" s="480"/>
    </row>
    <row r="883" ht="15.75" customHeight="1">
      <c r="A883" s="430"/>
      <c r="B883" s="480"/>
      <c r="C883" s="480"/>
      <c r="D883" s="430"/>
      <c r="E883" s="480"/>
      <c r="F883" s="480"/>
      <c r="G883" s="430"/>
      <c r="H883" s="480"/>
      <c r="I883" s="480"/>
      <c r="J883" s="430"/>
      <c r="K883" s="480"/>
      <c r="L883" s="430"/>
      <c r="M883" s="480"/>
      <c r="N883" s="430"/>
      <c r="O883" s="480"/>
      <c r="P883" s="430"/>
      <c r="Q883" s="480"/>
    </row>
    <row r="884" ht="15.75" customHeight="1">
      <c r="A884" s="430"/>
      <c r="B884" s="480"/>
      <c r="C884" s="480"/>
      <c r="D884" s="430"/>
      <c r="E884" s="480"/>
      <c r="F884" s="480"/>
      <c r="G884" s="430"/>
      <c r="H884" s="480"/>
      <c r="I884" s="480"/>
      <c r="J884" s="430"/>
      <c r="K884" s="480"/>
      <c r="L884" s="430"/>
      <c r="M884" s="480"/>
      <c r="N884" s="430"/>
      <c r="O884" s="480"/>
      <c r="P884" s="430"/>
      <c r="Q884" s="480"/>
    </row>
    <row r="885" ht="15.75" customHeight="1">
      <c r="A885" s="430"/>
      <c r="B885" s="480"/>
      <c r="C885" s="480"/>
      <c r="D885" s="430"/>
      <c r="E885" s="480"/>
      <c r="F885" s="480"/>
      <c r="G885" s="430"/>
      <c r="H885" s="480"/>
      <c r="I885" s="480"/>
      <c r="J885" s="430"/>
      <c r="K885" s="480"/>
      <c r="L885" s="430"/>
      <c r="M885" s="480"/>
      <c r="N885" s="430"/>
      <c r="O885" s="480"/>
      <c r="P885" s="430"/>
      <c r="Q885" s="480"/>
    </row>
    <row r="886" ht="15.75" customHeight="1">
      <c r="A886" s="430"/>
      <c r="B886" s="480"/>
      <c r="C886" s="480"/>
      <c r="D886" s="430"/>
      <c r="E886" s="480"/>
      <c r="F886" s="480"/>
      <c r="G886" s="430"/>
      <c r="H886" s="480"/>
      <c r="I886" s="480"/>
      <c r="J886" s="430"/>
      <c r="K886" s="480"/>
      <c r="L886" s="430"/>
      <c r="M886" s="480"/>
      <c r="N886" s="430"/>
      <c r="O886" s="480"/>
      <c r="P886" s="430"/>
      <c r="Q886" s="480"/>
    </row>
    <row r="887" ht="15.75" customHeight="1">
      <c r="A887" s="430"/>
      <c r="B887" s="480"/>
      <c r="C887" s="480"/>
      <c r="D887" s="430"/>
      <c r="E887" s="480"/>
      <c r="F887" s="480"/>
      <c r="G887" s="430"/>
      <c r="H887" s="480"/>
      <c r="I887" s="480"/>
      <c r="J887" s="430"/>
      <c r="K887" s="480"/>
      <c r="L887" s="430"/>
      <c r="M887" s="480"/>
      <c r="N887" s="430"/>
      <c r="O887" s="480"/>
      <c r="P887" s="430"/>
      <c r="Q887" s="480"/>
    </row>
    <row r="888" ht="15.75" customHeight="1">
      <c r="A888" s="430"/>
      <c r="B888" s="480"/>
      <c r="C888" s="480"/>
      <c r="D888" s="430"/>
      <c r="E888" s="480"/>
      <c r="F888" s="480"/>
      <c r="G888" s="430"/>
      <c r="H888" s="480"/>
      <c r="I888" s="480"/>
      <c r="J888" s="430"/>
      <c r="K888" s="480"/>
      <c r="L888" s="430"/>
      <c r="M888" s="480"/>
      <c r="N888" s="430"/>
      <c r="O888" s="480"/>
      <c r="P888" s="430"/>
      <c r="Q888" s="480"/>
    </row>
    <row r="889" ht="15.75" customHeight="1">
      <c r="A889" s="430"/>
      <c r="B889" s="480"/>
      <c r="C889" s="480"/>
      <c r="D889" s="430"/>
      <c r="E889" s="480"/>
      <c r="F889" s="480"/>
      <c r="G889" s="430"/>
      <c r="H889" s="480"/>
      <c r="I889" s="480"/>
      <c r="J889" s="430"/>
      <c r="K889" s="480"/>
      <c r="L889" s="430"/>
      <c r="M889" s="480"/>
      <c r="N889" s="430"/>
      <c r="O889" s="480"/>
      <c r="P889" s="430"/>
      <c r="Q889" s="480"/>
    </row>
    <row r="890" ht="15.75" customHeight="1">
      <c r="A890" s="430"/>
      <c r="B890" s="480"/>
      <c r="C890" s="480"/>
      <c r="D890" s="430"/>
      <c r="E890" s="480"/>
      <c r="F890" s="480"/>
      <c r="G890" s="430"/>
      <c r="H890" s="480"/>
      <c r="I890" s="480"/>
      <c r="J890" s="430"/>
      <c r="K890" s="480"/>
      <c r="L890" s="430"/>
      <c r="M890" s="480"/>
      <c r="N890" s="430"/>
      <c r="O890" s="480"/>
      <c r="P890" s="430"/>
      <c r="Q890" s="480"/>
    </row>
    <row r="891" ht="15.75" customHeight="1">
      <c r="A891" s="430"/>
      <c r="B891" s="480"/>
      <c r="C891" s="480"/>
      <c r="D891" s="430"/>
      <c r="E891" s="480"/>
      <c r="F891" s="480"/>
      <c r="G891" s="430"/>
      <c r="H891" s="480"/>
      <c r="I891" s="480"/>
      <c r="J891" s="430"/>
      <c r="K891" s="480"/>
      <c r="L891" s="430"/>
      <c r="M891" s="480"/>
      <c r="N891" s="430"/>
      <c r="O891" s="480"/>
      <c r="P891" s="430"/>
      <c r="Q891" s="480"/>
    </row>
    <row r="892" ht="15.75" customHeight="1">
      <c r="A892" s="430"/>
      <c r="B892" s="480"/>
      <c r="C892" s="480"/>
      <c r="D892" s="430"/>
      <c r="E892" s="480"/>
      <c r="F892" s="480"/>
      <c r="G892" s="430"/>
      <c r="H892" s="480"/>
      <c r="I892" s="480"/>
      <c r="J892" s="430"/>
      <c r="K892" s="480"/>
      <c r="L892" s="430"/>
      <c r="M892" s="480"/>
      <c r="N892" s="430"/>
      <c r="O892" s="480"/>
      <c r="P892" s="430"/>
      <c r="Q892" s="480"/>
    </row>
    <row r="893" ht="15.75" customHeight="1">
      <c r="A893" s="430"/>
      <c r="B893" s="480"/>
      <c r="C893" s="480"/>
      <c r="D893" s="430"/>
      <c r="E893" s="480"/>
      <c r="F893" s="480"/>
      <c r="G893" s="430"/>
      <c r="H893" s="480"/>
      <c r="I893" s="480"/>
      <c r="J893" s="430"/>
      <c r="K893" s="480"/>
      <c r="L893" s="430"/>
      <c r="M893" s="480"/>
      <c r="N893" s="430"/>
      <c r="O893" s="480"/>
      <c r="P893" s="430"/>
      <c r="Q893" s="480"/>
    </row>
    <row r="894" ht="15.75" customHeight="1">
      <c r="A894" s="430"/>
      <c r="B894" s="480"/>
      <c r="C894" s="480"/>
      <c r="D894" s="430"/>
      <c r="E894" s="480"/>
      <c r="F894" s="480"/>
      <c r="G894" s="430"/>
      <c r="H894" s="480"/>
      <c r="I894" s="480"/>
      <c r="J894" s="430"/>
      <c r="K894" s="480"/>
      <c r="L894" s="430"/>
      <c r="M894" s="480"/>
      <c r="N894" s="430"/>
      <c r="O894" s="480"/>
      <c r="P894" s="430"/>
      <c r="Q894" s="480"/>
    </row>
    <row r="895" ht="15.75" customHeight="1">
      <c r="A895" s="430"/>
      <c r="B895" s="480"/>
      <c r="C895" s="480"/>
      <c r="D895" s="430"/>
      <c r="E895" s="480"/>
      <c r="F895" s="480"/>
      <c r="G895" s="430"/>
      <c r="H895" s="480"/>
      <c r="I895" s="480"/>
      <c r="J895" s="430"/>
      <c r="K895" s="480"/>
      <c r="L895" s="430"/>
      <c r="M895" s="480"/>
      <c r="N895" s="430"/>
      <c r="O895" s="480"/>
      <c r="P895" s="430"/>
      <c r="Q895" s="480"/>
    </row>
    <row r="896" ht="15.75" customHeight="1">
      <c r="A896" s="430"/>
      <c r="B896" s="480"/>
      <c r="C896" s="480"/>
      <c r="D896" s="430"/>
      <c r="E896" s="480"/>
      <c r="F896" s="480"/>
      <c r="G896" s="430"/>
      <c r="H896" s="480"/>
      <c r="I896" s="480"/>
      <c r="J896" s="430"/>
      <c r="K896" s="480"/>
      <c r="L896" s="430"/>
      <c r="M896" s="480"/>
      <c r="N896" s="430"/>
      <c r="O896" s="480"/>
      <c r="P896" s="430"/>
      <c r="Q896" s="480"/>
    </row>
    <row r="897" ht="15.75" customHeight="1">
      <c r="A897" s="430"/>
      <c r="B897" s="480"/>
      <c r="C897" s="480"/>
      <c r="D897" s="430"/>
      <c r="E897" s="480"/>
      <c r="F897" s="480"/>
      <c r="G897" s="430"/>
      <c r="H897" s="480"/>
      <c r="I897" s="480"/>
      <c r="J897" s="430"/>
      <c r="K897" s="480"/>
      <c r="L897" s="430"/>
      <c r="M897" s="480"/>
      <c r="N897" s="430"/>
      <c r="O897" s="480"/>
      <c r="P897" s="430"/>
      <c r="Q897" s="480"/>
    </row>
    <row r="898" ht="15.75" customHeight="1">
      <c r="A898" s="430"/>
      <c r="B898" s="480"/>
      <c r="C898" s="480"/>
      <c r="D898" s="430"/>
      <c r="E898" s="480"/>
      <c r="F898" s="480"/>
      <c r="G898" s="430"/>
      <c r="H898" s="480"/>
      <c r="I898" s="480"/>
      <c r="J898" s="430"/>
      <c r="K898" s="480"/>
      <c r="L898" s="430"/>
      <c r="M898" s="480"/>
      <c r="N898" s="430"/>
      <c r="O898" s="480"/>
      <c r="P898" s="430"/>
      <c r="Q898" s="480"/>
    </row>
    <row r="899" ht="15.75" customHeight="1">
      <c r="A899" s="430"/>
      <c r="B899" s="480"/>
      <c r="C899" s="480"/>
      <c r="D899" s="430"/>
      <c r="E899" s="480"/>
      <c r="F899" s="480"/>
      <c r="G899" s="430"/>
      <c r="H899" s="480"/>
      <c r="I899" s="480"/>
      <c r="J899" s="430"/>
      <c r="K899" s="480"/>
      <c r="L899" s="430"/>
      <c r="M899" s="480"/>
      <c r="N899" s="430"/>
      <c r="O899" s="480"/>
      <c r="P899" s="430"/>
      <c r="Q899" s="480"/>
    </row>
    <row r="900" ht="15.75" customHeight="1">
      <c r="A900" s="430"/>
      <c r="B900" s="480"/>
      <c r="C900" s="480"/>
      <c r="D900" s="430"/>
      <c r="E900" s="480"/>
      <c r="F900" s="480"/>
      <c r="G900" s="430"/>
      <c r="H900" s="480"/>
      <c r="I900" s="480"/>
      <c r="J900" s="430"/>
      <c r="K900" s="480"/>
      <c r="L900" s="430"/>
      <c r="M900" s="480"/>
      <c r="N900" s="430"/>
      <c r="O900" s="480"/>
      <c r="P900" s="430"/>
      <c r="Q900" s="480"/>
    </row>
    <row r="901" ht="15.75" customHeight="1">
      <c r="A901" s="430"/>
      <c r="B901" s="480"/>
      <c r="C901" s="480"/>
      <c r="D901" s="430"/>
      <c r="E901" s="480"/>
      <c r="F901" s="480"/>
      <c r="G901" s="430"/>
      <c r="H901" s="480"/>
      <c r="I901" s="480"/>
      <c r="J901" s="430"/>
      <c r="K901" s="480"/>
      <c r="L901" s="430"/>
      <c r="M901" s="480"/>
      <c r="N901" s="430"/>
      <c r="O901" s="480"/>
      <c r="P901" s="430"/>
      <c r="Q901" s="480"/>
    </row>
    <row r="902" ht="15.75" customHeight="1">
      <c r="A902" s="430"/>
      <c r="B902" s="480"/>
      <c r="C902" s="480"/>
      <c r="D902" s="430"/>
      <c r="E902" s="480"/>
      <c r="F902" s="480"/>
      <c r="G902" s="430"/>
      <c r="H902" s="480"/>
      <c r="I902" s="480"/>
      <c r="J902" s="430"/>
      <c r="K902" s="480"/>
      <c r="L902" s="430"/>
      <c r="M902" s="480"/>
      <c r="N902" s="430"/>
      <c r="O902" s="480"/>
      <c r="P902" s="430"/>
      <c r="Q902" s="480"/>
    </row>
    <row r="903" ht="15.75" customHeight="1">
      <c r="A903" s="430"/>
      <c r="B903" s="480"/>
      <c r="C903" s="480"/>
      <c r="D903" s="430"/>
      <c r="E903" s="480"/>
      <c r="F903" s="480"/>
      <c r="G903" s="430"/>
      <c r="H903" s="480"/>
      <c r="I903" s="480"/>
      <c r="J903" s="430"/>
      <c r="K903" s="480"/>
      <c r="L903" s="430"/>
      <c r="M903" s="480"/>
      <c r="N903" s="430"/>
      <c r="O903" s="480"/>
      <c r="P903" s="430"/>
      <c r="Q903" s="480"/>
    </row>
    <row r="904" ht="15.75" customHeight="1">
      <c r="A904" s="430"/>
      <c r="B904" s="480"/>
      <c r="C904" s="480"/>
      <c r="D904" s="430"/>
      <c r="E904" s="480"/>
      <c r="F904" s="480"/>
      <c r="G904" s="430"/>
      <c r="H904" s="480"/>
      <c r="I904" s="480"/>
      <c r="J904" s="430"/>
      <c r="K904" s="480"/>
      <c r="L904" s="430"/>
      <c r="M904" s="480"/>
      <c r="N904" s="430"/>
      <c r="O904" s="480"/>
      <c r="P904" s="430"/>
      <c r="Q904" s="480"/>
    </row>
    <row r="905" ht="15.75" customHeight="1">
      <c r="A905" s="430"/>
      <c r="B905" s="480"/>
      <c r="C905" s="480"/>
      <c r="D905" s="430"/>
      <c r="E905" s="480"/>
      <c r="F905" s="480"/>
      <c r="G905" s="430"/>
      <c r="H905" s="480"/>
      <c r="I905" s="480"/>
      <c r="J905" s="430"/>
      <c r="K905" s="480"/>
      <c r="L905" s="430"/>
      <c r="M905" s="480"/>
      <c r="N905" s="430"/>
      <c r="O905" s="480"/>
      <c r="P905" s="430"/>
      <c r="Q905" s="480"/>
    </row>
    <row r="906" ht="15.75" customHeight="1">
      <c r="A906" s="430"/>
      <c r="B906" s="480"/>
      <c r="C906" s="480"/>
      <c r="D906" s="430"/>
      <c r="E906" s="480"/>
      <c r="F906" s="480"/>
      <c r="G906" s="430"/>
      <c r="H906" s="480"/>
      <c r="I906" s="480"/>
      <c r="J906" s="430"/>
      <c r="K906" s="480"/>
      <c r="L906" s="430"/>
      <c r="M906" s="480"/>
      <c r="N906" s="430"/>
      <c r="O906" s="480"/>
      <c r="P906" s="430"/>
      <c r="Q906" s="480"/>
    </row>
    <row r="907" ht="15.75" customHeight="1">
      <c r="A907" s="430"/>
      <c r="B907" s="480"/>
      <c r="C907" s="480"/>
      <c r="D907" s="430"/>
      <c r="E907" s="480"/>
      <c r="F907" s="480"/>
      <c r="G907" s="430"/>
      <c r="H907" s="480"/>
      <c r="I907" s="480"/>
      <c r="J907" s="430"/>
      <c r="K907" s="480"/>
      <c r="L907" s="430"/>
      <c r="M907" s="480"/>
      <c r="N907" s="430"/>
      <c r="O907" s="480"/>
      <c r="P907" s="430"/>
      <c r="Q907" s="480"/>
    </row>
    <row r="908" ht="15.75" customHeight="1">
      <c r="A908" s="430"/>
      <c r="B908" s="480"/>
      <c r="C908" s="480"/>
      <c r="D908" s="430"/>
      <c r="E908" s="480"/>
      <c r="F908" s="480"/>
      <c r="G908" s="430"/>
      <c r="H908" s="480"/>
      <c r="I908" s="480"/>
      <c r="J908" s="430"/>
      <c r="K908" s="480"/>
      <c r="L908" s="430"/>
      <c r="M908" s="480"/>
      <c r="N908" s="430"/>
      <c r="O908" s="480"/>
      <c r="P908" s="430"/>
      <c r="Q908" s="480"/>
    </row>
    <row r="909" ht="15.75" customHeight="1">
      <c r="A909" s="430"/>
      <c r="B909" s="480"/>
      <c r="C909" s="480"/>
      <c r="D909" s="430"/>
      <c r="E909" s="480"/>
      <c r="F909" s="480"/>
      <c r="G909" s="430"/>
      <c r="H909" s="480"/>
      <c r="I909" s="480"/>
      <c r="J909" s="430"/>
      <c r="K909" s="480"/>
      <c r="L909" s="430"/>
      <c r="M909" s="480"/>
      <c r="N909" s="430"/>
      <c r="O909" s="480"/>
      <c r="P909" s="430"/>
      <c r="Q909" s="480"/>
    </row>
    <row r="910" ht="15.75" customHeight="1">
      <c r="A910" s="430"/>
      <c r="B910" s="480"/>
      <c r="C910" s="480"/>
      <c r="D910" s="430"/>
      <c r="E910" s="480"/>
      <c r="F910" s="480"/>
      <c r="G910" s="430"/>
      <c r="H910" s="480"/>
      <c r="I910" s="480"/>
      <c r="J910" s="430"/>
      <c r="K910" s="480"/>
      <c r="L910" s="430"/>
      <c r="M910" s="480"/>
      <c r="N910" s="430"/>
      <c r="O910" s="480"/>
      <c r="P910" s="430"/>
      <c r="Q910" s="480"/>
    </row>
    <row r="911" ht="15.75" customHeight="1">
      <c r="A911" s="430"/>
      <c r="B911" s="480"/>
      <c r="C911" s="480"/>
      <c r="D911" s="430"/>
      <c r="E911" s="480"/>
      <c r="F911" s="480"/>
      <c r="G911" s="430"/>
      <c r="H911" s="480"/>
      <c r="I911" s="480"/>
      <c r="J911" s="430"/>
      <c r="K911" s="480"/>
      <c r="L911" s="430"/>
      <c r="M911" s="480"/>
      <c r="N911" s="430"/>
      <c r="O911" s="480"/>
      <c r="P911" s="430"/>
      <c r="Q911" s="480"/>
    </row>
    <row r="912" ht="15.75" customHeight="1">
      <c r="A912" s="430"/>
      <c r="B912" s="480"/>
      <c r="C912" s="480"/>
      <c r="D912" s="430"/>
      <c r="E912" s="480"/>
      <c r="F912" s="480"/>
      <c r="G912" s="430"/>
      <c r="H912" s="480"/>
      <c r="I912" s="480"/>
      <c r="J912" s="430"/>
      <c r="K912" s="480"/>
      <c r="L912" s="430"/>
      <c r="M912" s="480"/>
      <c r="N912" s="430"/>
      <c r="O912" s="480"/>
      <c r="P912" s="430"/>
      <c r="Q912" s="480"/>
    </row>
    <row r="913" ht="15.75" customHeight="1">
      <c r="A913" s="430"/>
      <c r="B913" s="480"/>
      <c r="C913" s="480"/>
      <c r="D913" s="430"/>
      <c r="E913" s="480"/>
      <c r="F913" s="480"/>
      <c r="G913" s="430"/>
      <c r="H913" s="480"/>
      <c r="I913" s="480"/>
      <c r="J913" s="430"/>
      <c r="K913" s="480"/>
      <c r="L913" s="430"/>
      <c r="M913" s="480"/>
      <c r="N913" s="430"/>
      <c r="O913" s="480"/>
      <c r="P913" s="430"/>
      <c r="Q913" s="480"/>
    </row>
    <row r="914" ht="15.75" customHeight="1">
      <c r="A914" s="430"/>
      <c r="B914" s="480"/>
      <c r="C914" s="480"/>
      <c r="D914" s="430"/>
      <c r="E914" s="480"/>
      <c r="F914" s="480"/>
      <c r="G914" s="430"/>
      <c r="H914" s="480"/>
      <c r="I914" s="480"/>
      <c r="J914" s="430"/>
      <c r="K914" s="480"/>
      <c r="L914" s="430"/>
      <c r="M914" s="480"/>
      <c r="N914" s="430"/>
      <c r="O914" s="480"/>
      <c r="P914" s="430"/>
      <c r="Q914" s="480"/>
    </row>
    <row r="915" ht="15.75" customHeight="1">
      <c r="A915" s="430"/>
      <c r="B915" s="480"/>
      <c r="C915" s="480"/>
      <c r="D915" s="430"/>
      <c r="E915" s="480"/>
      <c r="F915" s="480"/>
      <c r="G915" s="430"/>
      <c r="H915" s="480"/>
      <c r="I915" s="480"/>
      <c r="J915" s="430"/>
      <c r="K915" s="480"/>
      <c r="L915" s="430"/>
      <c r="M915" s="480"/>
      <c r="N915" s="430"/>
      <c r="O915" s="480"/>
      <c r="P915" s="430"/>
      <c r="Q915" s="480"/>
    </row>
    <row r="916" ht="15.75" customHeight="1">
      <c r="A916" s="430"/>
      <c r="B916" s="480"/>
      <c r="C916" s="480"/>
      <c r="D916" s="430"/>
      <c r="E916" s="480"/>
      <c r="F916" s="480"/>
      <c r="G916" s="430"/>
      <c r="H916" s="480"/>
      <c r="I916" s="480"/>
      <c r="J916" s="430"/>
      <c r="K916" s="480"/>
      <c r="L916" s="430"/>
      <c r="M916" s="480"/>
      <c r="N916" s="430"/>
      <c r="O916" s="480"/>
      <c r="P916" s="430"/>
      <c r="Q916" s="480"/>
    </row>
    <row r="917" ht="15.75" customHeight="1">
      <c r="A917" s="430"/>
      <c r="B917" s="480"/>
      <c r="C917" s="480"/>
      <c r="D917" s="430"/>
      <c r="E917" s="480"/>
      <c r="F917" s="480"/>
      <c r="G917" s="430"/>
      <c r="H917" s="480"/>
      <c r="I917" s="480"/>
      <c r="J917" s="430"/>
      <c r="K917" s="480"/>
      <c r="L917" s="430"/>
      <c r="M917" s="480"/>
      <c r="N917" s="430"/>
      <c r="O917" s="480"/>
      <c r="P917" s="430"/>
      <c r="Q917" s="480"/>
    </row>
    <row r="918" ht="15.75" customHeight="1">
      <c r="A918" s="430"/>
      <c r="B918" s="480"/>
      <c r="C918" s="480"/>
      <c r="D918" s="430"/>
      <c r="E918" s="480"/>
      <c r="F918" s="480"/>
      <c r="G918" s="430"/>
      <c r="H918" s="480"/>
      <c r="I918" s="480"/>
      <c r="J918" s="430"/>
      <c r="K918" s="480"/>
      <c r="L918" s="430"/>
      <c r="M918" s="480"/>
      <c r="N918" s="430"/>
      <c r="O918" s="480"/>
      <c r="P918" s="430"/>
      <c r="Q918" s="480"/>
    </row>
    <row r="919" ht="15.75" customHeight="1">
      <c r="A919" s="430"/>
      <c r="B919" s="480"/>
      <c r="C919" s="480"/>
      <c r="D919" s="430"/>
      <c r="E919" s="480"/>
      <c r="F919" s="480"/>
      <c r="G919" s="430"/>
      <c r="H919" s="480"/>
      <c r="I919" s="480"/>
      <c r="J919" s="430"/>
      <c r="K919" s="480"/>
      <c r="L919" s="430"/>
      <c r="M919" s="480"/>
      <c r="N919" s="430"/>
      <c r="O919" s="480"/>
      <c r="P919" s="430"/>
      <c r="Q919" s="480"/>
    </row>
    <row r="920" ht="15.75" customHeight="1">
      <c r="A920" s="430"/>
      <c r="B920" s="480"/>
      <c r="C920" s="480"/>
      <c r="D920" s="430"/>
      <c r="E920" s="480"/>
      <c r="F920" s="480"/>
      <c r="G920" s="430"/>
      <c r="H920" s="480"/>
      <c r="I920" s="480"/>
      <c r="J920" s="430"/>
      <c r="K920" s="480"/>
      <c r="L920" s="430"/>
      <c r="M920" s="480"/>
      <c r="N920" s="430"/>
      <c r="O920" s="480"/>
      <c r="P920" s="430"/>
      <c r="Q920" s="480"/>
    </row>
    <row r="921" ht="15.75" customHeight="1">
      <c r="A921" s="430"/>
      <c r="B921" s="480"/>
      <c r="C921" s="480"/>
      <c r="D921" s="430"/>
      <c r="E921" s="480"/>
      <c r="F921" s="480"/>
      <c r="G921" s="430"/>
      <c r="H921" s="480"/>
      <c r="I921" s="480"/>
      <c r="J921" s="430"/>
      <c r="K921" s="480"/>
      <c r="L921" s="430"/>
      <c r="M921" s="480"/>
      <c r="N921" s="430"/>
      <c r="O921" s="480"/>
      <c r="P921" s="430"/>
      <c r="Q921" s="480"/>
    </row>
    <row r="922" ht="15.75" customHeight="1">
      <c r="A922" s="430"/>
      <c r="B922" s="480"/>
      <c r="C922" s="480"/>
      <c r="D922" s="430"/>
      <c r="E922" s="480"/>
      <c r="F922" s="480"/>
      <c r="G922" s="430"/>
      <c r="H922" s="480"/>
      <c r="I922" s="480"/>
      <c r="J922" s="430"/>
      <c r="K922" s="480"/>
      <c r="L922" s="430"/>
      <c r="M922" s="480"/>
      <c r="N922" s="430"/>
      <c r="O922" s="480"/>
      <c r="P922" s="430"/>
      <c r="Q922" s="480"/>
    </row>
    <row r="923" ht="15.75" customHeight="1">
      <c r="A923" s="430"/>
      <c r="B923" s="480"/>
      <c r="C923" s="480"/>
      <c r="D923" s="430"/>
      <c r="E923" s="480"/>
      <c r="F923" s="480"/>
      <c r="G923" s="430"/>
      <c r="H923" s="480"/>
      <c r="I923" s="480"/>
      <c r="J923" s="430"/>
      <c r="K923" s="480"/>
      <c r="L923" s="430"/>
      <c r="M923" s="480"/>
      <c r="N923" s="430"/>
      <c r="O923" s="480"/>
      <c r="P923" s="430"/>
      <c r="Q923" s="480"/>
    </row>
    <row r="924" ht="15.75" customHeight="1">
      <c r="A924" s="430"/>
      <c r="B924" s="480"/>
      <c r="C924" s="480"/>
      <c r="D924" s="430"/>
      <c r="E924" s="480"/>
      <c r="F924" s="480"/>
      <c r="G924" s="430"/>
      <c r="H924" s="480"/>
      <c r="I924" s="480"/>
      <c r="J924" s="430"/>
      <c r="K924" s="480"/>
      <c r="L924" s="430"/>
      <c r="M924" s="480"/>
      <c r="N924" s="430"/>
      <c r="O924" s="480"/>
      <c r="P924" s="430"/>
      <c r="Q924" s="480"/>
    </row>
    <row r="925" ht="15.75" customHeight="1">
      <c r="A925" s="430"/>
      <c r="B925" s="480"/>
      <c r="C925" s="480"/>
      <c r="D925" s="430"/>
      <c r="E925" s="480"/>
      <c r="F925" s="480"/>
      <c r="G925" s="430"/>
      <c r="H925" s="480"/>
      <c r="I925" s="480"/>
      <c r="J925" s="430"/>
      <c r="K925" s="480"/>
      <c r="L925" s="430"/>
      <c r="M925" s="480"/>
      <c r="N925" s="430"/>
      <c r="O925" s="480"/>
      <c r="P925" s="430"/>
      <c r="Q925" s="480"/>
    </row>
    <row r="926" ht="15.75" customHeight="1">
      <c r="A926" s="430"/>
      <c r="B926" s="480"/>
      <c r="C926" s="480"/>
      <c r="D926" s="430"/>
      <c r="E926" s="480"/>
      <c r="F926" s="480"/>
      <c r="G926" s="430"/>
      <c r="H926" s="480"/>
      <c r="I926" s="480"/>
      <c r="J926" s="430"/>
      <c r="K926" s="480"/>
      <c r="L926" s="430"/>
      <c r="M926" s="480"/>
      <c r="N926" s="430"/>
      <c r="O926" s="480"/>
      <c r="P926" s="430"/>
      <c r="Q926" s="480"/>
    </row>
    <row r="927" ht="15.75" customHeight="1">
      <c r="A927" s="430"/>
      <c r="B927" s="480"/>
      <c r="C927" s="480"/>
      <c r="D927" s="430"/>
      <c r="E927" s="480"/>
      <c r="F927" s="480"/>
      <c r="G927" s="430"/>
      <c r="H927" s="480"/>
      <c r="I927" s="480"/>
      <c r="J927" s="430"/>
      <c r="K927" s="480"/>
      <c r="L927" s="430"/>
      <c r="M927" s="480"/>
      <c r="N927" s="430"/>
      <c r="O927" s="480"/>
      <c r="P927" s="430"/>
      <c r="Q927" s="480"/>
    </row>
    <row r="928" ht="15.75" customHeight="1">
      <c r="A928" s="430"/>
      <c r="B928" s="480"/>
      <c r="C928" s="480"/>
      <c r="D928" s="430"/>
      <c r="E928" s="480"/>
      <c r="F928" s="480"/>
      <c r="G928" s="430"/>
      <c r="H928" s="480"/>
      <c r="I928" s="480"/>
      <c r="J928" s="430"/>
      <c r="K928" s="480"/>
      <c r="L928" s="430"/>
      <c r="M928" s="480"/>
      <c r="N928" s="430"/>
      <c r="O928" s="480"/>
      <c r="P928" s="430"/>
      <c r="Q928" s="480"/>
    </row>
    <row r="929" ht="15.75" customHeight="1">
      <c r="A929" s="430"/>
      <c r="B929" s="480"/>
      <c r="C929" s="480"/>
      <c r="D929" s="430"/>
      <c r="E929" s="480"/>
      <c r="F929" s="480"/>
      <c r="G929" s="430"/>
      <c r="H929" s="480"/>
      <c r="I929" s="480"/>
      <c r="J929" s="430"/>
      <c r="K929" s="480"/>
      <c r="L929" s="430"/>
      <c r="M929" s="480"/>
      <c r="N929" s="430"/>
      <c r="O929" s="480"/>
      <c r="P929" s="430"/>
      <c r="Q929" s="480"/>
    </row>
    <row r="930" ht="15.75" customHeight="1">
      <c r="A930" s="430"/>
      <c r="B930" s="480"/>
      <c r="C930" s="480"/>
      <c r="D930" s="430"/>
      <c r="E930" s="480"/>
      <c r="F930" s="480"/>
      <c r="G930" s="430"/>
      <c r="H930" s="480"/>
      <c r="I930" s="480"/>
      <c r="J930" s="430"/>
      <c r="K930" s="480"/>
      <c r="L930" s="430"/>
      <c r="M930" s="480"/>
      <c r="N930" s="430"/>
      <c r="O930" s="480"/>
      <c r="P930" s="430"/>
      <c r="Q930" s="480"/>
    </row>
    <row r="931" ht="15.75" customHeight="1">
      <c r="A931" s="430"/>
      <c r="B931" s="480"/>
      <c r="C931" s="480"/>
      <c r="D931" s="430"/>
      <c r="E931" s="480"/>
      <c r="F931" s="480"/>
      <c r="G931" s="430"/>
      <c r="H931" s="480"/>
      <c r="I931" s="480"/>
      <c r="J931" s="430"/>
      <c r="K931" s="480"/>
      <c r="L931" s="430"/>
      <c r="M931" s="480"/>
      <c r="N931" s="430"/>
      <c r="O931" s="480"/>
      <c r="P931" s="430"/>
      <c r="Q931" s="480"/>
    </row>
    <row r="932" ht="15.75" customHeight="1">
      <c r="A932" s="430"/>
      <c r="B932" s="480"/>
      <c r="C932" s="480"/>
      <c r="D932" s="430"/>
      <c r="E932" s="480"/>
      <c r="F932" s="480"/>
      <c r="G932" s="430"/>
      <c r="H932" s="480"/>
      <c r="I932" s="480"/>
      <c r="J932" s="430"/>
      <c r="K932" s="480"/>
      <c r="L932" s="430"/>
      <c r="M932" s="480"/>
      <c r="N932" s="430"/>
      <c r="O932" s="480"/>
      <c r="P932" s="430"/>
      <c r="Q932" s="480"/>
    </row>
    <row r="933" ht="15.75" customHeight="1">
      <c r="A933" s="430"/>
      <c r="B933" s="480"/>
      <c r="C933" s="480"/>
      <c r="D933" s="430"/>
      <c r="E933" s="480"/>
      <c r="F933" s="480"/>
      <c r="G933" s="430"/>
      <c r="H933" s="480"/>
      <c r="I933" s="480"/>
      <c r="J933" s="430"/>
      <c r="K933" s="480"/>
      <c r="L933" s="430"/>
      <c r="M933" s="480"/>
      <c r="N933" s="430"/>
      <c r="O933" s="480"/>
      <c r="P933" s="430"/>
      <c r="Q933" s="480"/>
    </row>
    <row r="934" ht="15.75" customHeight="1">
      <c r="A934" s="430"/>
      <c r="B934" s="480"/>
      <c r="C934" s="480"/>
      <c r="D934" s="430"/>
      <c r="E934" s="480"/>
      <c r="F934" s="480"/>
      <c r="G934" s="430"/>
      <c r="H934" s="480"/>
      <c r="I934" s="480"/>
      <c r="J934" s="430"/>
      <c r="K934" s="480"/>
      <c r="L934" s="430"/>
      <c r="M934" s="480"/>
      <c r="N934" s="430"/>
      <c r="O934" s="480"/>
      <c r="P934" s="430"/>
      <c r="Q934" s="480"/>
    </row>
    <row r="935" ht="15.75" customHeight="1">
      <c r="A935" s="430"/>
      <c r="B935" s="480"/>
      <c r="C935" s="480"/>
      <c r="D935" s="430"/>
      <c r="E935" s="480"/>
      <c r="F935" s="480"/>
      <c r="G935" s="430"/>
      <c r="H935" s="480"/>
      <c r="I935" s="480"/>
      <c r="J935" s="430"/>
      <c r="K935" s="480"/>
      <c r="L935" s="430"/>
      <c r="M935" s="480"/>
      <c r="N935" s="430"/>
      <c r="O935" s="480"/>
      <c r="P935" s="430"/>
      <c r="Q935" s="480"/>
    </row>
    <row r="936" ht="15.75" customHeight="1">
      <c r="A936" s="430"/>
      <c r="B936" s="480"/>
      <c r="C936" s="480"/>
      <c r="D936" s="430"/>
      <c r="E936" s="480"/>
      <c r="F936" s="480"/>
      <c r="G936" s="430"/>
      <c r="H936" s="480"/>
      <c r="I936" s="480"/>
      <c r="J936" s="430"/>
      <c r="K936" s="480"/>
      <c r="L936" s="430"/>
      <c r="M936" s="480"/>
      <c r="N936" s="430"/>
      <c r="O936" s="480"/>
      <c r="P936" s="430"/>
      <c r="Q936" s="480"/>
    </row>
    <row r="937" ht="15.75" customHeight="1">
      <c r="A937" s="430"/>
      <c r="B937" s="480"/>
      <c r="C937" s="480"/>
      <c r="D937" s="430"/>
      <c r="E937" s="480"/>
      <c r="F937" s="480"/>
      <c r="G937" s="430"/>
      <c r="H937" s="480"/>
      <c r="I937" s="480"/>
      <c r="J937" s="430"/>
      <c r="K937" s="480"/>
      <c r="L937" s="430"/>
      <c r="M937" s="480"/>
      <c r="N937" s="430"/>
      <c r="O937" s="480"/>
      <c r="P937" s="430"/>
      <c r="Q937" s="480"/>
    </row>
    <row r="938" ht="15.75" customHeight="1">
      <c r="A938" s="430"/>
      <c r="B938" s="480"/>
      <c r="C938" s="480"/>
      <c r="D938" s="430"/>
      <c r="E938" s="480"/>
      <c r="F938" s="480"/>
      <c r="G938" s="430"/>
      <c r="H938" s="480"/>
      <c r="I938" s="480"/>
      <c r="J938" s="430"/>
      <c r="K938" s="480"/>
      <c r="L938" s="430"/>
      <c r="M938" s="480"/>
      <c r="N938" s="430"/>
      <c r="O938" s="480"/>
      <c r="P938" s="430"/>
      <c r="Q938" s="480"/>
    </row>
    <row r="939" ht="15.75" customHeight="1">
      <c r="A939" s="430"/>
      <c r="B939" s="480"/>
      <c r="C939" s="480"/>
      <c r="D939" s="430"/>
      <c r="E939" s="480"/>
      <c r="F939" s="480"/>
      <c r="G939" s="430"/>
      <c r="H939" s="480"/>
      <c r="I939" s="480"/>
      <c r="J939" s="430"/>
      <c r="K939" s="480"/>
      <c r="L939" s="430"/>
      <c r="M939" s="480"/>
      <c r="N939" s="430"/>
      <c r="O939" s="480"/>
      <c r="P939" s="430"/>
      <c r="Q939" s="480"/>
    </row>
    <row r="940" ht="15.75" customHeight="1">
      <c r="A940" s="430"/>
      <c r="B940" s="480"/>
      <c r="C940" s="480"/>
      <c r="D940" s="430"/>
      <c r="E940" s="480"/>
      <c r="F940" s="480"/>
      <c r="G940" s="430"/>
      <c r="H940" s="480"/>
      <c r="I940" s="480"/>
      <c r="J940" s="430"/>
      <c r="K940" s="480"/>
      <c r="L940" s="430"/>
      <c r="M940" s="480"/>
      <c r="N940" s="430"/>
      <c r="O940" s="480"/>
      <c r="P940" s="430"/>
      <c r="Q940" s="480"/>
    </row>
    <row r="941" ht="15.75" customHeight="1">
      <c r="A941" s="430"/>
      <c r="B941" s="480"/>
      <c r="C941" s="480"/>
      <c r="D941" s="430"/>
      <c r="E941" s="480"/>
      <c r="F941" s="480"/>
      <c r="G941" s="430"/>
      <c r="H941" s="480"/>
      <c r="I941" s="480"/>
      <c r="J941" s="430"/>
      <c r="K941" s="480"/>
      <c r="L941" s="430"/>
      <c r="M941" s="480"/>
      <c r="N941" s="430"/>
      <c r="O941" s="480"/>
      <c r="P941" s="430"/>
      <c r="Q941" s="480"/>
    </row>
    <row r="942" ht="15.75" customHeight="1">
      <c r="A942" s="430"/>
      <c r="B942" s="480"/>
      <c r="C942" s="480"/>
      <c r="D942" s="430"/>
      <c r="E942" s="480"/>
      <c r="F942" s="480"/>
      <c r="G942" s="430"/>
      <c r="H942" s="480"/>
      <c r="I942" s="480"/>
      <c r="J942" s="430"/>
      <c r="K942" s="480"/>
      <c r="L942" s="430"/>
      <c r="M942" s="480"/>
      <c r="N942" s="430"/>
      <c r="O942" s="480"/>
      <c r="P942" s="430"/>
      <c r="Q942" s="480"/>
    </row>
    <row r="943" ht="15.75" customHeight="1">
      <c r="A943" s="430"/>
      <c r="B943" s="480"/>
      <c r="C943" s="480"/>
      <c r="D943" s="430"/>
      <c r="E943" s="480"/>
      <c r="F943" s="480"/>
      <c r="G943" s="430"/>
      <c r="H943" s="480"/>
      <c r="I943" s="480"/>
      <c r="J943" s="430"/>
      <c r="K943" s="480"/>
      <c r="L943" s="430"/>
      <c r="M943" s="480"/>
      <c r="N943" s="430"/>
      <c r="O943" s="480"/>
      <c r="P943" s="430"/>
      <c r="Q943" s="480"/>
    </row>
    <row r="944" ht="15.75" customHeight="1">
      <c r="A944" s="430"/>
      <c r="B944" s="480"/>
      <c r="C944" s="480"/>
      <c r="D944" s="430"/>
      <c r="E944" s="480"/>
      <c r="F944" s="480"/>
      <c r="G944" s="430"/>
      <c r="H944" s="480"/>
      <c r="I944" s="480"/>
      <c r="J944" s="430"/>
      <c r="K944" s="480"/>
      <c r="L944" s="430"/>
      <c r="M944" s="480"/>
      <c r="N944" s="430"/>
      <c r="O944" s="480"/>
      <c r="P944" s="430"/>
      <c r="Q944" s="480"/>
    </row>
    <row r="945" ht="15.75" customHeight="1">
      <c r="A945" s="430"/>
      <c r="B945" s="480"/>
      <c r="C945" s="480"/>
      <c r="D945" s="430"/>
      <c r="E945" s="480"/>
      <c r="F945" s="480"/>
      <c r="G945" s="430"/>
      <c r="H945" s="480"/>
      <c r="I945" s="480"/>
      <c r="J945" s="430"/>
      <c r="K945" s="480"/>
      <c r="L945" s="430"/>
      <c r="M945" s="480"/>
      <c r="N945" s="430"/>
      <c r="O945" s="480"/>
      <c r="P945" s="430"/>
      <c r="Q945" s="480"/>
    </row>
    <row r="946" ht="15.75" customHeight="1">
      <c r="A946" s="430"/>
      <c r="B946" s="480"/>
      <c r="C946" s="480"/>
      <c r="D946" s="430"/>
      <c r="E946" s="480"/>
      <c r="F946" s="480"/>
      <c r="G946" s="430"/>
      <c r="H946" s="480"/>
      <c r="I946" s="480"/>
      <c r="J946" s="430"/>
      <c r="K946" s="480"/>
      <c r="L946" s="430"/>
      <c r="M946" s="480"/>
      <c r="N946" s="430"/>
      <c r="O946" s="480"/>
      <c r="P946" s="430"/>
      <c r="Q946" s="480"/>
    </row>
    <row r="947" ht="15.75" customHeight="1">
      <c r="A947" s="430"/>
      <c r="B947" s="480"/>
      <c r="C947" s="480"/>
      <c r="D947" s="430"/>
      <c r="E947" s="480"/>
      <c r="F947" s="480"/>
      <c r="G947" s="430"/>
      <c r="H947" s="480"/>
      <c r="I947" s="480"/>
      <c r="J947" s="430"/>
      <c r="K947" s="480"/>
      <c r="L947" s="430"/>
      <c r="M947" s="480"/>
      <c r="N947" s="430"/>
      <c r="O947" s="480"/>
      <c r="P947" s="430"/>
      <c r="Q947" s="480"/>
    </row>
    <row r="948" ht="15.75" customHeight="1">
      <c r="A948" s="430"/>
      <c r="B948" s="480"/>
      <c r="C948" s="480"/>
      <c r="D948" s="430"/>
      <c r="E948" s="480"/>
      <c r="F948" s="480"/>
      <c r="G948" s="430"/>
      <c r="H948" s="480"/>
      <c r="I948" s="480"/>
      <c r="J948" s="430"/>
      <c r="K948" s="480"/>
      <c r="L948" s="430"/>
      <c r="M948" s="480"/>
      <c r="N948" s="430"/>
      <c r="O948" s="480"/>
      <c r="P948" s="430"/>
      <c r="Q948" s="480"/>
    </row>
    <row r="949" ht="15.75" customHeight="1">
      <c r="A949" s="430"/>
      <c r="B949" s="480"/>
      <c r="C949" s="480"/>
      <c r="D949" s="430"/>
      <c r="E949" s="480"/>
      <c r="F949" s="480"/>
      <c r="G949" s="430"/>
      <c r="H949" s="480"/>
      <c r="I949" s="480"/>
      <c r="J949" s="430"/>
      <c r="K949" s="480"/>
      <c r="L949" s="430"/>
      <c r="M949" s="480"/>
      <c r="N949" s="430"/>
      <c r="O949" s="480"/>
      <c r="P949" s="430"/>
      <c r="Q949" s="480"/>
    </row>
    <row r="950" ht="15.75" customHeight="1">
      <c r="A950" s="430"/>
      <c r="B950" s="480"/>
      <c r="C950" s="480"/>
      <c r="D950" s="430"/>
      <c r="E950" s="480"/>
      <c r="F950" s="480"/>
      <c r="G950" s="430"/>
      <c r="H950" s="480"/>
      <c r="I950" s="480"/>
      <c r="J950" s="430"/>
      <c r="K950" s="480"/>
      <c r="L950" s="430"/>
      <c r="M950" s="480"/>
      <c r="N950" s="430"/>
      <c r="O950" s="480"/>
      <c r="P950" s="430"/>
      <c r="Q950" s="480"/>
    </row>
    <row r="951" ht="15.75" customHeight="1">
      <c r="A951" s="430"/>
      <c r="B951" s="480"/>
      <c r="C951" s="480"/>
      <c r="D951" s="430"/>
      <c r="E951" s="480"/>
      <c r="F951" s="480"/>
      <c r="G951" s="430"/>
      <c r="H951" s="480"/>
      <c r="I951" s="480"/>
      <c r="J951" s="430"/>
      <c r="K951" s="480"/>
      <c r="L951" s="430"/>
      <c r="M951" s="480"/>
      <c r="N951" s="430"/>
      <c r="O951" s="480"/>
      <c r="P951" s="430"/>
      <c r="Q951" s="480"/>
    </row>
    <row r="952" ht="15.75" customHeight="1">
      <c r="A952" s="430"/>
      <c r="B952" s="480"/>
      <c r="C952" s="480"/>
      <c r="D952" s="430"/>
      <c r="E952" s="480"/>
      <c r="F952" s="480"/>
      <c r="G952" s="430"/>
      <c r="H952" s="480"/>
      <c r="I952" s="480"/>
      <c r="J952" s="430"/>
      <c r="K952" s="480"/>
      <c r="L952" s="430"/>
      <c r="M952" s="480"/>
      <c r="N952" s="430"/>
      <c r="O952" s="480"/>
      <c r="P952" s="430"/>
      <c r="Q952" s="480"/>
    </row>
    <row r="953" ht="15.75" customHeight="1">
      <c r="A953" s="430"/>
      <c r="B953" s="480"/>
      <c r="C953" s="480"/>
      <c r="D953" s="430"/>
      <c r="E953" s="480"/>
      <c r="F953" s="480"/>
      <c r="G953" s="430"/>
      <c r="H953" s="480"/>
      <c r="I953" s="480"/>
      <c r="J953" s="430"/>
      <c r="K953" s="480"/>
      <c r="L953" s="430"/>
      <c r="M953" s="480"/>
      <c r="N953" s="430"/>
      <c r="O953" s="480"/>
      <c r="P953" s="430"/>
      <c r="Q953" s="480"/>
    </row>
    <row r="954" ht="15.75" customHeight="1">
      <c r="A954" s="430"/>
      <c r="B954" s="480"/>
      <c r="C954" s="480"/>
      <c r="D954" s="430"/>
      <c r="E954" s="480"/>
      <c r="F954" s="480"/>
      <c r="G954" s="430"/>
      <c r="H954" s="480"/>
      <c r="I954" s="480"/>
      <c r="J954" s="430"/>
      <c r="K954" s="480"/>
      <c r="L954" s="430"/>
      <c r="M954" s="480"/>
      <c r="N954" s="430"/>
      <c r="O954" s="480"/>
      <c r="P954" s="430"/>
      <c r="Q954" s="480"/>
    </row>
    <row r="955" ht="15.75" customHeight="1">
      <c r="A955" s="430"/>
      <c r="B955" s="480"/>
      <c r="C955" s="480"/>
      <c r="D955" s="430"/>
      <c r="E955" s="480"/>
      <c r="F955" s="480"/>
      <c r="G955" s="430"/>
      <c r="H955" s="480"/>
      <c r="I955" s="480"/>
      <c r="J955" s="430"/>
      <c r="K955" s="480"/>
      <c r="L955" s="430"/>
      <c r="M955" s="480"/>
      <c r="N955" s="430"/>
      <c r="O955" s="480"/>
      <c r="P955" s="430"/>
      <c r="Q955" s="480"/>
    </row>
    <row r="956" ht="15.75" customHeight="1">
      <c r="A956" s="430"/>
      <c r="B956" s="480"/>
      <c r="C956" s="480"/>
      <c r="D956" s="430"/>
      <c r="E956" s="480"/>
      <c r="F956" s="480"/>
      <c r="G956" s="430"/>
      <c r="H956" s="480"/>
      <c r="I956" s="480"/>
      <c r="J956" s="430"/>
      <c r="K956" s="480"/>
      <c r="L956" s="430"/>
      <c r="M956" s="480"/>
      <c r="N956" s="430"/>
      <c r="O956" s="480"/>
      <c r="P956" s="430"/>
      <c r="Q956" s="480"/>
    </row>
    <row r="957" ht="15.75" customHeight="1">
      <c r="A957" s="430"/>
      <c r="B957" s="480"/>
      <c r="C957" s="480"/>
      <c r="D957" s="430"/>
      <c r="E957" s="480"/>
      <c r="F957" s="480"/>
      <c r="G957" s="430"/>
      <c r="H957" s="480"/>
      <c r="I957" s="480"/>
      <c r="J957" s="430"/>
      <c r="K957" s="480"/>
      <c r="L957" s="430"/>
      <c r="M957" s="480"/>
      <c r="N957" s="430"/>
      <c r="O957" s="480"/>
      <c r="P957" s="430"/>
      <c r="Q957" s="480"/>
    </row>
    <row r="958" ht="15.75" customHeight="1">
      <c r="A958" s="430"/>
      <c r="B958" s="480"/>
      <c r="C958" s="480"/>
      <c r="D958" s="430"/>
      <c r="E958" s="480"/>
      <c r="F958" s="480"/>
      <c r="G958" s="430"/>
      <c r="H958" s="480"/>
      <c r="I958" s="480"/>
      <c r="J958" s="430"/>
      <c r="K958" s="480"/>
      <c r="L958" s="430"/>
      <c r="M958" s="480"/>
      <c r="N958" s="430"/>
      <c r="O958" s="480"/>
      <c r="P958" s="430"/>
      <c r="Q958" s="480"/>
    </row>
    <row r="959" ht="15.75" customHeight="1">
      <c r="A959" s="430"/>
      <c r="B959" s="480"/>
      <c r="C959" s="480"/>
      <c r="D959" s="430"/>
      <c r="E959" s="480"/>
      <c r="F959" s="480"/>
      <c r="G959" s="430"/>
      <c r="H959" s="480"/>
      <c r="I959" s="480"/>
      <c r="J959" s="430"/>
      <c r="K959" s="480"/>
      <c r="L959" s="430"/>
      <c r="M959" s="480"/>
      <c r="N959" s="430"/>
      <c r="O959" s="480"/>
      <c r="P959" s="430"/>
      <c r="Q959" s="480"/>
    </row>
    <row r="960" ht="15.75" customHeight="1">
      <c r="A960" s="430"/>
      <c r="B960" s="480"/>
      <c r="C960" s="480"/>
      <c r="D960" s="430"/>
      <c r="E960" s="480"/>
      <c r="F960" s="480"/>
      <c r="G960" s="430"/>
      <c r="H960" s="480"/>
      <c r="I960" s="480"/>
      <c r="J960" s="430"/>
      <c r="K960" s="480"/>
      <c r="L960" s="430"/>
      <c r="M960" s="480"/>
      <c r="N960" s="430"/>
      <c r="O960" s="480"/>
      <c r="P960" s="430"/>
      <c r="Q960" s="480"/>
    </row>
    <row r="961" ht="15.75" customHeight="1">
      <c r="A961" s="430"/>
      <c r="B961" s="480"/>
      <c r="C961" s="480"/>
      <c r="D961" s="430"/>
      <c r="E961" s="480"/>
      <c r="F961" s="480"/>
      <c r="G961" s="430"/>
      <c r="H961" s="480"/>
      <c r="I961" s="480"/>
      <c r="J961" s="430"/>
      <c r="K961" s="480"/>
      <c r="L961" s="430"/>
      <c r="M961" s="480"/>
      <c r="N961" s="430"/>
      <c r="O961" s="480"/>
      <c r="P961" s="430"/>
      <c r="Q961" s="480"/>
    </row>
    <row r="962" ht="15.75" customHeight="1">
      <c r="A962" s="430"/>
      <c r="B962" s="480"/>
      <c r="C962" s="480"/>
      <c r="D962" s="430"/>
      <c r="E962" s="480"/>
      <c r="F962" s="480"/>
      <c r="G962" s="430"/>
      <c r="H962" s="480"/>
      <c r="I962" s="480"/>
      <c r="J962" s="430"/>
      <c r="K962" s="480"/>
      <c r="L962" s="430"/>
      <c r="M962" s="480"/>
      <c r="N962" s="430"/>
      <c r="O962" s="480"/>
      <c r="P962" s="430"/>
      <c r="Q962" s="480"/>
    </row>
    <row r="963" ht="15.75" customHeight="1">
      <c r="A963" s="430"/>
      <c r="B963" s="480"/>
      <c r="C963" s="480"/>
      <c r="D963" s="430"/>
      <c r="E963" s="480"/>
      <c r="F963" s="480"/>
      <c r="G963" s="430"/>
      <c r="H963" s="480"/>
      <c r="I963" s="480"/>
      <c r="J963" s="430"/>
      <c r="K963" s="480"/>
      <c r="L963" s="430"/>
      <c r="M963" s="480"/>
      <c r="N963" s="430"/>
      <c r="O963" s="480"/>
      <c r="P963" s="430"/>
      <c r="Q963" s="480"/>
    </row>
    <row r="964" ht="15.75" customHeight="1">
      <c r="A964" s="430"/>
      <c r="B964" s="480"/>
      <c r="C964" s="480"/>
      <c r="D964" s="430"/>
      <c r="E964" s="480"/>
      <c r="F964" s="480"/>
      <c r="G964" s="430"/>
      <c r="H964" s="480"/>
      <c r="I964" s="480"/>
      <c r="J964" s="430"/>
      <c r="K964" s="480"/>
      <c r="L964" s="430"/>
      <c r="M964" s="480"/>
      <c r="N964" s="430"/>
      <c r="O964" s="480"/>
      <c r="P964" s="430"/>
      <c r="Q964" s="480"/>
    </row>
    <row r="965" ht="15.75" customHeight="1">
      <c r="A965" s="430"/>
      <c r="B965" s="480"/>
      <c r="C965" s="480"/>
      <c r="D965" s="430"/>
      <c r="E965" s="480"/>
      <c r="F965" s="480"/>
      <c r="G965" s="430"/>
      <c r="H965" s="480"/>
      <c r="I965" s="480"/>
      <c r="J965" s="430"/>
      <c r="K965" s="480"/>
      <c r="L965" s="430"/>
      <c r="M965" s="480"/>
      <c r="N965" s="430"/>
      <c r="O965" s="480"/>
      <c r="P965" s="430"/>
      <c r="Q965" s="480"/>
    </row>
    <row r="966" ht="15.75" customHeight="1">
      <c r="A966" s="430"/>
      <c r="B966" s="480"/>
      <c r="C966" s="480"/>
      <c r="D966" s="430"/>
      <c r="E966" s="480"/>
      <c r="F966" s="480"/>
      <c r="G966" s="430"/>
      <c r="H966" s="480"/>
      <c r="I966" s="480"/>
      <c r="J966" s="430"/>
      <c r="K966" s="480"/>
      <c r="L966" s="430"/>
      <c r="M966" s="480"/>
      <c r="N966" s="430"/>
      <c r="O966" s="480"/>
      <c r="P966" s="430"/>
      <c r="Q966" s="480"/>
    </row>
    <row r="967" ht="15.75" customHeight="1">
      <c r="A967" s="430"/>
      <c r="B967" s="480"/>
      <c r="C967" s="480"/>
      <c r="D967" s="430"/>
      <c r="E967" s="480"/>
      <c r="F967" s="480"/>
      <c r="G967" s="430"/>
      <c r="H967" s="480"/>
      <c r="I967" s="480"/>
      <c r="J967" s="430"/>
      <c r="K967" s="480"/>
      <c r="L967" s="430"/>
      <c r="M967" s="480"/>
      <c r="N967" s="430"/>
      <c r="O967" s="480"/>
      <c r="P967" s="430"/>
      <c r="Q967" s="480"/>
    </row>
    <row r="968" ht="15.75" customHeight="1">
      <c r="A968" s="430"/>
      <c r="B968" s="480"/>
      <c r="C968" s="480"/>
      <c r="D968" s="430"/>
      <c r="E968" s="480"/>
      <c r="F968" s="480"/>
      <c r="G968" s="430"/>
      <c r="H968" s="480"/>
      <c r="I968" s="480"/>
      <c r="J968" s="430"/>
      <c r="K968" s="480"/>
      <c r="L968" s="430"/>
      <c r="M968" s="480"/>
      <c r="N968" s="430"/>
      <c r="O968" s="480"/>
      <c r="P968" s="430"/>
      <c r="Q968" s="480"/>
    </row>
    <row r="969" ht="15.75" customHeight="1">
      <c r="A969" s="430"/>
      <c r="B969" s="480"/>
      <c r="C969" s="480"/>
      <c r="D969" s="430"/>
      <c r="E969" s="480"/>
      <c r="F969" s="480"/>
      <c r="G969" s="430"/>
      <c r="H969" s="480"/>
      <c r="I969" s="480"/>
      <c r="J969" s="430"/>
      <c r="K969" s="480"/>
      <c r="L969" s="430"/>
      <c r="M969" s="480"/>
      <c r="N969" s="430"/>
      <c r="O969" s="480"/>
      <c r="P969" s="430"/>
      <c r="Q969" s="480"/>
    </row>
    <row r="970" ht="15.75" customHeight="1">
      <c r="A970" s="430"/>
      <c r="B970" s="480"/>
      <c r="C970" s="480"/>
      <c r="D970" s="430"/>
      <c r="E970" s="480"/>
      <c r="F970" s="480"/>
      <c r="G970" s="430"/>
      <c r="H970" s="480"/>
      <c r="I970" s="480"/>
      <c r="J970" s="430"/>
      <c r="K970" s="480"/>
      <c r="L970" s="430"/>
      <c r="M970" s="480"/>
      <c r="N970" s="430"/>
      <c r="O970" s="480"/>
      <c r="P970" s="430"/>
      <c r="Q970" s="480"/>
    </row>
    <row r="971" ht="15.75" customHeight="1">
      <c r="A971" s="430"/>
      <c r="B971" s="480"/>
      <c r="C971" s="480"/>
      <c r="D971" s="430"/>
      <c r="E971" s="480"/>
      <c r="F971" s="480"/>
      <c r="G971" s="430"/>
      <c r="H971" s="480"/>
      <c r="I971" s="480"/>
      <c r="J971" s="430"/>
      <c r="K971" s="480"/>
      <c r="L971" s="430"/>
      <c r="M971" s="480"/>
      <c r="N971" s="430"/>
      <c r="O971" s="480"/>
      <c r="P971" s="430"/>
      <c r="Q971" s="480"/>
    </row>
    <row r="972" ht="15.75" customHeight="1">
      <c r="A972" s="430"/>
      <c r="B972" s="480"/>
      <c r="C972" s="480"/>
      <c r="D972" s="430"/>
      <c r="E972" s="480"/>
      <c r="F972" s="480"/>
      <c r="G972" s="430"/>
      <c r="H972" s="480"/>
      <c r="I972" s="480"/>
      <c r="J972" s="430"/>
      <c r="K972" s="480"/>
      <c r="L972" s="430"/>
      <c r="M972" s="480"/>
      <c r="N972" s="430"/>
      <c r="O972" s="480"/>
      <c r="P972" s="430"/>
      <c r="Q972" s="480"/>
    </row>
    <row r="973" ht="15.75" customHeight="1">
      <c r="A973" s="430"/>
      <c r="B973" s="480"/>
      <c r="C973" s="480"/>
      <c r="D973" s="430"/>
      <c r="E973" s="480"/>
      <c r="F973" s="480"/>
      <c r="G973" s="430"/>
      <c r="H973" s="480"/>
      <c r="I973" s="480"/>
      <c r="J973" s="430"/>
      <c r="K973" s="480"/>
      <c r="L973" s="430"/>
      <c r="M973" s="480"/>
      <c r="N973" s="430"/>
      <c r="O973" s="480"/>
      <c r="P973" s="430"/>
      <c r="Q973" s="480"/>
    </row>
    <row r="974" ht="15.75" customHeight="1">
      <c r="A974" s="430"/>
      <c r="B974" s="480"/>
      <c r="C974" s="480"/>
      <c r="D974" s="430"/>
      <c r="E974" s="480"/>
      <c r="F974" s="480"/>
      <c r="G974" s="430"/>
      <c r="H974" s="480"/>
      <c r="I974" s="480"/>
      <c r="J974" s="430"/>
      <c r="K974" s="480"/>
      <c r="L974" s="430"/>
      <c r="M974" s="480"/>
      <c r="N974" s="430"/>
      <c r="O974" s="480"/>
      <c r="P974" s="430"/>
      <c r="Q974" s="480"/>
    </row>
    <row r="975" ht="15.75" customHeight="1">
      <c r="A975" s="430"/>
      <c r="B975" s="480"/>
      <c r="C975" s="480"/>
      <c r="D975" s="430"/>
      <c r="E975" s="480"/>
      <c r="F975" s="480"/>
      <c r="G975" s="430"/>
      <c r="H975" s="480"/>
      <c r="I975" s="480"/>
      <c r="J975" s="430"/>
      <c r="K975" s="480"/>
      <c r="L975" s="430"/>
      <c r="M975" s="480"/>
      <c r="N975" s="430"/>
      <c r="O975" s="480"/>
      <c r="P975" s="430"/>
      <c r="Q975" s="480"/>
    </row>
    <row r="976" ht="15.75" customHeight="1">
      <c r="A976" s="430"/>
      <c r="B976" s="480"/>
      <c r="C976" s="480"/>
      <c r="D976" s="430"/>
      <c r="E976" s="480"/>
      <c r="F976" s="480"/>
      <c r="G976" s="430"/>
      <c r="H976" s="480"/>
      <c r="I976" s="480"/>
      <c r="J976" s="430"/>
      <c r="K976" s="480"/>
      <c r="L976" s="430"/>
      <c r="M976" s="480"/>
      <c r="N976" s="430"/>
      <c r="O976" s="480"/>
      <c r="P976" s="430"/>
      <c r="Q976" s="480"/>
    </row>
    <row r="977" ht="15.75" customHeight="1">
      <c r="A977" s="430"/>
      <c r="B977" s="480"/>
      <c r="C977" s="480"/>
      <c r="D977" s="430"/>
      <c r="E977" s="480"/>
      <c r="F977" s="480"/>
      <c r="G977" s="430"/>
      <c r="H977" s="480"/>
      <c r="I977" s="480"/>
      <c r="J977" s="430"/>
      <c r="K977" s="480"/>
      <c r="L977" s="430"/>
      <c r="M977" s="480"/>
      <c r="N977" s="430"/>
      <c r="O977" s="480"/>
      <c r="P977" s="430"/>
      <c r="Q977" s="480"/>
    </row>
    <row r="978" ht="15.75" customHeight="1">
      <c r="A978" s="430"/>
      <c r="B978" s="480"/>
      <c r="C978" s="480"/>
      <c r="D978" s="430"/>
      <c r="E978" s="480"/>
      <c r="F978" s="480"/>
      <c r="G978" s="430"/>
      <c r="H978" s="480"/>
      <c r="I978" s="480"/>
      <c r="J978" s="430"/>
      <c r="K978" s="480"/>
      <c r="L978" s="430"/>
      <c r="M978" s="480"/>
      <c r="N978" s="430"/>
      <c r="O978" s="480"/>
      <c r="P978" s="430"/>
      <c r="Q978" s="480"/>
    </row>
    <row r="979" ht="15.75" customHeight="1">
      <c r="A979" s="430"/>
      <c r="B979" s="480"/>
      <c r="C979" s="480"/>
      <c r="D979" s="430"/>
      <c r="E979" s="480"/>
      <c r="F979" s="480"/>
      <c r="G979" s="430"/>
      <c r="H979" s="480"/>
      <c r="I979" s="480"/>
      <c r="J979" s="430"/>
      <c r="K979" s="480"/>
      <c r="L979" s="430"/>
      <c r="M979" s="480"/>
      <c r="N979" s="430"/>
      <c r="O979" s="480"/>
      <c r="P979" s="430"/>
      <c r="Q979" s="480"/>
    </row>
    <row r="980" ht="15.75" customHeight="1">
      <c r="A980" s="430"/>
      <c r="B980" s="480"/>
      <c r="C980" s="480"/>
      <c r="D980" s="430"/>
      <c r="E980" s="480"/>
      <c r="F980" s="480"/>
      <c r="G980" s="430"/>
      <c r="H980" s="480"/>
      <c r="I980" s="480"/>
      <c r="J980" s="430"/>
      <c r="K980" s="480"/>
      <c r="L980" s="430"/>
      <c r="M980" s="480"/>
      <c r="N980" s="430"/>
      <c r="O980" s="480"/>
      <c r="P980" s="430"/>
      <c r="Q980" s="480"/>
    </row>
    <row r="981" ht="15.75" customHeight="1">
      <c r="A981" s="430"/>
      <c r="B981" s="480"/>
      <c r="C981" s="480"/>
      <c r="D981" s="430"/>
      <c r="E981" s="480"/>
      <c r="F981" s="480"/>
      <c r="G981" s="430"/>
      <c r="H981" s="480"/>
      <c r="I981" s="480"/>
      <c r="J981" s="430"/>
      <c r="K981" s="480"/>
      <c r="L981" s="430"/>
      <c r="M981" s="480"/>
      <c r="N981" s="430"/>
      <c r="O981" s="480"/>
      <c r="P981" s="430"/>
      <c r="Q981" s="480"/>
    </row>
    <row r="982" ht="15.75" customHeight="1">
      <c r="A982" s="430"/>
      <c r="B982" s="480"/>
      <c r="C982" s="480"/>
      <c r="D982" s="430"/>
      <c r="E982" s="480"/>
      <c r="F982" s="480"/>
      <c r="G982" s="430"/>
      <c r="H982" s="480"/>
      <c r="I982" s="480"/>
      <c r="J982" s="430"/>
      <c r="K982" s="480"/>
      <c r="L982" s="430"/>
      <c r="M982" s="480"/>
      <c r="N982" s="430"/>
      <c r="O982" s="480"/>
      <c r="P982" s="430"/>
      <c r="Q982" s="480"/>
    </row>
    <row r="983" ht="15.75" customHeight="1">
      <c r="A983" s="430"/>
      <c r="B983" s="480"/>
      <c r="C983" s="480"/>
      <c r="D983" s="430"/>
      <c r="E983" s="480"/>
      <c r="F983" s="480"/>
      <c r="G983" s="430"/>
      <c r="H983" s="480"/>
      <c r="I983" s="480"/>
      <c r="J983" s="430"/>
      <c r="K983" s="480"/>
      <c r="L983" s="430"/>
      <c r="M983" s="480"/>
      <c r="N983" s="430"/>
      <c r="O983" s="480"/>
      <c r="P983" s="430"/>
      <c r="Q983" s="480"/>
    </row>
    <row r="984" ht="15.75" customHeight="1">
      <c r="A984" s="430"/>
      <c r="B984" s="480"/>
      <c r="C984" s="480"/>
      <c r="D984" s="430"/>
      <c r="E984" s="480"/>
      <c r="F984" s="480"/>
      <c r="G984" s="430"/>
      <c r="H984" s="480"/>
      <c r="I984" s="480"/>
      <c r="J984" s="430"/>
      <c r="K984" s="480"/>
      <c r="L984" s="430"/>
      <c r="M984" s="480"/>
      <c r="N984" s="430"/>
      <c r="O984" s="480"/>
      <c r="P984" s="430"/>
      <c r="Q984" s="480"/>
    </row>
    <row r="985" ht="15.75" customHeight="1">
      <c r="A985" s="430"/>
      <c r="B985" s="480"/>
      <c r="C985" s="480"/>
      <c r="D985" s="430"/>
      <c r="E985" s="480"/>
      <c r="F985" s="480"/>
      <c r="G985" s="430"/>
      <c r="H985" s="480"/>
      <c r="I985" s="480"/>
      <c r="J985" s="430"/>
      <c r="K985" s="480"/>
      <c r="L985" s="430"/>
      <c r="M985" s="480"/>
      <c r="N985" s="430"/>
      <c r="O985" s="480"/>
      <c r="P985" s="430"/>
      <c r="Q985" s="480"/>
    </row>
    <row r="986" ht="15.75" customHeight="1">
      <c r="A986" s="430"/>
      <c r="B986" s="480"/>
      <c r="C986" s="480"/>
      <c r="D986" s="430"/>
      <c r="E986" s="480"/>
      <c r="F986" s="480"/>
      <c r="G986" s="430"/>
      <c r="H986" s="480"/>
      <c r="I986" s="480"/>
      <c r="J986" s="430"/>
      <c r="K986" s="480"/>
      <c r="L986" s="430"/>
      <c r="M986" s="480"/>
      <c r="N986" s="430"/>
      <c r="O986" s="480"/>
      <c r="P986" s="430"/>
      <c r="Q986" s="480"/>
    </row>
    <row r="987" ht="15.75" customHeight="1">
      <c r="A987" s="430"/>
      <c r="B987" s="480"/>
      <c r="C987" s="480"/>
      <c r="D987" s="430"/>
      <c r="E987" s="480"/>
      <c r="F987" s="480"/>
      <c r="G987" s="430"/>
      <c r="H987" s="480"/>
      <c r="I987" s="480"/>
      <c r="J987" s="430"/>
      <c r="K987" s="480"/>
      <c r="L987" s="430"/>
      <c r="M987" s="480"/>
      <c r="N987" s="430"/>
      <c r="O987" s="480"/>
      <c r="P987" s="430"/>
      <c r="Q987" s="480"/>
    </row>
    <row r="988" ht="15.75" customHeight="1">
      <c r="A988" s="430"/>
      <c r="B988" s="480"/>
      <c r="C988" s="480"/>
      <c r="D988" s="430"/>
      <c r="E988" s="480"/>
      <c r="F988" s="480"/>
      <c r="G988" s="430"/>
      <c r="H988" s="480"/>
      <c r="I988" s="480"/>
      <c r="J988" s="430"/>
      <c r="K988" s="480"/>
      <c r="L988" s="430"/>
      <c r="M988" s="480"/>
      <c r="N988" s="430"/>
      <c r="O988" s="480"/>
      <c r="P988" s="430"/>
      <c r="Q988" s="480"/>
    </row>
    <row r="989" ht="15.75" customHeight="1">
      <c r="A989" s="430"/>
      <c r="B989" s="480"/>
      <c r="C989" s="480"/>
      <c r="D989" s="430"/>
      <c r="E989" s="480"/>
      <c r="F989" s="480"/>
      <c r="G989" s="430"/>
      <c r="H989" s="480"/>
      <c r="I989" s="480"/>
      <c r="J989" s="430"/>
      <c r="K989" s="480"/>
      <c r="L989" s="430"/>
      <c r="M989" s="480"/>
      <c r="N989" s="430"/>
      <c r="O989" s="480"/>
      <c r="P989" s="430"/>
      <c r="Q989" s="480"/>
    </row>
    <row r="990" ht="15.75" customHeight="1">
      <c r="A990" s="430"/>
      <c r="B990" s="480"/>
      <c r="C990" s="480"/>
      <c r="D990" s="430"/>
      <c r="E990" s="480"/>
      <c r="F990" s="480"/>
      <c r="G990" s="430"/>
      <c r="H990" s="480"/>
      <c r="I990" s="480"/>
      <c r="J990" s="430"/>
      <c r="K990" s="480"/>
      <c r="L990" s="430"/>
      <c r="M990" s="480"/>
      <c r="N990" s="430"/>
      <c r="O990" s="480"/>
      <c r="P990" s="430"/>
      <c r="Q990" s="480"/>
    </row>
    <row r="991" ht="15.75" customHeight="1">
      <c r="A991" s="430"/>
      <c r="B991" s="480"/>
      <c r="C991" s="480"/>
      <c r="D991" s="430"/>
      <c r="E991" s="480"/>
      <c r="F991" s="480"/>
      <c r="G991" s="430"/>
      <c r="H991" s="480"/>
      <c r="I991" s="480"/>
      <c r="J991" s="430"/>
      <c r="K991" s="480"/>
      <c r="L991" s="430"/>
      <c r="M991" s="480"/>
      <c r="N991" s="430"/>
      <c r="O991" s="480"/>
      <c r="P991" s="430"/>
      <c r="Q991" s="480"/>
    </row>
    <row r="992" ht="15.75" customHeight="1">
      <c r="A992" s="430"/>
      <c r="B992" s="480"/>
      <c r="C992" s="480"/>
      <c r="D992" s="430"/>
      <c r="E992" s="480"/>
      <c r="F992" s="480"/>
      <c r="G992" s="430"/>
      <c r="H992" s="480"/>
      <c r="I992" s="480"/>
      <c r="J992" s="430"/>
      <c r="K992" s="480"/>
      <c r="L992" s="430"/>
      <c r="M992" s="480"/>
      <c r="N992" s="430"/>
      <c r="O992" s="480"/>
      <c r="P992" s="430"/>
      <c r="Q992" s="480"/>
    </row>
    <row r="993" ht="15.75" customHeight="1">
      <c r="A993" s="430"/>
      <c r="B993" s="480"/>
      <c r="C993" s="480"/>
      <c r="D993" s="430"/>
      <c r="E993" s="480"/>
      <c r="F993" s="480"/>
      <c r="G993" s="430"/>
      <c r="H993" s="480"/>
      <c r="I993" s="480"/>
      <c r="J993" s="430"/>
      <c r="K993" s="480"/>
      <c r="L993" s="430"/>
      <c r="M993" s="480"/>
      <c r="N993" s="430"/>
      <c r="O993" s="480"/>
      <c r="P993" s="430"/>
      <c r="Q993" s="480"/>
    </row>
    <row r="994" ht="15.75" customHeight="1">
      <c r="A994" s="430"/>
      <c r="B994" s="480"/>
      <c r="C994" s="480"/>
      <c r="D994" s="430"/>
      <c r="E994" s="480"/>
      <c r="F994" s="480"/>
      <c r="G994" s="430"/>
      <c r="H994" s="480"/>
      <c r="I994" s="480"/>
      <c r="J994" s="430"/>
      <c r="K994" s="480"/>
      <c r="L994" s="430"/>
      <c r="M994" s="480"/>
      <c r="N994" s="430"/>
      <c r="O994" s="480"/>
      <c r="P994" s="430"/>
      <c r="Q994" s="480"/>
    </row>
    <row r="995" ht="15.75" customHeight="1">
      <c r="A995" s="430"/>
      <c r="B995" s="480"/>
      <c r="C995" s="480"/>
      <c r="D995" s="430"/>
      <c r="E995" s="480"/>
      <c r="F995" s="480"/>
      <c r="G995" s="430"/>
      <c r="H995" s="480"/>
      <c r="I995" s="480"/>
      <c r="J995" s="430"/>
      <c r="K995" s="480"/>
      <c r="L995" s="430"/>
      <c r="M995" s="480"/>
      <c r="N995" s="430"/>
      <c r="O995" s="480"/>
      <c r="P995" s="430"/>
      <c r="Q995" s="480"/>
    </row>
    <row r="996" ht="15.75" customHeight="1">
      <c r="A996" s="430"/>
      <c r="B996" s="480"/>
      <c r="C996" s="480"/>
      <c r="D996" s="430"/>
      <c r="E996" s="480"/>
      <c r="F996" s="480"/>
      <c r="G996" s="430"/>
      <c r="H996" s="480"/>
      <c r="I996" s="480"/>
      <c r="J996" s="430"/>
      <c r="K996" s="480"/>
      <c r="L996" s="430"/>
      <c r="M996" s="480"/>
      <c r="N996" s="430"/>
      <c r="O996" s="480"/>
      <c r="P996" s="430"/>
      <c r="Q996" s="480"/>
    </row>
    <row r="997" ht="15.75" customHeight="1">
      <c r="A997" s="430"/>
      <c r="B997" s="480"/>
      <c r="C997" s="480"/>
      <c r="D997" s="430"/>
      <c r="E997" s="480"/>
      <c r="F997" s="480"/>
      <c r="G997" s="430"/>
      <c r="H997" s="480"/>
      <c r="I997" s="480"/>
      <c r="J997" s="430"/>
      <c r="K997" s="480"/>
      <c r="L997" s="430"/>
      <c r="M997" s="480"/>
      <c r="N997" s="430"/>
      <c r="O997" s="480"/>
      <c r="P997" s="430"/>
      <c r="Q997" s="480"/>
    </row>
    <row r="998" ht="15.75" customHeight="1">
      <c r="A998" s="430"/>
      <c r="B998" s="480"/>
      <c r="C998" s="480"/>
      <c r="D998" s="430"/>
      <c r="E998" s="480"/>
      <c r="F998" s="480"/>
      <c r="G998" s="430"/>
      <c r="H998" s="480"/>
      <c r="I998" s="480"/>
      <c r="J998" s="430"/>
      <c r="K998" s="480"/>
      <c r="L998" s="430"/>
      <c r="M998" s="480"/>
      <c r="N998" s="430"/>
      <c r="O998" s="480"/>
      <c r="P998" s="430"/>
      <c r="Q998" s="480"/>
    </row>
    <row r="999" ht="15.75" customHeight="1">
      <c r="A999" s="430"/>
      <c r="B999" s="480"/>
      <c r="C999" s="480"/>
      <c r="D999" s="430"/>
      <c r="E999" s="480"/>
      <c r="F999" s="480"/>
      <c r="G999" s="430"/>
      <c r="H999" s="480"/>
      <c r="I999" s="480"/>
      <c r="J999" s="430"/>
      <c r="K999" s="480"/>
      <c r="L999" s="430"/>
      <c r="M999" s="480"/>
      <c r="N999" s="430"/>
      <c r="O999" s="480"/>
      <c r="P999" s="430"/>
      <c r="Q999" s="480"/>
    </row>
  </sheetData>
  <mergeCells count="7">
    <mergeCell ref="B1:C1"/>
    <mergeCell ref="E1:F1"/>
    <mergeCell ref="H1:I1"/>
    <mergeCell ref="E17:E18"/>
    <mergeCell ref="F17:F18"/>
    <mergeCell ref="H17:H18"/>
    <mergeCell ref="I17:I18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8.75"/>
    <col customWidth="1" min="2" max="2" width="18.13"/>
    <col customWidth="1" min="3" max="3" width="9.5"/>
    <col customWidth="1" min="4" max="4" width="14.88"/>
    <col customWidth="1" min="5" max="5" width="15.25"/>
    <col customWidth="1" min="6" max="6" width="15.38"/>
    <col customWidth="1" min="7" max="7" width="8.75"/>
  </cols>
  <sheetData>
    <row r="1" ht="12.75" customHeight="1">
      <c r="A1" s="487" t="s">
        <v>459</v>
      </c>
      <c r="B1" s="488" t="s">
        <v>460</v>
      </c>
      <c r="C1" s="489" t="s">
        <v>461</v>
      </c>
      <c r="D1" s="490" t="s">
        <v>462</v>
      </c>
      <c r="E1" s="491" t="s">
        <v>463</v>
      </c>
      <c r="F1" s="492" t="s">
        <v>464</v>
      </c>
      <c r="G1" s="493" t="s">
        <v>465</v>
      </c>
    </row>
    <row r="2" ht="12.75" customHeight="1">
      <c r="A2" s="494" t="s">
        <v>466</v>
      </c>
      <c r="B2" s="495" t="s">
        <v>57</v>
      </c>
      <c r="C2" s="496">
        <f t="shared" ref="C2:C17" si="1">SUM(D2:F2)</f>
        <v>1032.38</v>
      </c>
      <c r="D2" s="497">
        <v>0.0</v>
      </c>
      <c r="E2" s="497">
        <v>0.0</v>
      </c>
      <c r="F2" s="498">
        <v>1032.38</v>
      </c>
      <c r="G2" s="499"/>
    </row>
    <row r="3" ht="12.75" customHeight="1">
      <c r="A3" s="494" t="s">
        <v>466</v>
      </c>
      <c r="B3" s="495" t="s">
        <v>58</v>
      </c>
      <c r="C3" s="496">
        <f t="shared" si="1"/>
        <v>0</v>
      </c>
      <c r="D3" s="497">
        <v>0.0</v>
      </c>
      <c r="E3" s="497">
        <v>0.0</v>
      </c>
      <c r="F3" s="497">
        <v>0.0</v>
      </c>
      <c r="G3" s="499"/>
    </row>
    <row r="4" ht="12.75" customHeight="1">
      <c r="A4" s="500" t="s">
        <v>467</v>
      </c>
      <c r="B4" s="501" t="s">
        <v>59</v>
      </c>
      <c r="C4" s="502">
        <f t="shared" si="1"/>
        <v>6081.74</v>
      </c>
      <c r="D4" s="497">
        <v>873.8</v>
      </c>
      <c r="E4" s="497">
        <v>5207.94</v>
      </c>
      <c r="F4" s="503" t="s">
        <v>468</v>
      </c>
      <c r="G4" s="499">
        <v>7031.74</v>
      </c>
    </row>
    <row r="5" ht="12.75" customHeight="1">
      <c r="A5" s="494" t="s">
        <v>467</v>
      </c>
      <c r="B5" s="495" t="s">
        <v>60</v>
      </c>
      <c r="C5" s="496">
        <f t="shared" si="1"/>
        <v>0</v>
      </c>
      <c r="D5" s="497">
        <v>0.0</v>
      </c>
      <c r="E5" s="497">
        <v>0.0</v>
      </c>
      <c r="F5" s="497">
        <v>0.0</v>
      </c>
      <c r="G5" s="499"/>
    </row>
    <row r="6" ht="12.75" customHeight="1">
      <c r="A6" s="494" t="s">
        <v>469</v>
      </c>
      <c r="B6" s="495" t="s">
        <v>61</v>
      </c>
      <c r="C6" s="496">
        <f t="shared" si="1"/>
        <v>0</v>
      </c>
      <c r="D6" s="497">
        <v>0.0</v>
      </c>
      <c r="E6" s="497">
        <v>0.0</v>
      </c>
      <c r="F6" s="497">
        <v>0.0</v>
      </c>
      <c r="G6" s="499"/>
    </row>
    <row r="7" ht="12.75" customHeight="1">
      <c r="A7" s="494" t="s">
        <v>470</v>
      </c>
      <c r="B7" s="495" t="s">
        <v>62</v>
      </c>
      <c r="C7" s="496">
        <f t="shared" si="1"/>
        <v>0</v>
      </c>
      <c r="D7" s="497">
        <v>0.0</v>
      </c>
      <c r="E7" s="497">
        <v>0.0</v>
      </c>
      <c r="F7" s="497">
        <v>0.0</v>
      </c>
      <c r="G7" s="499"/>
    </row>
    <row r="8" ht="12.75" customHeight="1">
      <c r="A8" s="494" t="s">
        <v>470</v>
      </c>
      <c r="B8" s="495" t="s">
        <v>63</v>
      </c>
      <c r="C8" s="496">
        <f t="shared" si="1"/>
        <v>0</v>
      </c>
      <c r="D8" s="497">
        <v>0.0</v>
      </c>
      <c r="E8" s="497">
        <v>0.0</v>
      </c>
      <c r="F8" s="497">
        <v>0.0</v>
      </c>
      <c r="G8" s="499"/>
    </row>
    <row r="9" ht="12.75" customHeight="1">
      <c r="A9" s="494" t="s">
        <v>471</v>
      </c>
      <c r="B9" s="495" t="s">
        <v>64</v>
      </c>
      <c r="C9" s="496">
        <f t="shared" si="1"/>
        <v>370.0057895</v>
      </c>
      <c r="D9" s="497">
        <f>(G9/19)*7</f>
        <v>136.3157895</v>
      </c>
      <c r="E9" s="498">
        <v>214.2</v>
      </c>
      <c r="F9" s="498">
        <v>19.49</v>
      </c>
      <c r="G9" s="499">
        <v>370.0</v>
      </c>
    </row>
    <row r="10" ht="12.75" customHeight="1">
      <c r="A10" s="494" t="s">
        <v>471</v>
      </c>
      <c r="B10" s="495" t="s">
        <v>65</v>
      </c>
      <c r="C10" s="496">
        <f t="shared" si="1"/>
        <v>170.0173684</v>
      </c>
      <c r="D10" s="498">
        <v>62.62</v>
      </c>
      <c r="E10" s="498">
        <v>98.45</v>
      </c>
      <c r="F10" s="497">
        <f>(G10/19)*1</f>
        <v>8.947368421</v>
      </c>
      <c r="G10" s="504">
        <v>170.0</v>
      </c>
    </row>
    <row r="11" ht="12.75" customHeight="1">
      <c r="A11" s="494" t="s">
        <v>472</v>
      </c>
      <c r="B11" s="495" t="s">
        <v>473</v>
      </c>
      <c r="C11" s="496">
        <f t="shared" si="1"/>
        <v>0</v>
      </c>
      <c r="D11" s="497">
        <v>0.0</v>
      </c>
      <c r="E11" s="497">
        <v>0.0</v>
      </c>
      <c r="F11" s="497">
        <v>0.0</v>
      </c>
      <c r="G11" s="499">
        <v>0.0</v>
      </c>
    </row>
    <row r="12" ht="12.75" customHeight="1">
      <c r="A12" s="494" t="s">
        <v>467</v>
      </c>
      <c r="B12" s="495" t="s">
        <v>67</v>
      </c>
      <c r="C12" s="496">
        <f t="shared" si="1"/>
        <v>0</v>
      </c>
      <c r="D12" s="497">
        <v>0.0</v>
      </c>
      <c r="E12" s="497">
        <v>0.0</v>
      </c>
      <c r="F12" s="497">
        <v>0.0</v>
      </c>
      <c r="G12" s="499"/>
    </row>
    <row r="13" ht="12.75" customHeight="1">
      <c r="A13" s="494" t="s">
        <v>471</v>
      </c>
      <c r="B13" s="495" t="s">
        <v>68</v>
      </c>
      <c r="C13" s="496">
        <f t="shared" si="1"/>
        <v>74.08</v>
      </c>
      <c r="D13" s="497">
        <v>27.29</v>
      </c>
      <c r="E13" s="497">
        <v>39.0</v>
      </c>
      <c r="F13" s="497">
        <v>7.79</v>
      </c>
      <c r="G13" s="499">
        <v>74.08</v>
      </c>
    </row>
    <row r="14" ht="12.75" customHeight="1">
      <c r="A14" s="494" t="s">
        <v>467</v>
      </c>
      <c r="B14" s="495" t="s">
        <v>69</v>
      </c>
      <c r="C14" s="496">
        <f t="shared" si="1"/>
        <v>0</v>
      </c>
      <c r="D14" s="497">
        <v>0.0</v>
      </c>
      <c r="E14" s="497">
        <v>0.0</v>
      </c>
      <c r="F14" s="497">
        <v>0.0</v>
      </c>
      <c r="G14" s="499"/>
    </row>
    <row r="15" ht="12.75" customHeight="1">
      <c r="A15" s="494" t="s">
        <v>467</v>
      </c>
      <c r="B15" s="495" t="s">
        <v>70</v>
      </c>
      <c r="C15" s="496">
        <f t="shared" si="1"/>
        <v>0</v>
      </c>
      <c r="D15" s="497">
        <v>0.0</v>
      </c>
      <c r="E15" s="497">
        <v>0.0</v>
      </c>
      <c r="F15" s="497">
        <v>0.0</v>
      </c>
      <c r="G15" s="499"/>
    </row>
    <row r="16" ht="12.75" customHeight="1">
      <c r="A16" s="494" t="s">
        <v>474</v>
      </c>
      <c r="B16" s="505" t="s">
        <v>475</v>
      </c>
      <c r="C16" s="506">
        <f t="shared" si="1"/>
        <v>0</v>
      </c>
      <c r="D16" s="507">
        <v>0.0</v>
      </c>
      <c r="E16" s="507">
        <v>0.0</v>
      </c>
      <c r="F16" s="507">
        <v>0.0</v>
      </c>
      <c r="G16" s="499"/>
    </row>
    <row r="17" ht="12.75" customHeight="1">
      <c r="A17" s="494" t="s">
        <v>474</v>
      </c>
      <c r="B17" s="505" t="s">
        <v>72</v>
      </c>
      <c r="C17" s="506">
        <f t="shared" si="1"/>
        <v>0</v>
      </c>
      <c r="D17" s="507">
        <v>0.0</v>
      </c>
      <c r="E17" s="507">
        <v>0.0</v>
      </c>
      <c r="F17" s="507">
        <v>0.0</v>
      </c>
      <c r="G17" s="499"/>
    </row>
    <row r="18" ht="12.75" customHeight="1">
      <c r="A18" s="508" t="s">
        <v>144</v>
      </c>
      <c r="B18" s="495"/>
      <c r="C18" s="509">
        <f t="shared" ref="C18:E18" si="2">SUM(C2:C17)</f>
        <v>7728.223158</v>
      </c>
      <c r="D18" s="509">
        <f t="shared" si="2"/>
        <v>1100.025789</v>
      </c>
      <c r="E18" s="509">
        <f t="shared" si="2"/>
        <v>5559.59</v>
      </c>
      <c r="F18" s="509">
        <v>26.09520467836257</v>
      </c>
      <c r="G18" s="499"/>
    </row>
    <row r="19" ht="12.75" customHeight="1">
      <c r="A19" s="487" t="s">
        <v>459</v>
      </c>
      <c r="B19" s="510" t="s">
        <v>75</v>
      </c>
      <c r="C19" s="489" t="s">
        <v>461</v>
      </c>
      <c r="D19" s="490" t="s">
        <v>476</v>
      </c>
      <c r="E19" s="491" t="s">
        <v>463</v>
      </c>
      <c r="F19" s="492" t="s">
        <v>464</v>
      </c>
      <c r="G19" s="140"/>
    </row>
    <row r="20" ht="12.75" customHeight="1">
      <c r="A20" s="494" t="s">
        <v>472</v>
      </c>
      <c r="B20" s="511" t="s">
        <v>76</v>
      </c>
      <c r="C20" s="512">
        <f t="shared" ref="C20:C34" si="3">SUM(D20:F20)</f>
        <v>0</v>
      </c>
      <c r="D20" s="513"/>
      <c r="E20" s="513"/>
      <c r="F20" s="513"/>
      <c r="G20" s="499">
        <f t="shared" ref="G20:G24" si="4">SUM(D20:F20)</f>
        <v>0</v>
      </c>
    </row>
    <row r="21" ht="12.75" customHeight="1">
      <c r="A21" s="494" t="s">
        <v>472</v>
      </c>
      <c r="B21" s="514" t="s">
        <v>77</v>
      </c>
      <c r="C21" s="512">
        <f t="shared" si="3"/>
        <v>0</v>
      </c>
      <c r="D21" s="513"/>
      <c r="E21" s="513"/>
      <c r="F21" s="513"/>
      <c r="G21" s="499">
        <f t="shared" si="4"/>
        <v>0</v>
      </c>
    </row>
    <row r="22" ht="12.75" customHeight="1">
      <c r="A22" s="494" t="s">
        <v>472</v>
      </c>
      <c r="B22" s="511" t="s">
        <v>78</v>
      </c>
      <c r="C22" s="512">
        <f t="shared" si="3"/>
        <v>0</v>
      </c>
      <c r="D22" s="513"/>
      <c r="E22" s="513"/>
      <c r="F22" s="513"/>
      <c r="G22" s="499">
        <f t="shared" si="4"/>
        <v>0</v>
      </c>
    </row>
    <row r="23" ht="12.75" customHeight="1">
      <c r="A23" s="494" t="s">
        <v>472</v>
      </c>
      <c r="B23" s="511" t="s">
        <v>79</v>
      </c>
      <c r="C23" s="512">
        <f t="shared" si="3"/>
        <v>0</v>
      </c>
      <c r="D23" s="513"/>
      <c r="E23" s="513"/>
      <c r="F23" s="513"/>
      <c r="G23" s="499">
        <f t="shared" si="4"/>
        <v>0</v>
      </c>
    </row>
    <row r="24" ht="12.75" customHeight="1">
      <c r="A24" s="494" t="s">
        <v>472</v>
      </c>
      <c r="B24" s="511" t="s">
        <v>80</v>
      </c>
      <c r="C24" s="512">
        <f t="shared" si="3"/>
        <v>0</v>
      </c>
      <c r="D24" s="513"/>
      <c r="E24" s="513"/>
      <c r="F24" s="513"/>
      <c r="G24" s="499">
        <f t="shared" si="4"/>
        <v>0</v>
      </c>
    </row>
    <row r="25" ht="12.75" customHeight="1">
      <c r="A25" s="494" t="s">
        <v>471</v>
      </c>
      <c r="B25" s="515" t="s">
        <v>81</v>
      </c>
      <c r="C25" s="512">
        <f t="shared" si="3"/>
        <v>324</v>
      </c>
      <c r="D25" s="513">
        <f t="shared" ref="D25:D27" si="5">(G25/19)*7</f>
        <v>119.3684211</v>
      </c>
      <c r="E25" s="513">
        <f t="shared" ref="E25:E27" si="6">(G25/19)*10</f>
        <v>170.5263158</v>
      </c>
      <c r="F25" s="513">
        <f t="shared" ref="F25:F27" si="7">(G25/19)*2</f>
        <v>34.10526316</v>
      </c>
      <c r="G25" s="499">
        <v>324.0</v>
      </c>
    </row>
    <row r="26" ht="12.75" customHeight="1">
      <c r="A26" s="494" t="s">
        <v>471</v>
      </c>
      <c r="B26" s="511" t="s">
        <v>83</v>
      </c>
      <c r="C26" s="516">
        <f t="shared" si="3"/>
        <v>264.81</v>
      </c>
      <c r="D26" s="513">
        <f t="shared" si="5"/>
        <v>97.56157895</v>
      </c>
      <c r="E26" s="513">
        <f t="shared" si="6"/>
        <v>139.3736842</v>
      </c>
      <c r="F26" s="513">
        <f t="shared" si="7"/>
        <v>27.87473684</v>
      </c>
      <c r="G26" s="499">
        <v>264.81</v>
      </c>
    </row>
    <row r="27" ht="12.75" customHeight="1">
      <c r="A27" s="494" t="s">
        <v>471</v>
      </c>
      <c r="B27" s="515" t="s">
        <v>85</v>
      </c>
      <c r="C27" s="512">
        <f t="shared" si="3"/>
        <v>271.06</v>
      </c>
      <c r="D27" s="513">
        <f t="shared" si="5"/>
        <v>99.86421053</v>
      </c>
      <c r="E27" s="513">
        <f t="shared" si="6"/>
        <v>142.6631579</v>
      </c>
      <c r="F27" s="513">
        <f t="shared" si="7"/>
        <v>28.53263158</v>
      </c>
      <c r="G27" s="499">
        <v>271.06</v>
      </c>
    </row>
    <row r="28" ht="12.75" customHeight="1">
      <c r="A28" s="494" t="s">
        <v>467</v>
      </c>
      <c r="B28" s="511" t="s">
        <v>86</v>
      </c>
      <c r="C28" s="512">
        <f t="shared" si="3"/>
        <v>0</v>
      </c>
      <c r="D28" s="513"/>
      <c r="E28" s="513"/>
      <c r="F28" s="513"/>
      <c r="G28" s="499">
        <f t="shared" ref="G28:G30" si="8">SUM(D28:F28)</f>
        <v>0</v>
      </c>
    </row>
    <row r="29" ht="12.75" customHeight="1">
      <c r="A29" s="494" t="s">
        <v>472</v>
      </c>
      <c r="B29" s="511" t="s">
        <v>87</v>
      </c>
      <c r="C29" s="517">
        <f t="shared" si="3"/>
        <v>0</v>
      </c>
      <c r="D29" s="518"/>
      <c r="E29" s="518"/>
      <c r="F29" s="518"/>
      <c r="G29" s="499">
        <f t="shared" si="8"/>
        <v>0</v>
      </c>
    </row>
    <row r="30" ht="12.75" customHeight="1">
      <c r="A30" s="494" t="s">
        <v>268</v>
      </c>
      <c r="B30" s="514" t="s">
        <v>88</v>
      </c>
      <c r="C30" s="512">
        <f t="shared" si="3"/>
        <v>0</v>
      </c>
      <c r="D30" s="513"/>
      <c r="E30" s="513"/>
      <c r="F30" s="513"/>
      <c r="G30" s="499">
        <f t="shared" si="8"/>
        <v>0</v>
      </c>
    </row>
    <row r="31" ht="12.75" customHeight="1">
      <c r="A31" s="494" t="s">
        <v>471</v>
      </c>
      <c r="B31" s="514" t="s">
        <v>89</v>
      </c>
      <c r="C31" s="512">
        <f t="shared" si="3"/>
        <v>139.19</v>
      </c>
      <c r="D31" s="513">
        <f t="shared" ref="D31:D32" si="9">(G31/19)*7</f>
        <v>51.28052632</v>
      </c>
      <c r="E31" s="513">
        <f t="shared" ref="E31:E32" si="10">(G31/19)*10</f>
        <v>73.25789474</v>
      </c>
      <c r="F31" s="513">
        <f t="shared" ref="F31:F32" si="11">(G31/19)*2</f>
        <v>14.65157895</v>
      </c>
      <c r="G31" s="499">
        <v>139.19</v>
      </c>
    </row>
    <row r="32" ht="12.75" customHeight="1">
      <c r="A32" s="494" t="s">
        <v>471</v>
      </c>
      <c r="B32" s="511" t="s">
        <v>477</v>
      </c>
      <c r="C32" s="512">
        <f t="shared" si="3"/>
        <v>150</v>
      </c>
      <c r="D32" s="513">
        <f t="shared" si="9"/>
        <v>55.26315789</v>
      </c>
      <c r="E32" s="513">
        <f t="shared" si="10"/>
        <v>78.94736842</v>
      </c>
      <c r="F32" s="513">
        <f t="shared" si="11"/>
        <v>15.78947368</v>
      </c>
      <c r="G32" s="499">
        <v>150.0</v>
      </c>
    </row>
    <row r="33" ht="12.75" customHeight="1">
      <c r="A33" s="494" t="s">
        <v>472</v>
      </c>
      <c r="B33" s="511" t="s">
        <v>90</v>
      </c>
      <c r="C33" s="512">
        <f t="shared" si="3"/>
        <v>0</v>
      </c>
      <c r="D33" s="513"/>
      <c r="E33" s="513"/>
      <c r="F33" s="513"/>
      <c r="G33" s="499">
        <v>0.0</v>
      </c>
    </row>
    <row r="34" ht="12.75" customHeight="1">
      <c r="A34" s="494" t="s">
        <v>471</v>
      </c>
      <c r="B34" s="511" t="s">
        <v>478</v>
      </c>
      <c r="C34" s="512">
        <f t="shared" si="3"/>
        <v>825</v>
      </c>
      <c r="D34" s="513">
        <f>(G34/19)*7</f>
        <v>303.9473684</v>
      </c>
      <c r="E34" s="513">
        <f>(G34/19)*10</f>
        <v>434.2105263</v>
      </c>
      <c r="F34" s="513">
        <f>(G34/19)*2</f>
        <v>86.84210526</v>
      </c>
      <c r="G34" s="499">
        <v>825.0</v>
      </c>
    </row>
    <row r="35" ht="12.75" customHeight="1">
      <c r="A35" s="494" t="s">
        <v>474</v>
      </c>
      <c r="B35" s="511" t="s">
        <v>479</v>
      </c>
      <c r="C35" s="512">
        <v>3000.0</v>
      </c>
      <c r="D35" s="513"/>
      <c r="E35" s="513"/>
      <c r="F35" s="513"/>
      <c r="G35" s="499">
        <v>3000.0</v>
      </c>
    </row>
    <row r="36" ht="12.75" customHeight="1">
      <c r="A36" s="508" t="s">
        <v>144</v>
      </c>
      <c r="B36" s="519"/>
      <c r="C36" s="520">
        <f t="shared" ref="C36:F36" si="12">SUM(C20:C35)</f>
        <v>4974.06</v>
      </c>
      <c r="D36" s="521">
        <f t="shared" si="12"/>
        <v>727.2852632</v>
      </c>
      <c r="E36" s="521">
        <f t="shared" si="12"/>
        <v>1038.978947</v>
      </c>
      <c r="F36" s="521">
        <f t="shared" si="12"/>
        <v>207.7957895</v>
      </c>
      <c r="G36" s="140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4.13"/>
    <col customWidth="1" min="2" max="2" width="14.0"/>
    <col customWidth="1" min="3" max="14" width="11.0"/>
  </cols>
  <sheetData>
    <row r="1">
      <c r="C1" s="522"/>
      <c r="D1" s="522"/>
      <c r="E1" s="522"/>
      <c r="F1" s="522"/>
      <c r="G1" s="522"/>
      <c r="H1" s="522"/>
      <c r="I1" s="522"/>
      <c r="J1" s="522"/>
      <c r="K1" s="522"/>
      <c r="L1" s="522"/>
      <c r="M1" s="522"/>
      <c r="N1" s="522"/>
    </row>
    <row r="2">
      <c r="B2" s="523" t="s">
        <v>480</v>
      </c>
    </row>
    <row r="3">
      <c r="A3" s="524"/>
      <c r="B3" s="525" t="s">
        <v>481</v>
      </c>
      <c r="C3" s="526" t="s">
        <v>311</v>
      </c>
      <c r="D3" s="526" t="s">
        <v>313</v>
      </c>
      <c r="E3" s="526" t="s">
        <v>314</v>
      </c>
      <c r="F3" s="527" t="s">
        <v>315</v>
      </c>
      <c r="G3" s="527" t="s">
        <v>316</v>
      </c>
      <c r="H3" s="527" t="s">
        <v>317</v>
      </c>
      <c r="I3" s="526" t="s">
        <v>318</v>
      </c>
      <c r="J3" s="526" t="s">
        <v>319</v>
      </c>
      <c r="K3" s="526" t="s">
        <v>320</v>
      </c>
      <c r="L3" s="527" t="s">
        <v>321</v>
      </c>
      <c r="M3" s="527" t="s">
        <v>322</v>
      </c>
      <c r="N3" s="527" t="s">
        <v>323</v>
      </c>
      <c r="O3" s="528" t="s">
        <v>263</v>
      </c>
    </row>
    <row r="4">
      <c r="B4" s="525" t="s">
        <v>482</v>
      </c>
      <c r="C4" s="529">
        <v>13263.48</v>
      </c>
      <c r="D4" s="529">
        <v>10942.73</v>
      </c>
      <c r="E4" s="529">
        <v>9426.4</v>
      </c>
      <c r="F4" s="530">
        <v>12725.79</v>
      </c>
      <c r="G4" s="530">
        <v>12497.75</v>
      </c>
      <c r="H4" s="530">
        <v>8576.43</v>
      </c>
      <c r="I4" s="531">
        <v>7682.4</v>
      </c>
      <c r="J4" s="531">
        <v>9682.83</v>
      </c>
      <c r="K4" s="531">
        <v>19991.92</v>
      </c>
      <c r="L4" s="530">
        <v>9002.93</v>
      </c>
      <c r="M4" s="530">
        <v>10282.87</v>
      </c>
      <c r="N4" s="530">
        <v>13506.89</v>
      </c>
      <c r="O4" s="532">
        <f t="shared" ref="O4:O6" si="1">SUM(C4:N4)</f>
        <v>137582.42</v>
      </c>
    </row>
    <row r="5">
      <c r="B5" s="525" t="s">
        <v>483</v>
      </c>
      <c r="C5" s="529">
        <v>10974.54</v>
      </c>
      <c r="D5" s="529">
        <v>9064.51</v>
      </c>
      <c r="E5" s="529">
        <v>9852.21</v>
      </c>
      <c r="F5" s="530">
        <v>9306.01</v>
      </c>
      <c r="G5" s="530">
        <v>10551.57</v>
      </c>
      <c r="H5" s="530">
        <v>13687.21</v>
      </c>
      <c r="I5" s="531">
        <v>11823.83</v>
      </c>
      <c r="J5" s="531">
        <v>9407.24</v>
      </c>
      <c r="K5" s="531">
        <v>393.96</v>
      </c>
      <c r="L5" s="530">
        <v>10647.84</v>
      </c>
      <c r="M5" s="530">
        <v>12179.58</v>
      </c>
      <c r="N5" s="530">
        <v>8776.42</v>
      </c>
      <c r="O5" s="532">
        <f t="shared" si="1"/>
        <v>116664.92</v>
      </c>
    </row>
    <row r="6">
      <c r="B6" s="525" t="s">
        <v>484</v>
      </c>
      <c r="C6" s="533">
        <f t="shared" ref="C6:N6" si="2">SUM(C4:C5)</f>
        <v>24238.02</v>
      </c>
      <c r="D6" s="533">
        <f t="shared" si="2"/>
        <v>20007.24</v>
      </c>
      <c r="E6" s="533">
        <f t="shared" si="2"/>
        <v>19278.61</v>
      </c>
      <c r="F6" s="534">
        <f t="shared" si="2"/>
        <v>22031.8</v>
      </c>
      <c r="G6" s="534">
        <f t="shared" si="2"/>
        <v>23049.32</v>
      </c>
      <c r="H6" s="530">
        <f t="shared" si="2"/>
        <v>22263.64</v>
      </c>
      <c r="I6" s="533">
        <f t="shared" si="2"/>
        <v>19506.23</v>
      </c>
      <c r="J6" s="533">
        <f t="shared" si="2"/>
        <v>19090.07</v>
      </c>
      <c r="K6" s="533">
        <f t="shared" si="2"/>
        <v>20385.88</v>
      </c>
      <c r="L6" s="534">
        <f t="shared" si="2"/>
        <v>19650.77</v>
      </c>
      <c r="M6" s="534">
        <f t="shared" si="2"/>
        <v>22462.45</v>
      </c>
      <c r="N6" s="534">
        <f t="shared" si="2"/>
        <v>22283.31</v>
      </c>
      <c r="O6" s="535">
        <f t="shared" si="1"/>
        <v>254247.34</v>
      </c>
    </row>
    <row r="7">
      <c r="B7" s="536" t="s">
        <v>485</v>
      </c>
      <c r="C7" s="537">
        <f>SUM(C6:E6)</f>
        <v>63523.87</v>
      </c>
      <c r="D7" s="538"/>
      <c r="E7" s="539"/>
      <c r="F7" s="537">
        <f>SUM(F6:H6)</f>
        <v>67344.76</v>
      </c>
      <c r="G7" s="538"/>
      <c r="H7" s="539"/>
      <c r="I7" s="537">
        <f>SUM(I6:K6)</f>
        <v>58982.18</v>
      </c>
      <c r="J7" s="538"/>
      <c r="K7" s="539"/>
      <c r="L7" s="537">
        <f>SUM(L6:N6)</f>
        <v>64396.53</v>
      </c>
      <c r="M7" s="538"/>
      <c r="N7" s="539"/>
      <c r="O7" s="540">
        <f>C7+F7+I7+L7</f>
        <v>254247.34</v>
      </c>
    </row>
    <row r="8">
      <c r="C8" s="522"/>
      <c r="D8" s="522"/>
      <c r="E8" s="522"/>
      <c r="F8" s="522"/>
      <c r="G8" s="522"/>
      <c r="H8" s="522"/>
      <c r="I8" s="522"/>
      <c r="J8" s="522"/>
      <c r="K8" s="522"/>
      <c r="L8" s="522"/>
      <c r="M8" s="522"/>
      <c r="N8" s="522"/>
    </row>
    <row r="9">
      <c r="C9" s="522"/>
      <c r="D9" s="522"/>
      <c r="E9" s="522"/>
      <c r="F9" s="522"/>
      <c r="G9" s="522"/>
      <c r="H9" s="522"/>
      <c r="I9" s="522"/>
      <c r="J9" s="522"/>
      <c r="K9" s="522"/>
      <c r="L9" s="522"/>
      <c r="M9" s="522"/>
      <c r="N9" s="522"/>
    </row>
    <row r="10">
      <c r="B10" s="541" t="s">
        <v>486</v>
      </c>
    </row>
    <row r="11">
      <c r="B11" s="542" t="s">
        <v>481</v>
      </c>
      <c r="C11" s="529" t="s">
        <v>311</v>
      </c>
      <c r="D11" s="529" t="s">
        <v>313</v>
      </c>
      <c r="E11" s="529" t="s">
        <v>314</v>
      </c>
      <c r="F11" s="529" t="s">
        <v>315</v>
      </c>
      <c r="G11" s="529" t="s">
        <v>316</v>
      </c>
      <c r="H11" s="529" t="s">
        <v>317</v>
      </c>
      <c r="I11" s="529" t="s">
        <v>318</v>
      </c>
      <c r="J11" s="529" t="s">
        <v>319</v>
      </c>
      <c r="K11" s="529" t="s">
        <v>320</v>
      </c>
      <c r="L11" s="529" t="s">
        <v>321</v>
      </c>
      <c r="M11" s="529" t="s">
        <v>322</v>
      </c>
      <c r="N11" s="529" t="s">
        <v>323</v>
      </c>
      <c r="O11" s="543" t="s">
        <v>263</v>
      </c>
    </row>
    <row r="12">
      <c r="B12" s="542" t="s">
        <v>482</v>
      </c>
      <c r="C12" s="529">
        <v>12345.0</v>
      </c>
      <c r="D12" s="529">
        <v>22752.0</v>
      </c>
      <c r="E12" s="529">
        <v>15669.0</v>
      </c>
      <c r="F12" s="531">
        <v>20883.09</v>
      </c>
      <c r="G12" s="531">
        <v>17669.12</v>
      </c>
      <c r="H12" s="531">
        <v>19526.55</v>
      </c>
      <c r="I12" s="531">
        <v>15968.44</v>
      </c>
      <c r="J12" s="531">
        <v>12386.3</v>
      </c>
      <c r="K12" s="531">
        <v>24282.65</v>
      </c>
      <c r="L12" s="531">
        <v>17326.78</v>
      </c>
      <c r="M12" s="531">
        <v>14004.79</v>
      </c>
      <c r="N12" s="531">
        <v>15855.92</v>
      </c>
      <c r="O12" s="544">
        <f t="shared" ref="O12:O14" si="3">SUM(C12:N12)</f>
        <v>208669.64</v>
      </c>
    </row>
    <row r="13">
      <c r="B13" s="542" t="s">
        <v>483</v>
      </c>
      <c r="C13" s="529">
        <v>11855.14</v>
      </c>
      <c r="D13" s="529">
        <v>136.66</v>
      </c>
      <c r="E13" s="529">
        <v>8538.01</v>
      </c>
      <c r="F13" s="531">
        <v>1650.99</v>
      </c>
      <c r="G13" s="531">
        <v>15250.9</v>
      </c>
      <c r="H13" s="531">
        <v>2455.97</v>
      </c>
      <c r="I13" s="531">
        <v>13713.98</v>
      </c>
      <c r="J13" s="531">
        <v>8112.42</v>
      </c>
      <c r="K13" s="531">
        <v>-8972.86</v>
      </c>
      <c r="L13" s="531">
        <v>11493.9</v>
      </c>
      <c r="M13" s="531">
        <v>16997.19</v>
      </c>
      <c r="N13" s="531">
        <v>15449.31</v>
      </c>
      <c r="O13" s="544">
        <f t="shared" si="3"/>
        <v>96681.61</v>
      </c>
    </row>
    <row r="14">
      <c r="B14" s="542" t="s">
        <v>484</v>
      </c>
      <c r="C14" s="533">
        <f t="shared" ref="C14:N14" si="4">SUM(C12:C13)</f>
        <v>24200.14</v>
      </c>
      <c r="D14" s="533">
        <f t="shared" si="4"/>
        <v>22888.66</v>
      </c>
      <c r="E14" s="533">
        <f t="shared" si="4"/>
        <v>24207.01</v>
      </c>
      <c r="F14" s="533">
        <f t="shared" si="4"/>
        <v>22534.08</v>
      </c>
      <c r="G14" s="533">
        <f t="shared" si="4"/>
        <v>32920.02</v>
      </c>
      <c r="H14" s="533">
        <f t="shared" si="4"/>
        <v>21982.52</v>
      </c>
      <c r="I14" s="533">
        <f t="shared" si="4"/>
        <v>29682.42</v>
      </c>
      <c r="J14" s="533">
        <f t="shared" si="4"/>
        <v>20498.72</v>
      </c>
      <c r="K14" s="533">
        <f t="shared" si="4"/>
        <v>15309.79</v>
      </c>
      <c r="L14" s="533">
        <f t="shared" si="4"/>
        <v>28820.68</v>
      </c>
      <c r="M14" s="533">
        <f t="shared" si="4"/>
        <v>31001.98</v>
      </c>
      <c r="N14" s="533">
        <f t="shared" si="4"/>
        <v>31305.23</v>
      </c>
      <c r="O14" s="544">
        <f t="shared" si="3"/>
        <v>305351.25</v>
      </c>
    </row>
    <row r="15">
      <c r="B15" s="545" t="s">
        <v>485</v>
      </c>
      <c r="C15" s="546">
        <f>SUM(C14:E14)</f>
        <v>71295.81</v>
      </c>
      <c r="D15" s="538"/>
      <c r="E15" s="539"/>
      <c r="F15" s="546">
        <f>SUM(F14:H14)</f>
        <v>77436.62</v>
      </c>
      <c r="G15" s="538"/>
      <c r="H15" s="539"/>
      <c r="I15" s="546">
        <f>SUM(I14:K14)</f>
        <v>65490.93</v>
      </c>
      <c r="J15" s="538"/>
      <c r="K15" s="539"/>
      <c r="L15" s="546">
        <f>SUM(L14:N14)</f>
        <v>91127.89</v>
      </c>
      <c r="M15" s="538"/>
      <c r="N15" s="539"/>
      <c r="O15" s="547">
        <f>C15+F15+I15+L15</f>
        <v>305351.25</v>
      </c>
    </row>
    <row r="16">
      <c r="B16" s="548"/>
      <c r="C16" s="549"/>
      <c r="D16" s="549"/>
      <c r="E16" s="550"/>
      <c r="F16" s="522"/>
      <c r="G16" s="522"/>
      <c r="H16" s="522"/>
      <c r="I16" s="522"/>
      <c r="J16" s="522"/>
      <c r="K16" s="522"/>
      <c r="L16" s="522"/>
      <c r="M16" s="522"/>
      <c r="N16" s="522"/>
    </row>
    <row r="17">
      <c r="C17" s="522"/>
      <c r="D17" s="522"/>
      <c r="E17" s="522"/>
      <c r="F17" s="522"/>
      <c r="G17" s="522"/>
      <c r="H17" s="522"/>
      <c r="I17" s="522"/>
      <c r="J17" s="522"/>
      <c r="K17" s="522"/>
      <c r="L17" s="522"/>
      <c r="M17" s="522"/>
      <c r="N17" s="522"/>
    </row>
    <row r="18">
      <c r="C18" s="522"/>
      <c r="D18" s="522"/>
      <c r="E18" s="522"/>
      <c r="F18" s="522"/>
      <c r="G18" s="522"/>
      <c r="H18" s="522"/>
      <c r="I18" s="522"/>
      <c r="J18" s="522"/>
      <c r="K18" s="522"/>
      <c r="L18" s="522"/>
      <c r="M18" s="522"/>
      <c r="N18" s="522"/>
    </row>
    <row r="19">
      <c r="C19" s="522"/>
      <c r="D19" s="522"/>
      <c r="E19" s="522"/>
      <c r="F19" s="522"/>
      <c r="G19" s="522"/>
      <c r="H19" s="522"/>
      <c r="I19" s="522"/>
      <c r="J19" s="522"/>
      <c r="K19" s="522"/>
      <c r="L19" s="522"/>
      <c r="M19" s="522"/>
      <c r="N19" s="522"/>
    </row>
    <row r="20">
      <c r="C20" s="522"/>
      <c r="D20" s="522"/>
      <c r="E20" s="522"/>
      <c r="F20" s="522"/>
      <c r="G20" s="522"/>
      <c r="H20" s="522"/>
      <c r="I20" s="522"/>
      <c r="J20" s="522"/>
      <c r="K20" s="522"/>
      <c r="L20" s="522"/>
      <c r="M20" s="522"/>
      <c r="N20" s="522"/>
    </row>
    <row r="21">
      <c r="C21" s="522"/>
      <c r="D21" s="522"/>
      <c r="E21" s="522"/>
      <c r="F21" s="522"/>
      <c r="G21" s="522"/>
      <c r="H21" s="522"/>
      <c r="I21" s="522"/>
      <c r="J21" s="522"/>
      <c r="K21" s="522"/>
      <c r="L21" s="522"/>
      <c r="M21" s="522"/>
      <c r="N21" s="522"/>
    </row>
    <row r="22">
      <c r="C22" s="522"/>
      <c r="D22" s="522"/>
      <c r="E22" s="522"/>
      <c r="F22" s="522"/>
      <c r="G22" s="522"/>
      <c r="H22" s="522"/>
      <c r="I22" s="522"/>
      <c r="J22" s="522"/>
      <c r="K22" s="522"/>
      <c r="L22" s="522"/>
      <c r="M22" s="522"/>
      <c r="N22" s="522"/>
    </row>
    <row r="23">
      <c r="C23" s="522"/>
      <c r="D23" s="522"/>
      <c r="E23" s="522"/>
      <c r="F23" s="522"/>
      <c r="G23" s="522"/>
      <c r="H23" s="522"/>
      <c r="I23" s="522"/>
      <c r="J23" s="522"/>
      <c r="K23" s="522"/>
      <c r="L23" s="522"/>
      <c r="M23" s="522"/>
      <c r="N23" s="522"/>
    </row>
    <row r="24">
      <c r="C24" s="522"/>
      <c r="D24" s="522"/>
      <c r="E24" s="522"/>
      <c r="F24" s="522"/>
      <c r="G24" s="522"/>
      <c r="H24" s="522"/>
      <c r="I24" s="522"/>
      <c r="J24" s="522"/>
      <c r="K24" s="522"/>
      <c r="L24" s="522"/>
      <c r="M24" s="522"/>
      <c r="N24" s="522"/>
    </row>
    <row r="25">
      <c r="C25" s="522"/>
      <c r="D25" s="522"/>
      <c r="E25" s="522"/>
      <c r="F25" s="522"/>
      <c r="G25" s="522"/>
      <c r="H25" s="522"/>
      <c r="I25" s="522"/>
      <c r="J25" s="522"/>
      <c r="K25" s="522"/>
      <c r="L25" s="522"/>
      <c r="M25" s="522"/>
      <c r="N25" s="522"/>
    </row>
    <row r="26">
      <c r="C26" s="522"/>
      <c r="D26" s="522"/>
      <c r="E26" s="522"/>
      <c r="F26" s="522"/>
      <c r="G26" s="522"/>
      <c r="H26" s="522"/>
      <c r="I26" s="522"/>
      <c r="J26" s="522"/>
      <c r="K26" s="522"/>
      <c r="L26" s="522"/>
      <c r="M26" s="522"/>
      <c r="N26" s="522"/>
    </row>
    <row r="27">
      <c r="C27" s="522"/>
      <c r="D27" s="522"/>
      <c r="E27" s="522"/>
      <c r="F27" s="522"/>
      <c r="G27" s="522"/>
      <c r="H27" s="522"/>
      <c r="I27" s="522"/>
      <c r="J27" s="522"/>
      <c r="K27" s="522"/>
      <c r="L27" s="522"/>
      <c r="M27" s="522"/>
      <c r="N27" s="522"/>
    </row>
    <row r="28">
      <c r="C28" s="522"/>
      <c r="D28" s="522"/>
      <c r="E28" s="522"/>
      <c r="F28" s="522"/>
      <c r="G28" s="522"/>
      <c r="H28" s="522"/>
      <c r="I28" s="522"/>
      <c r="J28" s="522"/>
      <c r="K28" s="522"/>
      <c r="L28" s="522"/>
      <c r="M28" s="522"/>
      <c r="N28" s="522"/>
    </row>
    <row r="29"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522"/>
      <c r="N29" s="522"/>
    </row>
    <row r="30">
      <c r="C30" s="522"/>
      <c r="D30" s="522"/>
      <c r="E30" s="522"/>
      <c r="F30" s="522"/>
      <c r="G30" s="522"/>
      <c r="H30" s="522"/>
      <c r="I30" s="522"/>
      <c r="J30" s="522"/>
      <c r="K30" s="522"/>
      <c r="L30" s="522"/>
      <c r="M30" s="522"/>
      <c r="N30" s="522"/>
    </row>
    <row r="31">
      <c r="C31" s="522"/>
      <c r="D31" s="522"/>
      <c r="E31" s="522"/>
      <c r="F31" s="522"/>
      <c r="G31" s="522"/>
      <c r="H31" s="522"/>
      <c r="I31" s="522"/>
      <c r="J31" s="522"/>
      <c r="K31" s="522"/>
      <c r="L31" s="522"/>
      <c r="M31" s="522"/>
      <c r="N31" s="522"/>
    </row>
    <row r="32">
      <c r="C32" s="522"/>
      <c r="D32" s="522"/>
      <c r="E32" s="522"/>
      <c r="F32" s="522"/>
      <c r="G32" s="522"/>
      <c r="H32" s="522"/>
      <c r="I32" s="522"/>
      <c r="J32" s="522"/>
      <c r="K32" s="522"/>
      <c r="L32" s="522"/>
      <c r="M32" s="522"/>
      <c r="N32" s="522"/>
    </row>
    <row r="33">
      <c r="C33" s="522"/>
      <c r="D33" s="522"/>
      <c r="E33" s="522"/>
      <c r="F33" s="522"/>
      <c r="G33" s="522"/>
      <c r="H33" s="522"/>
      <c r="I33" s="522"/>
      <c r="J33" s="522"/>
      <c r="K33" s="522"/>
      <c r="L33" s="522"/>
      <c r="M33" s="522"/>
      <c r="N33" s="522"/>
    </row>
    <row r="34"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522"/>
      <c r="N34" s="522"/>
    </row>
    <row r="35">
      <c r="C35" s="522"/>
      <c r="D35" s="522"/>
      <c r="E35" s="522"/>
      <c r="F35" s="522"/>
      <c r="G35" s="522"/>
      <c r="H35" s="522"/>
      <c r="I35" s="522"/>
      <c r="J35" s="522"/>
      <c r="K35" s="522"/>
      <c r="L35" s="522"/>
      <c r="M35" s="522"/>
      <c r="N35" s="522"/>
    </row>
    <row r="36">
      <c r="C36" s="522"/>
      <c r="D36" s="522"/>
      <c r="E36" s="522"/>
      <c r="F36" s="522"/>
      <c r="G36" s="522"/>
      <c r="H36" s="522"/>
      <c r="I36" s="522"/>
      <c r="J36" s="522"/>
      <c r="K36" s="522"/>
      <c r="L36" s="522"/>
      <c r="M36" s="522"/>
      <c r="N36" s="522"/>
    </row>
    <row r="37">
      <c r="C37" s="522"/>
      <c r="D37" s="522"/>
      <c r="E37" s="522"/>
      <c r="F37" s="522"/>
      <c r="G37" s="522"/>
      <c r="H37" s="522"/>
      <c r="I37" s="522"/>
      <c r="J37" s="522"/>
      <c r="K37" s="522"/>
      <c r="L37" s="522"/>
      <c r="M37" s="522"/>
      <c r="N37" s="522"/>
    </row>
    <row r="38">
      <c r="C38" s="522"/>
      <c r="D38" s="522"/>
      <c r="E38" s="522"/>
      <c r="F38" s="522"/>
      <c r="G38" s="522"/>
      <c r="H38" s="522"/>
      <c r="I38" s="522"/>
      <c r="J38" s="522"/>
      <c r="K38" s="522"/>
      <c r="L38" s="522"/>
      <c r="M38" s="522"/>
      <c r="N38" s="522"/>
    </row>
    <row r="39">
      <c r="C39" s="522"/>
      <c r="D39" s="522"/>
      <c r="E39" s="522"/>
      <c r="F39" s="522"/>
      <c r="G39" s="522"/>
      <c r="H39" s="522"/>
      <c r="I39" s="522"/>
      <c r="J39" s="522"/>
      <c r="K39" s="522"/>
      <c r="L39" s="522"/>
      <c r="M39" s="522"/>
      <c r="N39" s="522"/>
    </row>
    <row r="40">
      <c r="C40" s="522"/>
      <c r="D40" s="522"/>
      <c r="E40" s="522"/>
      <c r="F40" s="522"/>
      <c r="G40" s="522"/>
      <c r="H40" s="522"/>
      <c r="I40" s="522"/>
      <c r="J40" s="522"/>
      <c r="K40" s="522"/>
      <c r="L40" s="522"/>
      <c r="M40" s="522"/>
      <c r="N40" s="522"/>
    </row>
    <row r="41">
      <c r="C41" s="522"/>
      <c r="D41" s="522"/>
      <c r="E41" s="522"/>
      <c r="F41" s="522"/>
      <c r="G41" s="522"/>
      <c r="H41" s="522"/>
      <c r="I41" s="522"/>
      <c r="J41" s="522"/>
      <c r="K41" s="522"/>
      <c r="L41" s="522"/>
      <c r="M41" s="522"/>
      <c r="N41" s="522"/>
    </row>
    <row r="42"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  <c r="N42" s="522"/>
    </row>
    <row r="43">
      <c r="C43" s="522"/>
      <c r="D43" s="522"/>
      <c r="E43" s="522"/>
      <c r="F43" s="522"/>
      <c r="G43" s="522"/>
      <c r="H43" s="522"/>
      <c r="I43" s="522"/>
      <c r="J43" s="522"/>
      <c r="K43" s="522"/>
      <c r="L43" s="522"/>
      <c r="M43" s="522"/>
      <c r="N43" s="522"/>
    </row>
    <row r="44">
      <c r="C44" s="522"/>
      <c r="D44" s="522"/>
      <c r="E44" s="522"/>
      <c r="F44" s="522"/>
      <c r="G44" s="522"/>
      <c r="H44" s="522"/>
      <c r="I44" s="522"/>
      <c r="J44" s="522"/>
      <c r="K44" s="522"/>
      <c r="L44" s="522"/>
      <c r="M44" s="522"/>
      <c r="N44" s="522"/>
    </row>
    <row r="45">
      <c r="C45" s="522"/>
      <c r="D45" s="522"/>
      <c r="E45" s="522"/>
      <c r="F45" s="522"/>
      <c r="G45" s="522"/>
      <c r="H45" s="522"/>
      <c r="I45" s="522"/>
      <c r="J45" s="522"/>
      <c r="K45" s="522"/>
      <c r="L45" s="522"/>
      <c r="M45" s="522"/>
      <c r="N45" s="522"/>
    </row>
    <row r="46">
      <c r="C46" s="522"/>
      <c r="D46" s="522"/>
      <c r="E46" s="522"/>
      <c r="F46" s="522"/>
      <c r="G46" s="522"/>
      <c r="H46" s="522"/>
      <c r="I46" s="522"/>
      <c r="J46" s="522"/>
      <c r="K46" s="522"/>
      <c r="L46" s="522"/>
      <c r="M46" s="522"/>
      <c r="N46" s="522"/>
    </row>
    <row r="47"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522"/>
      <c r="N47" s="522"/>
    </row>
    <row r="48">
      <c r="C48" s="522"/>
      <c r="D48" s="522"/>
      <c r="E48" s="522"/>
      <c r="F48" s="522"/>
      <c r="G48" s="522"/>
      <c r="H48" s="522"/>
      <c r="I48" s="522"/>
      <c r="J48" s="522"/>
      <c r="K48" s="522"/>
      <c r="L48" s="522"/>
      <c r="M48" s="522"/>
      <c r="N48" s="522"/>
    </row>
    <row r="49">
      <c r="C49" s="522"/>
      <c r="D49" s="522"/>
      <c r="E49" s="522"/>
      <c r="F49" s="522"/>
      <c r="G49" s="522"/>
      <c r="H49" s="522"/>
      <c r="I49" s="522"/>
      <c r="J49" s="522"/>
      <c r="K49" s="522"/>
      <c r="L49" s="522"/>
      <c r="M49" s="522"/>
      <c r="N49" s="522"/>
    </row>
    <row r="50">
      <c r="C50" s="522"/>
      <c r="D50" s="522"/>
      <c r="E50" s="522"/>
      <c r="F50" s="522"/>
      <c r="G50" s="522"/>
      <c r="H50" s="522"/>
      <c r="I50" s="522"/>
      <c r="J50" s="522"/>
      <c r="K50" s="522"/>
      <c r="L50" s="522"/>
      <c r="M50" s="522"/>
      <c r="N50" s="522"/>
    </row>
    <row r="51">
      <c r="C51" s="522"/>
      <c r="D51" s="522"/>
      <c r="E51" s="522"/>
      <c r="F51" s="522"/>
      <c r="G51" s="522"/>
      <c r="H51" s="522"/>
      <c r="I51" s="522"/>
      <c r="J51" s="522"/>
      <c r="K51" s="522"/>
      <c r="L51" s="522"/>
      <c r="M51" s="522"/>
      <c r="N51" s="522"/>
    </row>
    <row r="52">
      <c r="C52" s="522"/>
      <c r="D52" s="522"/>
      <c r="E52" s="522"/>
      <c r="F52" s="522"/>
      <c r="G52" s="522"/>
      <c r="H52" s="522"/>
      <c r="I52" s="522"/>
      <c r="J52" s="522"/>
      <c r="K52" s="522"/>
      <c r="L52" s="522"/>
      <c r="M52" s="522"/>
      <c r="N52" s="522"/>
    </row>
    <row r="53">
      <c r="C53" s="522"/>
      <c r="D53" s="522"/>
      <c r="E53" s="522"/>
      <c r="F53" s="522"/>
      <c r="G53" s="522"/>
      <c r="H53" s="522"/>
      <c r="I53" s="522"/>
      <c r="J53" s="522"/>
      <c r="K53" s="522"/>
      <c r="L53" s="522"/>
      <c r="M53" s="522"/>
      <c r="N53" s="522"/>
    </row>
    <row r="54"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</row>
    <row r="55">
      <c r="C55" s="522"/>
      <c r="D55" s="522"/>
      <c r="E55" s="522"/>
      <c r="F55" s="522"/>
      <c r="G55" s="522"/>
      <c r="H55" s="522"/>
      <c r="I55" s="522"/>
      <c r="J55" s="522"/>
      <c r="K55" s="522"/>
      <c r="L55" s="522"/>
      <c r="M55" s="522"/>
      <c r="N55" s="522"/>
    </row>
    <row r="56">
      <c r="C56" s="522"/>
      <c r="D56" s="522"/>
      <c r="E56" s="522"/>
      <c r="F56" s="522"/>
      <c r="G56" s="522"/>
      <c r="H56" s="522"/>
      <c r="I56" s="522"/>
      <c r="J56" s="522"/>
      <c r="K56" s="522"/>
      <c r="L56" s="522"/>
      <c r="M56" s="522"/>
      <c r="N56" s="522"/>
    </row>
    <row r="57">
      <c r="C57" s="522"/>
      <c r="D57" s="522"/>
      <c r="E57" s="522"/>
      <c r="F57" s="522"/>
      <c r="G57" s="522"/>
      <c r="H57" s="522"/>
      <c r="I57" s="522"/>
      <c r="J57" s="522"/>
      <c r="K57" s="522"/>
      <c r="L57" s="522"/>
      <c r="M57" s="522"/>
      <c r="N57" s="522"/>
    </row>
    <row r="58">
      <c r="C58" s="522"/>
      <c r="D58" s="522"/>
      <c r="E58" s="522"/>
      <c r="F58" s="522"/>
      <c r="G58" s="522"/>
      <c r="H58" s="522"/>
      <c r="I58" s="522"/>
      <c r="J58" s="522"/>
      <c r="K58" s="522"/>
      <c r="L58" s="522"/>
      <c r="M58" s="522"/>
      <c r="N58" s="522"/>
    </row>
    <row r="59">
      <c r="C59" s="522"/>
      <c r="D59" s="522"/>
      <c r="E59" s="522"/>
      <c r="F59" s="522"/>
      <c r="G59" s="522"/>
      <c r="H59" s="522"/>
      <c r="I59" s="522"/>
      <c r="J59" s="522"/>
      <c r="K59" s="522"/>
      <c r="L59" s="522"/>
      <c r="M59" s="522"/>
      <c r="N59" s="522"/>
    </row>
    <row r="60"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</row>
    <row r="61">
      <c r="C61" s="522"/>
      <c r="D61" s="522"/>
      <c r="E61" s="522"/>
      <c r="F61" s="522"/>
      <c r="G61" s="522"/>
      <c r="H61" s="522"/>
      <c r="I61" s="522"/>
      <c r="J61" s="522"/>
      <c r="K61" s="522"/>
      <c r="L61" s="522"/>
      <c r="M61" s="522"/>
      <c r="N61" s="522"/>
    </row>
    <row r="62"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</row>
    <row r="63">
      <c r="C63" s="522"/>
      <c r="D63" s="522"/>
      <c r="E63" s="522"/>
      <c r="F63" s="522"/>
      <c r="G63" s="522"/>
      <c r="H63" s="522"/>
      <c r="I63" s="522"/>
      <c r="J63" s="522"/>
      <c r="K63" s="522"/>
      <c r="L63" s="522"/>
      <c r="M63" s="522"/>
      <c r="N63" s="522"/>
    </row>
    <row r="64">
      <c r="C64" s="522"/>
      <c r="D64" s="522"/>
      <c r="E64" s="522"/>
      <c r="F64" s="522"/>
      <c r="G64" s="522"/>
      <c r="H64" s="522"/>
      <c r="I64" s="522"/>
      <c r="J64" s="522"/>
      <c r="K64" s="522"/>
      <c r="L64" s="522"/>
      <c r="M64" s="522"/>
      <c r="N64" s="522"/>
    </row>
    <row r="65">
      <c r="C65" s="522"/>
      <c r="D65" s="522"/>
      <c r="E65" s="522"/>
      <c r="F65" s="522"/>
      <c r="G65" s="522"/>
      <c r="H65" s="522"/>
      <c r="I65" s="522"/>
      <c r="J65" s="522"/>
      <c r="K65" s="522"/>
      <c r="L65" s="522"/>
      <c r="M65" s="522"/>
      <c r="N65" s="522"/>
    </row>
    <row r="66">
      <c r="C66" s="522"/>
      <c r="D66" s="522"/>
      <c r="E66" s="522"/>
      <c r="F66" s="522"/>
      <c r="G66" s="522"/>
      <c r="H66" s="522"/>
      <c r="I66" s="522"/>
      <c r="J66" s="522"/>
      <c r="K66" s="522"/>
      <c r="L66" s="522"/>
      <c r="M66" s="522"/>
      <c r="N66" s="522"/>
    </row>
    <row r="67">
      <c r="C67" s="522"/>
      <c r="D67" s="522"/>
      <c r="E67" s="522"/>
      <c r="F67" s="522"/>
      <c r="G67" s="522"/>
      <c r="H67" s="522"/>
      <c r="I67" s="522"/>
      <c r="J67" s="522"/>
      <c r="K67" s="522"/>
      <c r="L67" s="522"/>
      <c r="M67" s="522"/>
      <c r="N67" s="522"/>
    </row>
    <row r="68">
      <c r="C68" s="522"/>
      <c r="D68" s="522"/>
      <c r="E68" s="522"/>
      <c r="F68" s="522"/>
      <c r="G68" s="522"/>
      <c r="H68" s="522"/>
      <c r="I68" s="522"/>
      <c r="J68" s="522"/>
      <c r="K68" s="522"/>
      <c r="L68" s="522"/>
      <c r="M68" s="522"/>
      <c r="N68" s="522"/>
    </row>
    <row r="69">
      <c r="C69" s="522"/>
      <c r="D69" s="522"/>
      <c r="E69" s="522"/>
      <c r="F69" s="522"/>
      <c r="G69" s="522"/>
      <c r="H69" s="522"/>
      <c r="I69" s="522"/>
      <c r="J69" s="522"/>
      <c r="K69" s="522"/>
      <c r="L69" s="522"/>
      <c r="M69" s="522"/>
      <c r="N69" s="522"/>
    </row>
    <row r="70">
      <c r="C70" s="522"/>
      <c r="D70" s="522"/>
      <c r="E70" s="522"/>
      <c r="F70" s="522"/>
      <c r="G70" s="522"/>
      <c r="H70" s="522"/>
      <c r="I70" s="522"/>
      <c r="J70" s="522"/>
      <c r="K70" s="522"/>
      <c r="L70" s="522"/>
      <c r="M70" s="522"/>
      <c r="N70" s="522"/>
    </row>
    <row r="71">
      <c r="C71" s="522"/>
      <c r="D71" s="522"/>
      <c r="E71" s="522"/>
      <c r="F71" s="522"/>
      <c r="G71" s="522"/>
      <c r="H71" s="522"/>
      <c r="I71" s="522"/>
      <c r="J71" s="522"/>
      <c r="K71" s="522"/>
      <c r="L71" s="522"/>
      <c r="M71" s="522"/>
      <c r="N71" s="522"/>
    </row>
    <row r="72">
      <c r="C72" s="522"/>
      <c r="D72" s="522"/>
      <c r="E72" s="522"/>
      <c r="F72" s="522"/>
      <c r="G72" s="522"/>
      <c r="H72" s="522"/>
      <c r="I72" s="522"/>
      <c r="J72" s="522"/>
      <c r="K72" s="522"/>
      <c r="L72" s="522"/>
      <c r="M72" s="522"/>
      <c r="N72" s="522"/>
    </row>
    <row r="73">
      <c r="C73" s="522"/>
      <c r="D73" s="522"/>
      <c r="E73" s="522"/>
      <c r="F73" s="522"/>
      <c r="G73" s="522"/>
      <c r="H73" s="522"/>
      <c r="I73" s="522"/>
      <c r="J73" s="522"/>
      <c r="K73" s="522"/>
      <c r="L73" s="522"/>
      <c r="M73" s="522"/>
      <c r="N73" s="522"/>
    </row>
    <row r="74">
      <c r="C74" s="522"/>
      <c r="D74" s="522"/>
      <c r="E74" s="522"/>
      <c r="F74" s="522"/>
      <c r="G74" s="522"/>
      <c r="H74" s="522"/>
      <c r="I74" s="522"/>
      <c r="J74" s="522"/>
      <c r="K74" s="522"/>
      <c r="L74" s="522"/>
      <c r="M74" s="522"/>
      <c r="N74" s="522"/>
    </row>
    <row r="75">
      <c r="C75" s="522"/>
      <c r="D75" s="522"/>
      <c r="E75" s="522"/>
      <c r="F75" s="522"/>
      <c r="G75" s="522"/>
      <c r="H75" s="522"/>
      <c r="I75" s="522"/>
      <c r="J75" s="522"/>
      <c r="K75" s="522"/>
      <c r="L75" s="522"/>
      <c r="M75" s="522"/>
      <c r="N75" s="522"/>
    </row>
    <row r="76">
      <c r="C76" s="522"/>
      <c r="D76" s="522"/>
      <c r="E76" s="522"/>
      <c r="F76" s="522"/>
      <c r="G76" s="522"/>
      <c r="H76" s="522"/>
      <c r="I76" s="522"/>
      <c r="J76" s="522"/>
      <c r="K76" s="522"/>
      <c r="L76" s="522"/>
      <c r="M76" s="522"/>
      <c r="N76" s="522"/>
    </row>
    <row r="77">
      <c r="C77" s="522"/>
      <c r="D77" s="522"/>
      <c r="E77" s="522"/>
      <c r="F77" s="522"/>
      <c r="G77" s="522"/>
      <c r="H77" s="522"/>
      <c r="I77" s="522"/>
      <c r="J77" s="522"/>
      <c r="K77" s="522"/>
      <c r="L77" s="522"/>
      <c r="M77" s="522"/>
      <c r="N77" s="522"/>
    </row>
    <row r="78">
      <c r="C78" s="522"/>
      <c r="D78" s="522"/>
      <c r="E78" s="522"/>
      <c r="F78" s="522"/>
      <c r="G78" s="522"/>
      <c r="H78" s="522"/>
      <c r="I78" s="522"/>
      <c r="J78" s="522"/>
      <c r="K78" s="522"/>
      <c r="L78" s="522"/>
      <c r="M78" s="522"/>
      <c r="N78" s="522"/>
    </row>
    <row r="79">
      <c r="C79" s="522"/>
      <c r="D79" s="522"/>
      <c r="E79" s="522"/>
      <c r="F79" s="522"/>
      <c r="G79" s="522"/>
      <c r="H79" s="522"/>
      <c r="I79" s="522"/>
      <c r="J79" s="522"/>
      <c r="K79" s="522"/>
      <c r="L79" s="522"/>
      <c r="M79" s="522"/>
      <c r="N79" s="522"/>
    </row>
    <row r="80">
      <c r="C80" s="522"/>
      <c r="D80" s="522"/>
      <c r="E80" s="522"/>
      <c r="F80" s="522"/>
      <c r="G80" s="522"/>
      <c r="H80" s="522"/>
      <c r="I80" s="522"/>
      <c r="J80" s="522"/>
      <c r="K80" s="522"/>
      <c r="L80" s="522"/>
      <c r="M80" s="522"/>
      <c r="N80" s="522"/>
    </row>
    <row r="81"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522"/>
      <c r="N81" s="522"/>
    </row>
    <row r="82">
      <c r="C82" s="522"/>
      <c r="D82" s="522"/>
      <c r="E82" s="522"/>
      <c r="F82" s="522"/>
      <c r="G82" s="522"/>
      <c r="H82" s="522"/>
      <c r="I82" s="522"/>
      <c r="J82" s="522"/>
      <c r="K82" s="522"/>
      <c r="L82" s="522"/>
      <c r="M82" s="522"/>
      <c r="N82" s="522"/>
    </row>
    <row r="83">
      <c r="C83" s="522"/>
      <c r="D83" s="522"/>
      <c r="E83" s="522"/>
      <c r="F83" s="522"/>
      <c r="G83" s="522"/>
      <c r="H83" s="522"/>
      <c r="I83" s="522"/>
      <c r="J83" s="522"/>
      <c r="K83" s="522"/>
      <c r="L83" s="522"/>
      <c r="M83" s="522"/>
      <c r="N83" s="522"/>
    </row>
    <row r="84">
      <c r="C84" s="522"/>
      <c r="D84" s="522"/>
      <c r="E84" s="522"/>
      <c r="F84" s="522"/>
      <c r="G84" s="522"/>
      <c r="H84" s="522"/>
      <c r="I84" s="522"/>
      <c r="J84" s="522"/>
      <c r="K84" s="522"/>
      <c r="L84" s="522"/>
      <c r="M84" s="522"/>
      <c r="N84" s="522"/>
    </row>
    <row r="85">
      <c r="C85" s="522"/>
      <c r="D85" s="522"/>
      <c r="E85" s="522"/>
      <c r="F85" s="522"/>
      <c r="G85" s="522"/>
      <c r="H85" s="522"/>
      <c r="I85" s="522"/>
      <c r="J85" s="522"/>
      <c r="K85" s="522"/>
      <c r="L85" s="522"/>
      <c r="M85" s="522"/>
      <c r="N85" s="522"/>
    </row>
    <row r="86">
      <c r="C86" s="522"/>
      <c r="D86" s="522"/>
      <c r="E86" s="522"/>
      <c r="F86" s="522"/>
      <c r="G86" s="522"/>
      <c r="H86" s="522"/>
      <c r="I86" s="522"/>
      <c r="J86" s="522"/>
      <c r="K86" s="522"/>
      <c r="L86" s="522"/>
      <c r="M86" s="522"/>
      <c r="N86" s="522"/>
    </row>
    <row r="87">
      <c r="C87" s="522"/>
      <c r="D87" s="522"/>
      <c r="E87" s="522"/>
      <c r="F87" s="522"/>
      <c r="G87" s="522"/>
      <c r="H87" s="522"/>
      <c r="I87" s="522"/>
      <c r="J87" s="522"/>
      <c r="K87" s="522"/>
      <c r="L87" s="522"/>
      <c r="M87" s="522"/>
      <c r="N87" s="522"/>
    </row>
    <row r="88">
      <c r="C88" s="522"/>
      <c r="D88" s="522"/>
      <c r="E88" s="522"/>
      <c r="F88" s="522"/>
      <c r="G88" s="522"/>
      <c r="H88" s="522"/>
      <c r="I88" s="522"/>
      <c r="J88" s="522"/>
      <c r="K88" s="522"/>
      <c r="L88" s="522"/>
      <c r="M88" s="522"/>
      <c r="N88" s="522"/>
    </row>
    <row r="89">
      <c r="C89" s="522"/>
      <c r="D89" s="522"/>
      <c r="E89" s="522"/>
      <c r="F89" s="522"/>
      <c r="G89" s="522"/>
      <c r="H89" s="522"/>
      <c r="I89" s="522"/>
      <c r="J89" s="522"/>
      <c r="K89" s="522"/>
      <c r="L89" s="522"/>
      <c r="M89" s="522"/>
      <c r="N89" s="522"/>
    </row>
    <row r="90">
      <c r="C90" s="522"/>
      <c r="D90" s="522"/>
      <c r="E90" s="522"/>
      <c r="F90" s="522"/>
      <c r="G90" s="522"/>
      <c r="H90" s="522"/>
      <c r="I90" s="522"/>
      <c r="J90" s="522"/>
      <c r="K90" s="522"/>
      <c r="L90" s="522"/>
      <c r="M90" s="522"/>
      <c r="N90" s="522"/>
    </row>
    <row r="91">
      <c r="C91" s="522"/>
      <c r="D91" s="522"/>
      <c r="E91" s="522"/>
      <c r="F91" s="522"/>
      <c r="G91" s="522"/>
      <c r="H91" s="522"/>
      <c r="I91" s="522"/>
      <c r="J91" s="522"/>
      <c r="K91" s="522"/>
      <c r="L91" s="522"/>
      <c r="M91" s="522"/>
      <c r="N91" s="522"/>
    </row>
    <row r="92">
      <c r="C92" s="522"/>
      <c r="D92" s="522"/>
      <c r="E92" s="522"/>
      <c r="F92" s="522"/>
      <c r="G92" s="522"/>
      <c r="H92" s="522"/>
      <c r="I92" s="522"/>
      <c r="J92" s="522"/>
      <c r="K92" s="522"/>
      <c r="L92" s="522"/>
      <c r="M92" s="522"/>
      <c r="N92" s="522"/>
    </row>
    <row r="93">
      <c r="C93" s="522"/>
      <c r="D93" s="522"/>
      <c r="E93" s="522"/>
      <c r="F93" s="522"/>
      <c r="G93" s="522"/>
      <c r="H93" s="522"/>
      <c r="I93" s="522"/>
      <c r="J93" s="522"/>
      <c r="K93" s="522"/>
      <c r="L93" s="522"/>
      <c r="M93" s="522"/>
      <c r="N93" s="522"/>
    </row>
    <row r="94">
      <c r="C94" s="522"/>
      <c r="D94" s="522"/>
      <c r="E94" s="522"/>
      <c r="F94" s="522"/>
      <c r="G94" s="522"/>
      <c r="H94" s="522"/>
      <c r="I94" s="522"/>
      <c r="J94" s="522"/>
      <c r="K94" s="522"/>
      <c r="L94" s="522"/>
      <c r="M94" s="522"/>
      <c r="N94" s="522"/>
    </row>
    <row r="95">
      <c r="C95" s="522"/>
      <c r="D95" s="522"/>
      <c r="E95" s="522"/>
      <c r="F95" s="522"/>
      <c r="G95" s="522"/>
      <c r="H95" s="522"/>
      <c r="I95" s="522"/>
      <c r="J95" s="522"/>
      <c r="K95" s="522"/>
      <c r="L95" s="522"/>
      <c r="M95" s="522"/>
      <c r="N95" s="522"/>
    </row>
    <row r="96">
      <c r="C96" s="522"/>
      <c r="D96" s="522"/>
      <c r="E96" s="522"/>
      <c r="F96" s="522"/>
      <c r="G96" s="522"/>
      <c r="H96" s="522"/>
      <c r="I96" s="522"/>
      <c r="J96" s="522"/>
      <c r="K96" s="522"/>
      <c r="L96" s="522"/>
      <c r="M96" s="522"/>
      <c r="N96" s="522"/>
    </row>
    <row r="97">
      <c r="C97" s="522"/>
      <c r="D97" s="522"/>
      <c r="E97" s="522"/>
      <c r="F97" s="522"/>
      <c r="G97" s="522"/>
      <c r="H97" s="522"/>
      <c r="I97" s="522"/>
      <c r="J97" s="522"/>
      <c r="K97" s="522"/>
      <c r="L97" s="522"/>
      <c r="M97" s="522"/>
      <c r="N97" s="522"/>
    </row>
    <row r="98">
      <c r="C98" s="522"/>
      <c r="D98" s="522"/>
      <c r="E98" s="522"/>
      <c r="F98" s="522"/>
      <c r="G98" s="522"/>
      <c r="H98" s="522"/>
      <c r="I98" s="522"/>
      <c r="J98" s="522"/>
      <c r="K98" s="522"/>
      <c r="L98" s="522"/>
      <c r="M98" s="522"/>
      <c r="N98" s="522"/>
    </row>
    <row r="99">
      <c r="C99" s="522"/>
      <c r="D99" s="522"/>
      <c r="E99" s="522"/>
      <c r="F99" s="522"/>
      <c r="G99" s="522"/>
      <c r="H99" s="522"/>
      <c r="I99" s="522"/>
      <c r="J99" s="522"/>
      <c r="K99" s="522"/>
      <c r="L99" s="522"/>
      <c r="M99" s="522"/>
      <c r="N99" s="522"/>
    </row>
    <row r="100">
      <c r="C100" s="522"/>
      <c r="D100" s="522"/>
      <c r="E100" s="522"/>
      <c r="F100" s="522"/>
      <c r="G100" s="522"/>
      <c r="H100" s="522"/>
      <c r="I100" s="522"/>
      <c r="J100" s="522"/>
      <c r="K100" s="522"/>
      <c r="L100" s="522"/>
      <c r="M100" s="522"/>
      <c r="N100" s="522"/>
    </row>
    <row r="101">
      <c r="C101" s="522"/>
      <c r="D101" s="522"/>
      <c r="E101" s="522"/>
      <c r="F101" s="522"/>
      <c r="G101" s="522"/>
      <c r="H101" s="522"/>
      <c r="I101" s="522"/>
      <c r="J101" s="522"/>
      <c r="K101" s="522"/>
      <c r="L101" s="522"/>
      <c r="M101" s="522"/>
      <c r="N101" s="522"/>
    </row>
    <row r="102">
      <c r="C102" s="522"/>
      <c r="D102" s="522"/>
      <c r="E102" s="522"/>
      <c r="F102" s="522"/>
      <c r="G102" s="522"/>
      <c r="H102" s="522"/>
      <c r="I102" s="522"/>
      <c r="J102" s="522"/>
      <c r="K102" s="522"/>
      <c r="L102" s="522"/>
      <c r="M102" s="522"/>
      <c r="N102" s="522"/>
    </row>
    <row r="103">
      <c r="C103" s="522"/>
      <c r="D103" s="522"/>
      <c r="E103" s="522"/>
      <c r="F103" s="522"/>
      <c r="G103" s="522"/>
      <c r="H103" s="522"/>
      <c r="I103" s="522"/>
      <c r="J103" s="522"/>
      <c r="K103" s="522"/>
      <c r="L103" s="522"/>
      <c r="M103" s="522"/>
      <c r="N103" s="522"/>
    </row>
    <row r="104">
      <c r="C104" s="522"/>
      <c r="D104" s="522"/>
      <c r="E104" s="522"/>
      <c r="F104" s="522"/>
      <c r="G104" s="522"/>
      <c r="H104" s="522"/>
      <c r="I104" s="522"/>
      <c r="J104" s="522"/>
      <c r="K104" s="522"/>
      <c r="L104" s="522"/>
      <c r="M104" s="522"/>
      <c r="N104" s="522"/>
    </row>
    <row r="105">
      <c r="C105" s="522"/>
      <c r="D105" s="522"/>
      <c r="E105" s="522"/>
      <c r="F105" s="522"/>
      <c r="G105" s="522"/>
      <c r="H105" s="522"/>
      <c r="I105" s="522"/>
      <c r="J105" s="522"/>
      <c r="K105" s="522"/>
      <c r="L105" s="522"/>
      <c r="M105" s="522"/>
      <c r="N105" s="522"/>
    </row>
    <row r="106">
      <c r="C106" s="522"/>
      <c r="D106" s="522"/>
      <c r="E106" s="522"/>
      <c r="F106" s="522"/>
      <c r="G106" s="522"/>
      <c r="H106" s="522"/>
      <c r="I106" s="522"/>
      <c r="J106" s="522"/>
      <c r="K106" s="522"/>
      <c r="L106" s="522"/>
      <c r="M106" s="522"/>
      <c r="N106" s="522"/>
    </row>
    <row r="107">
      <c r="C107" s="522"/>
      <c r="D107" s="522"/>
      <c r="E107" s="522"/>
      <c r="F107" s="522"/>
      <c r="G107" s="522"/>
      <c r="H107" s="522"/>
      <c r="I107" s="522"/>
      <c r="J107" s="522"/>
      <c r="K107" s="522"/>
      <c r="L107" s="522"/>
      <c r="M107" s="522"/>
      <c r="N107" s="522"/>
    </row>
    <row r="108"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  <c r="N108" s="522"/>
    </row>
    <row r="109">
      <c r="C109" s="522"/>
      <c r="D109" s="522"/>
      <c r="E109" s="522"/>
      <c r="F109" s="522"/>
      <c r="G109" s="522"/>
      <c r="H109" s="522"/>
      <c r="I109" s="522"/>
      <c r="J109" s="522"/>
      <c r="K109" s="522"/>
      <c r="L109" s="522"/>
      <c r="M109" s="522"/>
      <c r="N109" s="522"/>
    </row>
    <row r="110">
      <c r="C110" s="522"/>
      <c r="D110" s="522"/>
      <c r="E110" s="522"/>
      <c r="F110" s="522"/>
      <c r="G110" s="522"/>
      <c r="H110" s="522"/>
      <c r="I110" s="522"/>
      <c r="J110" s="522"/>
      <c r="K110" s="522"/>
      <c r="L110" s="522"/>
      <c r="M110" s="522"/>
      <c r="N110" s="522"/>
    </row>
    <row r="111">
      <c r="C111" s="522"/>
      <c r="D111" s="522"/>
      <c r="E111" s="522"/>
      <c r="F111" s="522"/>
      <c r="G111" s="522"/>
      <c r="H111" s="522"/>
      <c r="I111" s="522"/>
      <c r="J111" s="522"/>
      <c r="K111" s="522"/>
      <c r="L111" s="522"/>
      <c r="M111" s="522"/>
      <c r="N111" s="522"/>
    </row>
    <row r="112">
      <c r="C112" s="522"/>
      <c r="D112" s="522"/>
      <c r="E112" s="522"/>
      <c r="F112" s="522"/>
      <c r="G112" s="522"/>
      <c r="H112" s="522"/>
      <c r="I112" s="522"/>
      <c r="J112" s="522"/>
      <c r="K112" s="522"/>
      <c r="L112" s="522"/>
      <c r="M112" s="522"/>
      <c r="N112" s="522"/>
    </row>
    <row r="113">
      <c r="C113" s="522"/>
      <c r="D113" s="522"/>
      <c r="E113" s="522"/>
      <c r="F113" s="522"/>
      <c r="G113" s="522"/>
      <c r="H113" s="522"/>
      <c r="I113" s="522"/>
      <c r="J113" s="522"/>
      <c r="K113" s="522"/>
      <c r="L113" s="522"/>
      <c r="M113" s="522"/>
      <c r="N113" s="522"/>
    </row>
    <row r="114">
      <c r="C114" s="522"/>
      <c r="D114" s="522"/>
      <c r="E114" s="522"/>
      <c r="F114" s="522"/>
      <c r="G114" s="522"/>
      <c r="H114" s="522"/>
      <c r="I114" s="522"/>
      <c r="J114" s="522"/>
      <c r="K114" s="522"/>
      <c r="L114" s="522"/>
      <c r="M114" s="522"/>
      <c r="N114" s="522"/>
    </row>
    <row r="115">
      <c r="C115" s="522"/>
      <c r="D115" s="522"/>
      <c r="E115" s="522"/>
      <c r="F115" s="522"/>
      <c r="G115" s="522"/>
      <c r="H115" s="522"/>
      <c r="I115" s="522"/>
      <c r="J115" s="522"/>
      <c r="K115" s="522"/>
      <c r="L115" s="522"/>
      <c r="M115" s="522"/>
      <c r="N115" s="522"/>
    </row>
    <row r="116">
      <c r="C116" s="522"/>
      <c r="D116" s="522"/>
      <c r="E116" s="522"/>
      <c r="F116" s="522"/>
      <c r="G116" s="522"/>
      <c r="H116" s="522"/>
      <c r="I116" s="522"/>
      <c r="J116" s="522"/>
      <c r="K116" s="522"/>
      <c r="L116" s="522"/>
      <c r="M116" s="522"/>
      <c r="N116" s="522"/>
    </row>
    <row r="117">
      <c r="C117" s="522"/>
      <c r="D117" s="522"/>
      <c r="E117" s="522"/>
      <c r="F117" s="522"/>
      <c r="G117" s="522"/>
      <c r="H117" s="522"/>
      <c r="I117" s="522"/>
      <c r="J117" s="522"/>
      <c r="K117" s="522"/>
      <c r="L117" s="522"/>
      <c r="M117" s="522"/>
      <c r="N117" s="522"/>
    </row>
    <row r="118">
      <c r="C118" s="522"/>
      <c r="D118" s="522"/>
      <c r="E118" s="522"/>
      <c r="F118" s="522"/>
      <c r="G118" s="522"/>
      <c r="H118" s="522"/>
      <c r="I118" s="522"/>
      <c r="J118" s="522"/>
      <c r="K118" s="522"/>
      <c r="L118" s="522"/>
      <c r="M118" s="522"/>
      <c r="N118" s="522"/>
    </row>
    <row r="119">
      <c r="C119" s="522"/>
      <c r="D119" s="522"/>
      <c r="E119" s="522"/>
      <c r="F119" s="522"/>
      <c r="G119" s="522"/>
      <c r="H119" s="522"/>
      <c r="I119" s="522"/>
      <c r="J119" s="522"/>
      <c r="K119" s="522"/>
      <c r="L119" s="522"/>
      <c r="M119" s="522"/>
      <c r="N119" s="522"/>
    </row>
    <row r="120">
      <c r="C120" s="522"/>
      <c r="D120" s="522"/>
      <c r="E120" s="522"/>
      <c r="F120" s="522"/>
      <c r="G120" s="522"/>
      <c r="H120" s="522"/>
      <c r="I120" s="522"/>
      <c r="J120" s="522"/>
      <c r="K120" s="522"/>
      <c r="L120" s="522"/>
      <c r="M120" s="522"/>
      <c r="N120" s="522"/>
    </row>
    <row r="121"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522"/>
      <c r="N121" s="522"/>
    </row>
    <row r="122">
      <c r="C122" s="522"/>
      <c r="D122" s="522"/>
      <c r="E122" s="522"/>
      <c r="F122" s="522"/>
      <c r="G122" s="522"/>
      <c r="H122" s="522"/>
      <c r="I122" s="522"/>
      <c r="J122" s="522"/>
      <c r="K122" s="522"/>
      <c r="L122" s="522"/>
      <c r="M122" s="522"/>
      <c r="N122" s="522"/>
    </row>
    <row r="123">
      <c r="C123" s="522"/>
      <c r="D123" s="522"/>
      <c r="E123" s="522"/>
      <c r="F123" s="522"/>
      <c r="G123" s="522"/>
      <c r="H123" s="522"/>
      <c r="I123" s="522"/>
      <c r="J123" s="522"/>
      <c r="K123" s="522"/>
      <c r="L123" s="522"/>
      <c r="M123" s="522"/>
      <c r="N123" s="522"/>
    </row>
    <row r="124">
      <c r="C124" s="522"/>
      <c r="D124" s="522"/>
      <c r="E124" s="522"/>
      <c r="F124" s="522"/>
      <c r="G124" s="522"/>
      <c r="H124" s="522"/>
      <c r="I124" s="522"/>
      <c r="J124" s="522"/>
      <c r="K124" s="522"/>
      <c r="L124" s="522"/>
      <c r="M124" s="522"/>
      <c r="N124" s="522"/>
    </row>
    <row r="125">
      <c r="C125" s="522"/>
      <c r="D125" s="522"/>
      <c r="E125" s="522"/>
      <c r="F125" s="522"/>
      <c r="G125" s="522"/>
      <c r="H125" s="522"/>
      <c r="I125" s="522"/>
      <c r="J125" s="522"/>
      <c r="K125" s="522"/>
      <c r="L125" s="522"/>
      <c r="M125" s="522"/>
      <c r="N125" s="522"/>
    </row>
    <row r="126">
      <c r="C126" s="522"/>
      <c r="D126" s="522"/>
      <c r="E126" s="522"/>
      <c r="F126" s="522"/>
      <c r="G126" s="522"/>
      <c r="H126" s="522"/>
      <c r="I126" s="522"/>
      <c r="J126" s="522"/>
      <c r="K126" s="522"/>
      <c r="L126" s="522"/>
      <c r="M126" s="522"/>
      <c r="N126" s="522"/>
    </row>
    <row r="127">
      <c r="C127" s="522"/>
      <c r="D127" s="522"/>
      <c r="E127" s="522"/>
      <c r="F127" s="522"/>
      <c r="G127" s="522"/>
      <c r="H127" s="522"/>
      <c r="I127" s="522"/>
      <c r="J127" s="522"/>
      <c r="K127" s="522"/>
      <c r="L127" s="522"/>
      <c r="M127" s="522"/>
      <c r="N127" s="522"/>
    </row>
    <row r="128">
      <c r="C128" s="522"/>
      <c r="D128" s="522"/>
      <c r="E128" s="522"/>
      <c r="F128" s="522"/>
      <c r="G128" s="522"/>
      <c r="H128" s="522"/>
      <c r="I128" s="522"/>
      <c r="J128" s="522"/>
      <c r="K128" s="522"/>
      <c r="L128" s="522"/>
      <c r="M128" s="522"/>
      <c r="N128" s="522"/>
    </row>
    <row r="129">
      <c r="C129" s="522"/>
      <c r="D129" s="522"/>
      <c r="E129" s="522"/>
      <c r="F129" s="522"/>
      <c r="G129" s="522"/>
      <c r="H129" s="522"/>
      <c r="I129" s="522"/>
      <c r="J129" s="522"/>
      <c r="K129" s="522"/>
      <c r="L129" s="522"/>
      <c r="M129" s="522"/>
      <c r="N129" s="522"/>
    </row>
    <row r="130">
      <c r="C130" s="522"/>
      <c r="D130" s="522"/>
      <c r="E130" s="522"/>
      <c r="F130" s="522"/>
      <c r="G130" s="522"/>
      <c r="H130" s="522"/>
      <c r="I130" s="522"/>
      <c r="J130" s="522"/>
      <c r="K130" s="522"/>
      <c r="L130" s="522"/>
      <c r="M130" s="522"/>
      <c r="N130" s="522"/>
    </row>
    <row r="131">
      <c r="C131" s="522"/>
      <c r="D131" s="522"/>
      <c r="E131" s="522"/>
      <c r="F131" s="522"/>
      <c r="G131" s="522"/>
      <c r="H131" s="522"/>
      <c r="I131" s="522"/>
      <c r="J131" s="522"/>
      <c r="K131" s="522"/>
      <c r="L131" s="522"/>
      <c r="M131" s="522"/>
      <c r="N131" s="522"/>
    </row>
    <row r="132">
      <c r="C132" s="522"/>
      <c r="D132" s="522"/>
      <c r="E132" s="522"/>
      <c r="F132" s="522"/>
      <c r="G132" s="522"/>
      <c r="H132" s="522"/>
      <c r="I132" s="522"/>
      <c r="J132" s="522"/>
      <c r="K132" s="522"/>
      <c r="L132" s="522"/>
      <c r="M132" s="522"/>
      <c r="N132" s="522"/>
    </row>
    <row r="133">
      <c r="C133" s="522"/>
      <c r="D133" s="522"/>
      <c r="E133" s="522"/>
      <c r="F133" s="522"/>
      <c r="G133" s="522"/>
      <c r="H133" s="522"/>
      <c r="I133" s="522"/>
      <c r="J133" s="522"/>
      <c r="K133" s="522"/>
      <c r="L133" s="522"/>
      <c r="M133" s="522"/>
      <c r="N133" s="522"/>
    </row>
    <row r="134">
      <c r="C134" s="522"/>
      <c r="D134" s="522"/>
      <c r="E134" s="522"/>
      <c r="F134" s="522"/>
      <c r="G134" s="522"/>
      <c r="H134" s="522"/>
      <c r="I134" s="522"/>
      <c r="J134" s="522"/>
      <c r="K134" s="522"/>
      <c r="L134" s="522"/>
      <c r="M134" s="522"/>
      <c r="N134" s="522"/>
    </row>
    <row r="135">
      <c r="C135" s="522"/>
      <c r="D135" s="522"/>
      <c r="E135" s="522"/>
      <c r="F135" s="522"/>
      <c r="G135" s="522"/>
      <c r="H135" s="522"/>
      <c r="I135" s="522"/>
      <c r="J135" s="522"/>
      <c r="K135" s="522"/>
      <c r="L135" s="522"/>
      <c r="M135" s="522"/>
      <c r="N135" s="522"/>
    </row>
    <row r="136">
      <c r="C136" s="522"/>
      <c r="D136" s="522"/>
      <c r="E136" s="522"/>
      <c r="F136" s="522"/>
      <c r="G136" s="522"/>
      <c r="H136" s="522"/>
      <c r="I136" s="522"/>
      <c r="J136" s="522"/>
      <c r="K136" s="522"/>
      <c r="L136" s="522"/>
      <c r="M136" s="522"/>
      <c r="N136" s="522"/>
    </row>
    <row r="137">
      <c r="C137" s="522"/>
      <c r="D137" s="522"/>
      <c r="E137" s="522"/>
      <c r="F137" s="522"/>
      <c r="G137" s="522"/>
      <c r="H137" s="522"/>
      <c r="I137" s="522"/>
      <c r="J137" s="522"/>
      <c r="K137" s="522"/>
      <c r="L137" s="522"/>
      <c r="M137" s="522"/>
      <c r="N137" s="522"/>
    </row>
    <row r="138">
      <c r="C138" s="522"/>
      <c r="D138" s="522"/>
      <c r="E138" s="522"/>
      <c r="F138" s="522"/>
      <c r="G138" s="522"/>
      <c r="H138" s="522"/>
      <c r="I138" s="522"/>
      <c r="J138" s="522"/>
      <c r="K138" s="522"/>
      <c r="L138" s="522"/>
      <c r="M138" s="522"/>
      <c r="N138" s="522"/>
    </row>
    <row r="139">
      <c r="C139" s="522"/>
      <c r="D139" s="522"/>
      <c r="E139" s="522"/>
      <c r="F139" s="522"/>
      <c r="G139" s="522"/>
      <c r="H139" s="522"/>
      <c r="I139" s="522"/>
      <c r="J139" s="522"/>
      <c r="K139" s="522"/>
      <c r="L139" s="522"/>
      <c r="M139" s="522"/>
      <c r="N139" s="522"/>
    </row>
    <row r="140">
      <c r="C140" s="522"/>
      <c r="D140" s="522"/>
      <c r="E140" s="522"/>
      <c r="F140" s="522"/>
      <c r="G140" s="522"/>
      <c r="H140" s="522"/>
      <c r="I140" s="522"/>
      <c r="J140" s="522"/>
      <c r="K140" s="522"/>
      <c r="L140" s="522"/>
      <c r="M140" s="522"/>
      <c r="N140" s="522"/>
    </row>
    <row r="141">
      <c r="C141" s="522"/>
      <c r="D141" s="522"/>
      <c r="E141" s="522"/>
      <c r="F141" s="522"/>
      <c r="G141" s="522"/>
      <c r="H141" s="522"/>
      <c r="I141" s="522"/>
      <c r="J141" s="522"/>
      <c r="K141" s="522"/>
      <c r="L141" s="522"/>
      <c r="M141" s="522"/>
      <c r="N141" s="522"/>
    </row>
    <row r="142">
      <c r="C142" s="522"/>
      <c r="D142" s="522"/>
      <c r="E142" s="522"/>
      <c r="F142" s="522"/>
      <c r="G142" s="522"/>
      <c r="H142" s="522"/>
      <c r="I142" s="522"/>
      <c r="J142" s="522"/>
      <c r="K142" s="522"/>
      <c r="L142" s="522"/>
      <c r="M142" s="522"/>
      <c r="N142" s="522"/>
    </row>
    <row r="143">
      <c r="C143" s="522"/>
      <c r="D143" s="522"/>
      <c r="E143" s="522"/>
      <c r="F143" s="522"/>
      <c r="G143" s="522"/>
      <c r="H143" s="522"/>
      <c r="I143" s="522"/>
      <c r="J143" s="522"/>
      <c r="K143" s="522"/>
      <c r="L143" s="522"/>
      <c r="M143" s="522"/>
      <c r="N143" s="522"/>
    </row>
    <row r="144">
      <c r="C144" s="522"/>
      <c r="D144" s="522"/>
      <c r="E144" s="522"/>
      <c r="F144" s="522"/>
      <c r="G144" s="522"/>
      <c r="H144" s="522"/>
      <c r="I144" s="522"/>
      <c r="J144" s="522"/>
      <c r="K144" s="522"/>
      <c r="L144" s="522"/>
      <c r="M144" s="522"/>
      <c r="N144" s="522"/>
    </row>
    <row r="145">
      <c r="C145" s="522"/>
      <c r="D145" s="522"/>
      <c r="E145" s="522"/>
      <c r="F145" s="522"/>
      <c r="G145" s="522"/>
      <c r="H145" s="522"/>
      <c r="I145" s="522"/>
      <c r="J145" s="522"/>
      <c r="K145" s="522"/>
      <c r="L145" s="522"/>
      <c r="M145" s="522"/>
      <c r="N145" s="522"/>
    </row>
    <row r="146">
      <c r="C146" s="522"/>
      <c r="D146" s="522"/>
      <c r="E146" s="522"/>
      <c r="F146" s="522"/>
      <c r="G146" s="522"/>
      <c r="H146" s="522"/>
      <c r="I146" s="522"/>
      <c r="J146" s="522"/>
      <c r="K146" s="522"/>
      <c r="L146" s="522"/>
      <c r="M146" s="522"/>
      <c r="N146" s="522"/>
    </row>
    <row r="147">
      <c r="C147" s="522"/>
      <c r="D147" s="522"/>
      <c r="E147" s="522"/>
      <c r="F147" s="522"/>
      <c r="G147" s="522"/>
      <c r="H147" s="522"/>
      <c r="I147" s="522"/>
      <c r="J147" s="522"/>
      <c r="K147" s="522"/>
      <c r="L147" s="522"/>
      <c r="M147" s="522"/>
      <c r="N147" s="522"/>
    </row>
    <row r="148">
      <c r="C148" s="522"/>
      <c r="D148" s="522"/>
      <c r="E148" s="522"/>
      <c r="F148" s="522"/>
      <c r="G148" s="522"/>
      <c r="H148" s="522"/>
      <c r="I148" s="522"/>
      <c r="J148" s="522"/>
      <c r="K148" s="522"/>
      <c r="L148" s="522"/>
      <c r="M148" s="522"/>
      <c r="N148" s="522"/>
    </row>
    <row r="149">
      <c r="C149" s="522"/>
      <c r="D149" s="522"/>
      <c r="E149" s="522"/>
      <c r="F149" s="522"/>
      <c r="G149" s="522"/>
      <c r="H149" s="522"/>
      <c r="I149" s="522"/>
      <c r="J149" s="522"/>
      <c r="K149" s="522"/>
      <c r="L149" s="522"/>
      <c r="M149" s="522"/>
      <c r="N149" s="522"/>
    </row>
    <row r="150">
      <c r="C150" s="522"/>
      <c r="D150" s="522"/>
      <c r="E150" s="522"/>
      <c r="F150" s="522"/>
      <c r="G150" s="522"/>
      <c r="H150" s="522"/>
      <c r="I150" s="522"/>
      <c r="J150" s="522"/>
      <c r="K150" s="522"/>
      <c r="L150" s="522"/>
      <c r="M150" s="522"/>
      <c r="N150" s="522"/>
    </row>
    <row r="151">
      <c r="C151" s="522"/>
      <c r="D151" s="522"/>
      <c r="E151" s="522"/>
      <c r="F151" s="522"/>
      <c r="G151" s="522"/>
      <c r="H151" s="522"/>
      <c r="I151" s="522"/>
      <c r="J151" s="522"/>
      <c r="K151" s="522"/>
      <c r="L151" s="522"/>
      <c r="M151" s="522"/>
      <c r="N151" s="522"/>
    </row>
    <row r="152">
      <c r="C152" s="522"/>
      <c r="D152" s="522"/>
      <c r="E152" s="522"/>
      <c r="F152" s="522"/>
      <c r="G152" s="522"/>
      <c r="H152" s="522"/>
      <c r="I152" s="522"/>
      <c r="J152" s="522"/>
      <c r="K152" s="522"/>
      <c r="L152" s="522"/>
      <c r="M152" s="522"/>
      <c r="N152" s="522"/>
    </row>
    <row r="153">
      <c r="C153" s="522"/>
      <c r="D153" s="522"/>
      <c r="E153" s="522"/>
      <c r="F153" s="522"/>
      <c r="G153" s="522"/>
      <c r="H153" s="522"/>
      <c r="I153" s="522"/>
      <c r="J153" s="522"/>
      <c r="K153" s="522"/>
      <c r="L153" s="522"/>
      <c r="M153" s="522"/>
      <c r="N153" s="522"/>
    </row>
    <row r="154">
      <c r="C154" s="522"/>
      <c r="D154" s="522"/>
      <c r="E154" s="522"/>
      <c r="F154" s="522"/>
      <c r="G154" s="522"/>
      <c r="H154" s="522"/>
      <c r="I154" s="522"/>
      <c r="J154" s="522"/>
      <c r="K154" s="522"/>
      <c r="L154" s="522"/>
      <c r="M154" s="522"/>
      <c r="N154" s="522"/>
    </row>
    <row r="155">
      <c r="C155" s="522"/>
      <c r="D155" s="522"/>
      <c r="E155" s="522"/>
      <c r="F155" s="522"/>
      <c r="G155" s="522"/>
      <c r="H155" s="522"/>
      <c r="I155" s="522"/>
      <c r="J155" s="522"/>
      <c r="K155" s="522"/>
      <c r="L155" s="522"/>
      <c r="M155" s="522"/>
      <c r="N155" s="522"/>
    </row>
    <row r="156">
      <c r="C156" s="522"/>
      <c r="D156" s="522"/>
      <c r="E156" s="522"/>
      <c r="F156" s="522"/>
      <c r="G156" s="522"/>
      <c r="H156" s="522"/>
      <c r="I156" s="522"/>
      <c r="J156" s="522"/>
      <c r="K156" s="522"/>
      <c r="L156" s="522"/>
      <c r="M156" s="522"/>
      <c r="N156" s="522"/>
    </row>
    <row r="157">
      <c r="C157" s="522"/>
      <c r="D157" s="522"/>
      <c r="E157" s="522"/>
      <c r="F157" s="522"/>
      <c r="G157" s="522"/>
      <c r="H157" s="522"/>
      <c r="I157" s="522"/>
      <c r="J157" s="522"/>
      <c r="K157" s="522"/>
      <c r="L157" s="522"/>
      <c r="M157" s="522"/>
      <c r="N157" s="522"/>
    </row>
    <row r="158">
      <c r="C158" s="522"/>
      <c r="D158" s="522"/>
      <c r="E158" s="522"/>
      <c r="F158" s="522"/>
      <c r="G158" s="522"/>
      <c r="H158" s="522"/>
      <c r="I158" s="522"/>
      <c r="J158" s="522"/>
      <c r="K158" s="522"/>
      <c r="L158" s="522"/>
      <c r="M158" s="522"/>
      <c r="N158" s="522"/>
    </row>
    <row r="159">
      <c r="C159" s="522"/>
      <c r="D159" s="522"/>
      <c r="E159" s="522"/>
      <c r="F159" s="522"/>
      <c r="G159" s="522"/>
      <c r="H159" s="522"/>
      <c r="I159" s="522"/>
      <c r="J159" s="522"/>
      <c r="K159" s="522"/>
      <c r="L159" s="522"/>
      <c r="M159" s="522"/>
      <c r="N159" s="522"/>
    </row>
    <row r="160">
      <c r="C160" s="522"/>
      <c r="D160" s="522"/>
      <c r="E160" s="522"/>
      <c r="F160" s="522"/>
      <c r="G160" s="522"/>
      <c r="H160" s="522"/>
      <c r="I160" s="522"/>
      <c r="J160" s="522"/>
      <c r="K160" s="522"/>
      <c r="L160" s="522"/>
      <c r="M160" s="522"/>
      <c r="N160" s="522"/>
    </row>
    <row r="161">
      <c r="C161" s="522"/>
      <c r="D161" s="522"/>
      <c r="E161" s="522"/>
      <c r="F161" s="522"/>
      <c r="G161" s="522"/>
      <c r="H161" s="522"/>
      <c r="I161" s="522"/>
      <c r="J161" s="522"/>
      <c r="K161" s="522"/>
      <c r="L161" s="522"/>
      <c r="M161" s="522"/>
      <c r="N161" s="522"/>
    </row>
    <row r="162">
      <c r="C162" s="522"/>
      <c r="D162" s="522"/>
      <c r="E162" s="522"/>
      <c r="F162" s="522"/>
      <c r="G162" s="522"/>
      <c r="H162" s="522"/>
      <c r="I162" s="522"/>
      <c r="J162" s="522"/>
      <c r="K162" s="522"/>
      <c r="L162" s="522"/>
      <c r="M162" s="522"/>
      <c r="N162" s="522"/>
    </row>
    <row r="163">
      <c r="C163" s="522"/>
      <c r="D163" s="522"/>
      <c r="E163" s="522"/>
      <c r="F163" s="522"/>
      <c r="G163" s="522"/>
      <c r="H163" s="522"/>
      <c r="I163" s="522"/>
      <c r="J163" s="522"/>
      <c r="K163" s="522"/>
      <c r="L163" s="522"/>
      <c r="M163" s="522"/>
      <c r="N163" s="522"/>
    </row>
    <row r="164">
      <c r="C164" s="522"/>
      <c r="D164" s="522"/>
      <c r="E164" s="522"/>
      <c r="F164" s="522"/>
      <c r="G164" s="522"/>
      <c r="H164" s="522"/>
      <c r="I164" s="522"/>
      <c r="J164" s="522"/>
      <c r="K164" s="522"/>
      <c r="L164" s="522"/>
      <c r="M164" s="522"/>
      <c r="N164" s="522"/>
    </row>
    <row r="165">
      <c r="C165" s="522"/>
      <c r="D165" s="522"/>
      <c r="E165" s="522"/>
      <c r="F165" s="522"/>
      <c r="G165" s="522"/>
      <c r="H165" s="522"/>
      <c r="I165" s="522"/>
      <c r="J165" s="522"/>
      <c r="K165" s="522"/>
      <c r="L165" s="522"/>
      <c r="M165" s="522"/>
      <c r="N165" s="522"/>
    </row>
    <row r="166">
      <c r="C166" s="522"/>
      <c r="D166" s="522"/>
      <c r="E166" s="522"/>
      <c r="F166" s="522"/>
      <c r="G166" s="522"/>
      <c r="H166" s="522"/>
      <c r="I166" s="522"/>
      <c r="J166" s="522"/>
      <c r="K166" s="522"/>
      <c r="L166" s="522"/>
      <c r="M166" s="522"/>
      <c r="N166" s="522"/>
    </row>
    <row r="167">
      <c r="C167" s="522"/>
      <c r="D167" s="522"/>
      <c r="E167" s="522"/>
      <c r="F167" s="522"/>
      <c r="G167" s="522"/>
      <c r="H167" s="522"/>
      <c r="I167" s="522"/>
      <c r="J167" s="522"/>
      <c r="K167" s="522"/>
      <c r="L167" s="522"/>
      <c r="M167" s="522"/>
      <c r="N167" s="522"/>
    </row>
    <row r="168">
      <c r="C168" s="522"/>
      <c r="D168" s="522"/>
      <c r="E168" s="522"/>
      <c r="F168" s="522"/>
      <c r="G168" s="522"/>
      <c r="H168" s="522"/>
      <c r="I168" s="522"/>
      <c r="J168" s="522"/>
      <c r="K168" s="522"/>
      <c r="L168" s="522"/>
      <c r="M168" s="522"/>
      <c r="N168" s="522"/>
    </row>
    <row r="169">
      <c r="C169" s="522"/>
      <c r="D169" s="522"/>
      <c r="E169" s="522"/>
      <c r="F169" s="522"/>
      <c r="G169" s="522"/>
      <c r="H169" s="522"/>
      <c r="I169" s="522"/>
      <c r="J169" s="522"/>
      <c r="K169" s="522"/>
      <c r="L169" s="522"/>
      <c r="M169" s="522"/>
      <c r="N169" s="522"/>
    </row>
    <row r="170">
      <c r="C170" s="522"/>
      <c r="D170" s="522"/>
      <c r="E170" s="522"/>
      <c r="F170" s="522"/>
      <c r="G170" s="522"/>
      <c r="H170" s="522"/>
      <c r="I170" s="522"/>
      <c r="J170" s="522"/>
      <c r="K170" s="522"/>
      <c r="L170" s="522"/>
      <c r="M170" s="522"/>
      <c r="N170" s="522"/>
    </row>
    <row r="171">
      <c r="C171" s="522"/>
      <c r="D171" s="522"/>
      <c r="E171" s="522"/>
      <c r="F171" s="522"/>
      <c r="G171" s="522"/>
      <c r="H171" s="522"/>
      <c r="I171" s="522"/>
      <c r="J171" s="522"/>
      <c r="K171" s="522"/>
      <c r="L171" s="522"/>
      <c r="M171" s="522"/>
      <c r="N171" s="522"/>
    </row>
    <row r="172">
      <c r="C172" s="522"/>
      <c r="D172" s="522"/>
      <c r="E172" s="522"/>
      <c r="F172" s="522"/>
      <c r="G172" s="522"/>
      <c r="H172" s="522"/>
      <c r="I172" s="522"/>
      <c r="J172" s="522"/>
      <c r="K172" s="522"/>
      <c r="L172" s="522"/>
      <c r="M172" s="522"/>
      <c r="N172" s="522"/>
    </row>
    <row r="173">
      <c r="C173" s="522"/>
      <c r="D173" s="522"/>
      <c r="E173" s="522"/>
      <c r="F173" s="522"/>
      <c r="G173" s="522"/>
      <c r="H173" s="522"/>
      <c r="I173" s="522"/>
      <c r="J173" s="522"/>
      <c r="K173" s="522"/>
      <c r="L173" s="522"/>
      <c r="M173" s="522"/>
      <c r="N173" s="522"/>
    </row>
    <row r="174">
      <c r="C174" s="522"/>
      <c r="D174" s="522"/>
      <c r="E174" s="522"/>
      <c r="F174" s="522"/>
      <c r="G174" s="522"/>
      <c r="H174" s="522"/>
      <c r="I174" s="522"/>
      <c r="J174" s="522"/>
      <c r="K174" s="522"/>
      <c r="L174" s="522"/>
      <c r="M174" s="522"/>
      <c r="N174" s="522"/>
    </row>
    <row r="175">
      <c r="C175" s="522"/>
      <c r="D175" s="522"/>
      <c r="E175" s="522"/>
      <c r="F175" s="522"/>
      <c r="G175" s="522"/>
      <c r="H175" s="522"/>
      <c r="I175" s="522"/>
      <c r="J175" s="522"/>
      <c r="K175" s="522"/>
      <c r="L175" s="522"/>
      <c r="M175" s="522"/>
      <c r="N175" s="522"/>
    </row>
    <row r="176">
      <c r="C176" s="522"/>
      <c r="D176" s="522"/>
      <c r="E176" s="522"/>
      <c r="F176" s="522"/>
      <c r="G176" s="522"/>
      <c r="H176" s="522"/>
      <c r="I176" s="522"/>
      <c r="J176" s="522"/>
      <c r="K176" s="522"/>
      <c r="L176" s="522"/>
      <c r="M176" s="522"/>
      <c r="N176" s="522"/>
    </row>
    <row r="177">
      <c r="C177" s="522"/>
      <c r="D177" s="522"/>
      <c r="E177" s="522"/>
      <c r="F177" s="522"/>
      <c r="G177" s="522"/>
      <c r="H177" s="522"/>
      <c r="I177" s="522"/>
      <c r="J177" s="522"/>
      <c r="K177" s="522"/>
      <c r="L177" s="522"/>
      <c r="M177" s="522"/>
      <c r="N177" s="522"/>
    </row>
    <row r="178">
      <c r="C178" s="522"/>
      <c r="D178" s="522"/>
      <c r="E178" s="522"/>
      <c r="F178" s="522"/>
      <c r="G178" s="522"/>
      <c r="H178" s="522"/>
      <c r="I178" s="522"/>
      <c r="J178" s="522"/>
      <c r="K178" s="522"/>
      <c r="L178" s="522"/>
      <c r="M178" s="522"/>
      <c r="N178" s="522"/>
    </row>
    <row r="179">
      <c r="C179" s="522"/>
      <c r="D179" s="522"/>
      <c r="E179" s="522"/>
      <c r="F179" s="522"/>
      <c r="G179" s="522"/>
      <c r="H179" s="522"/>
      <c r="I179" s="522"/>
      <c r="J179" s="522"/>
      <c r="K179" s="522"/>
      <c r="L179" s="522"/>
      <c r="M179" s="522"/>
      <c r="N179" s="522"/>
    </row>
    <row r="180">
      <c r="C180" s="522"/>
      <c r="D180" s="522"/>
      <c r="E180" s="522"/>
      <c r="F180" s="522"/>
      <c r="G180" s="522"/>
      <c r="H180" s="522"/>
      <c r="I180" s="522"/>
      <c r="J180" s="522"/>
      <c r="K180" s="522"/>
      <c r="L180" s="522"/>
      <c r="M180" s="522"/>
      <c r="N180" s="522"/>
    </row>
    <row r="181">
      <c r="C181" s="522"/>
      <c r="D181" s="522"/>
      <c r="E181" s="522"/>
      <c r="F181" s="522"/>
      <c r="G181" s="522"/>
      <c r="H181" s="522"/>
      <c r="I181" s="522"/>
      <c r="J181" s="522"/>
      <c r="K181" s="522"/>
      <c r="L181" s="522"/>
      <c r="M181" s="522"/>
      <c r="N181" s="522"/>
    </row>
    <row r="182">
      <c r="C182" s="522"/>
      <c r="D182" s="522"/>
      <c r="E182" s="522"/>
      <c r="F182" s="522"/>
      <c r="G182" s="522"/>
      <c r="H182" s="522"/>
      <c r="I182" s="522"/>
      <c r="J182" s="522"/>
      <c r="K182" s="522"/>
      <c r="L182" s="522"/>
      <c r="M182" s="522"/>
      <c r="N182" s="522"/>
    </row>
    <row r="183">
      <c r="C183" s="522"/>
      <c r="D183" s="522"/>
      <c r="E183" s="522"/>
      <c r="F183" s="522"/>
      <c r="G183" s="522"/>
      <c r="H183" s="522"/>
      <c r="I183" s="522"/>
      <c r="J183" s="522"/>
      <c r="K183" s="522"/>
      <c r="L183" s="522"/>
      <c r="M183" s="522"/>
      <c r="N183" s="522"/>
    </row>
    <row r="184">
      <c r="C184" s="522"/>
      <c r="D184" s="522"/>
      <c r="E184" s="522"/>
      <c r="F184" s="522"/>
      <c r="G184" s="522"/>
      <c r="H184" s="522"/>
      <c r="I184" s="522"/>
      <c r="J184" s="522"/>
      <c r="K184" s="522"/>
      <c r="L184" s="522"/>
      <c r="M184" s="522"/>
      <c r="N184" s="522"/>
    </row>
    <row r="185">
      <c r="C185" s="522"/>
      <c r="D185" s="522"/>
      <c r="E185" s="522"/>
      <c r="F185" s="522"/>
      <c r="G185" s="522"/>
      <c r="H185" s="522"/>
      <c r="I185" s="522"/>
      <c r="J185" s="522"/>
      <c r="K185" s="522"/>
      <c r="L185" s="522"/>
      <c r="M185" s="522"/>
      <c r="N185" s="522"/>
    </row>
    <row r="186">
      <c r="C186" s="522"/>
      <c r="D186" s="522"/>
      <c r="E186" s="522"/>
      <c r="F186" s="522"/>
      <c r="G186" s="522"/>
      <c r="H186" s="522"/>
      <c r="I186" s="522"/>
      <c r="J186" s="522"/>
      <c r="K186" s="522"/>
      <c r="L186" s="522"/>
      <c r="M186" s="522"/>
      <c r="N186" s="522"/>
    </row>
    <row r="187">
      <c r="C187" s="522"/>
      <c r="D187" s="522"/>
      <c r="E187" s="522"/>
      <c r="F187" s="522"/>
      <c r="G187" s="522"/>
      <c r="H187" s="522"/>
      <c r="I187" s="522"/>
      <c r="J187" s="522"/>
      <c r="K187" s="522"/>
      <c r="L187" s="522"/>
      <c r="M187" s="522"/>
      <c r="N187" s="522"/>
    </row>
    <row r="188">
      <c r="C188" s="522"/>
      <c r="D188" s="522"/>
      <c r="E188" s="522"/>
      <c r="F188" s="522"/>
      <c r="G188" s="522"/>
      <c r="H188" s="522"/>
      <c r="I188" s="522"/>
      <c r="J188" s="522"/>
      <c r="K188" s="522"/>
      <c r="L188" s="522"/>
      <c r="M188" s="522"/>
      <c r="N188" s="522"/>
    </row>
    <row r="189">
      <c r="C189" s="522"/>
      <c r="D189" s="522"/>
      <c r="E189" s="522"/>
      <c r="F189" s="522"/>
      <c r="G189" s="522"/>
      <c r="H189" s="522"/>
      <c r="I189" s="522"/>
      <c r="J189" s="522"/>
      <c r="K189" s="522"/>
      <c r="L189" s="522"/>
      <c r="M189" s="522"/>
      <c r="N189" s="522"/>
    </row>
    <row r="190">
      <c r="C190" s="522"/>
      <c r="D190" s="522"/>
      <c r="E190" s="522"/>
      <c r="F190" s="522"/>
      <c r="G190" s="522"/>
      <c r="H190" s="522"/>
      <c r="I190" s="522"/>
      <c r="J190" s="522"/>
      <c r="K190" s="522"/>
      <c r="L190" s="522"/>
      <c r="M190" s="522"/>
      <c r="N190" s="522"/>
    </row>
    <row r="191">
      <c r="C191" s="522"/>
      <c r="D191" s="522"/>
      <c r="E191" s="522"/>
      <c r="F191" s="522"/>
      <c r="G191" s="522"/>
      <c r="H191" s="522"/>
      <c r="I191" s="522"/>
      <c r="J191" s="522"/>
      <c r="K191" s="522"/>
      <c r="L191" s="522"/>
      <c r="M191" s="522"/>
      <c r="N191" s="522"/>
    </row>
    <row r="192">
      <c r="C192" s="522"/>
      <c r="D192" s="522"/>
      <c r="E192" s="522"/>
      <c r="F192" s="522"/>
      <c r="G192" s="522"/>
      <c r="H192" s="522"/>
      <c r="I192" s="522"/>
      <c r="J192" s="522"/>
      <c r="K192" s="522"/>
      <c r="L192" s="522"/>
      <c r="M192" s="522"/>
      <c r="N192" s="522"/>
    </row>
    <row r="193">
      <c r="C193" s="522"/>
      <c r="D193" s="522"/>
      <c r="E193" s="522"/>
      <c r="F193" s="522"/>
      <c r="G193" s="522"/>
      <c r="H193" s="522"/>
      <c r="I193" s="522"/>
      <c r="J193" s="522"/>
      <c r="K193" s="522"/>
      <c r="L193" s="522"/>
      <c r="M193" s="522"/>
      <c r="N193" s="522"/>
    </row>
    <row r="194">
      <c r="C194" s="522"/>
      <c r="D194" s="522"/>
      <c r="E194" s="522"/>
      <c r="F194" s="522"/>
      <c r="G194" s="522"/>
      <c r="H194" s="522"/>
      <c r="I194" s="522"/>
      <c r="J194" s="522"/>
      <c r="K194" s="522"/>
      <c r="L194" s="522"/>
      <c r="M194" s="522"/>
      <c r="N194" s="522"/>
    </row>
    <row r="195">
      <c r="C195" s="522"/>
      <c r="D195" s="522"/>
      <c r="E195" s="522"/>
      <c r="F195" s="522"/>
      <c r="G195" s="522"/>
      <c r="H195" s="522"/>
      <c r="I195" s="522"/>
      <c r="J195" s="522"/>
      <c r="K195" s="522"/>
      <c r="L195" s="522"/>
      <c r="M195" s="522"/>
      <c r="N195" s="522"/>
    </row>
    <row r="196">
      <c r="C196" s="522"/>
      <c r="D196" s="522"/>
      <c r="E196" s="522"/>
      <c r="F196" s="522"/>
      <c r="G196" s="522"/>
      <c r="H196" s="522"/>
      <c r="I196" s="522"/>
      <c r="J196" s="522"/>
      <c r="K196" s="522"/>
      <c r="L196" s="522"/>
      <c r="M196" s="522"/>
      <c r="N196" s="522"/>
    </row>
    <row r="197">
      <c r="C197" s="522"/>
      <c r="D197" s="522"/>
      <c r="E197" s="522"/>
      <c r="F197" s="522"/>
      <c r="G197" s="522"/>
      <c r="H197" s="522"/>
      <c r="I197" s="522"/>
      <c r="J197" s="522"/>
      <c r="K197" s="522"/>
      <c r="L197" s="522"/>
      <c r="M197" s="522"/>
      <c r="N197" s="522"/>
    </row>
    <row r="198">
      <c r="C198" s="522"/>
      <c r="D198" s="522"/>
      <c r="E198" s="522"/>
      <c r="F198" s="522"/>
      <c r="G198" s="522"/>
      <c r="H198" s="522"/>
      <c r="I198" s="522"/>
      <c r="J198" s="522"/>
      <c r="K198" s="522"/>
      <c r="L198" s="522"/>
      <c r="M198" s="522"/>
      <c r="N198" s="522"/>
    </row>
    <row r="199">
      <c r="C199" s="522"/>
      <c r="D199" s="522"/>
      <c r="E199" s="522"/>
      <c r="F199" s="522"/>
      <c r="G199" s="522"/>
      <c r="H199" s="522"/>
      <c r="I199" s="522"/>
      <c r="J199" s="522"/>
      <c r="K199" s="522"/>
      <c r="L199" s="522"/>
      <c r="M199" s="522"/>
      <c r="N199" s="522"/>
    </row>
    <row r="200">
      <c r="C200" s="522"/>
      <c r="D200" s="522"/>
      <c r="E200" s="522"/>
      <c r="F200" s="522"/>
      <c r="G200" s="522"/>
      <c r="H200" s="522"/>
      <c r="I200" s="522"/>
      <c r="J200" s="522"/>
      <c r="K200" s="522"/>
      <c r="L200" s="522"/>
      <c r="M200" s="522"/>
      <c r="N200" s="522"/>
    </row>
    <row r="201">
      <c r="C201" s="522"/>
      <c r="D201" s="522"/>
      <c r="E201" s="522"/>
      <c r="F201" s="522"/>
      <c r="G201" s="522"/>
      <c r="H201" s="522"/>
      <c r="I201" s="522"/>
      <c r="J201" s="522"/>
      <c r="K201" s="522"/>
      <c r="L201" s="522"/>
      <c r="M201" s="522"/>
      <c r="N201" s="522"/>
    </row>
    <row r="202">
      <c r="C202" s="522"/>
      <c r="D202" s="522"/>
      <c r="E202" s="522"/>
      <c r="F202" s="522"/>
      <c r="G202" s="522"/>
      <c r="H202" s="522"/>
      <c r="I202" s="522"/>
      <c r="J202" s="522"/>
      <c r="K202" s="522"/>
      <c r="L202" s="522"/>
      <c r="M202" s="522"/>
      <c r="N202" s="522"/>
    </row>
    <row r="203">
      <c r="C203" s="522"/>
      <c r="D203" s="522"/>
      <c r="E203" s="522"/>
      <c r="F203" s="522"/>
      <c r="G203" s="522"/>
      <c r="H203" s="522"/>
      <c r="I203" s="522"/>
      <c r="J203" s="522"/>
      <c r="K203" s="522"/>
      <c r="L203" s="522"/>
      <c r="M203" s="522"/>
      <c r="N203" s="522"/>
    </row>
    <row r="204">
      <c r="C204" s="522"/>
      <c r="D204" s="522"/>
      <c r="E204" s="522"/>
      <c r="F204" s="522"/>
      <c r="G204" s="522"/>
      <c r="H204" s="522"/>
      <c r="I204" s="522"/>
      <c r="J204" s="522"/>
      <c r="K204" s="522"/>
      <c r="L204" s="522"/>
      <c r="M204" s="522"/>
      <c r="N204" s="522"/>
    </row>
    <row r="205">
      <c r="C205" s="522"/>
      <c r="D205" s="522"/>
      <c r="E205" s="522"/>
      <c r="F205" s="522"/>
      <c r="G205" s="522"/>
      <c r="H205" s="522"/>
      <c r="I205" s="522"/>
      <c r="J205" s="522"/>
      <c r="K205" s="522"/>
      <c r="L205" s="522"/>
      <c r="M205" s="522"/>
      <c r="N205" s="522"/>
    </row>
    <row r="206">
      <c r="C206" s="522"/>
      <c r="D206" s="522"/>
      <c r="E206" s="522"/>
      <c r="F206" s="522"/>
      <c r="G206" s="522"/>
      <c r="H206" s="522"/>
      <c r="I206" s="522"/>
      <c r="J206" s="522"/>
      <c r="K206" s="522"/>
      <c r="L206" s="522"/>
      <c r="M206" s="522"/>
      <c r="N206" s="522"/>
    </row>
    <row r="207">
      <c r="C207" s="522"/>
      <c r="D207" s="522"/>
      <c r="E207" s="522"/>
      <c r="F207" s="522"/>
      <c r="G207" s="522"/>
      <c r="H207" s="522"/>
      <c r="I207" s="522"/>
      <c r="J207" s="522"/>
      <c r="K207" s="522"/>
      <c r="L207" s="522"/>
      <c r="M207" s="522"/>
      <c r="N207" s="522"/>
    </row>
    <row r="208">
      <c r="C208" s="522"/>
      <c r="D208" s="522"/>
      <c r="E208" s="522"/>
      <c r="F208" s="522"/>
      <c r="G208" s="522"/>
      <c r="H208" s="522"/>
      <c r="I208" s="522"/>
      <c r="J208" s="522"/>
      <c r="K208" s="522"/>
      <c r="L208" s="522"/>
      <c r="M208" s="522"/>
      <c r="N208" s="522"/>
    </row>
    <row r="209">
      <c r="C209" s="522"/>
      <c r="D209" s="522"/>
      <c r="E209" s="522"/>
      <c r="F209" s="522"/>
      <c r="G209" s="522"/>
      <c r="H209" s="522"/>
      <c r="I209" s="522"/>
      <c r="J209" s="522"/>
      <c r="K209" s="522"/>
      <c r="L209" s="522"/>
      <c r="M209" s="522"/>
      <c r="N209" s="522"/>
    </row>
    <row r="210">
      <c r="C210" s="522"/>
      <c r="D210" s="522"/>
      <c r="E210" s="522"/>
      <c r="F210" s="522"/>
      <c r="G210" s="522"/>
      <c r="H210" s="522"/>
      <c r="I210" s="522"/>
      <c r="J210" s="522"/>
      <c r="K210" s="522"/>
      <c r="L210" s="522"/>
      <c r="M210" s="522"/>
      <c r="N210" s="522"/>
    </row>
    <row r="211">
      <c r="C211" s="522"/>
      <c r="D211" s="522"/>
      <c r="E211" s="522"/>
      <c r="F211" s="522"/>
      <c r="G211" s="522"/>
      <c r="H211" s="522"/>
      <c r="I211" s="522"/>
      <c r="J211" s="522"/>
      <c r="K211" s="522"/>
      <c r="L211" s="522"/>
      <c r="M211" s="522"/>
      <c r="N211" s="522"/>
    </row>
    <row r="212">
      <c r="C212" s="522"/>
      <c r="D212" s="522"/>
      <c r="E212" s="522"/>
      <c r="F212" s="522"/>
      <c r="G212" s="522"/>
      <c r="H212" s="522"/>
      <c r="I212" s="522"/>
      <c r="J212" s="522"/>
      <c r="K212" s="522"/>
      <c r="L212" s="522"/>
      <c r="M212" s="522"/>
      <c r="N212" s="522"/>
    </row>
    <row r="213">
      <c r="C213" s="522"/>
      <c r="D213" s="522"/>
      <c r="E213" s="522"/>
      <c r="F213" s="522"/>
      <c r="G213" s="522"/>
      <c r="H213" s="522"/>
      <c r="I213" s="522"/>
      <c r="J213" s="522"/>
      <c r="K213" s="522"/>
      <c r="L213" s="522"/>
      <c r="M213" s="522"/>
      <c r="N213" s="522"/>
    </row>
    <row r="214">
      <c r="C214" s="522"/>
      <c r="D214" s="522"/>
      <c r="E214" s="522"/>
      <c r="F214" s="522"/>
      <c r="G214" s="522"/>
      <c r="H214" s="522"/>
      <c r="I214" s="522"/>
      <c r="J214" s="522"/>
      <c r="K214" s="522"/>
      <c r="L214" s="522"/>
      <c r="M214" s="522"/>
      <c r="N214" s="522"/>
    </row>
    <row r="215">
      <c r="C215" s="522"/>
      <c r="D215" s="522"/>
      <c r="E215" s="522"/>
      <c r="F215" s="522"/>
      <c r="G215" s="522"/>
      <c r="H215" s="522"/>
      <c r="I215" s="522"/>
      <c r="J215" s="522"/>
      <c r="K215" s="522"/>
      <c r="L215" s="522"/>
      <c r="M215" s="522"/>
      <c r="N215" s="522"/>
    </row>
    <row r="216">
      <c r="C216" s="522"/>
      <c r="D216" s="522"/>
      <c r="E216" s="522"/>
      <c r="F216" s="522"/>
      <c r="G216" s="522"/>
      <c r="H216" s="522"/>
      <c r="I216" s="522"/>
      <c r="J216" s="522"/>
      <c r="K216" s="522"/>
      <c r="L216" s="522"/>
      <c r="M216" s="522"/>
      <c r="N216" s="522"/>
    </row>
    <row r="217">
      <c r="C217" s="522"/>
      <c r="D217" s="522"/>
      <c r="E217" s="522"/>
      <c r="F217" s="522"/>
      <c r="G217" s="522"/>
      <c r="H217" s="522"/>
      <c r="I217" s="522"/>
      <c r="J217" s="522"/>
      <c r="K217" s="522"/>
      <c r="L217" s="522"/>
      <c r="M217" s="522"/>
      <c r="N217" s="522"/>
    </row>
    <row r="218">
      <c r="C218" s="522"/>
      <c r="D218" s="522"/>
      <c r="E218" s="522"/>
      <c r="F218" s="522"/>
      <c r="G218" s="522"/>
      <c r="H218" s="522"/>
      <c r="I218" s="522"/>
      <c r="J218" s="522"/>
      <c r="K218" s="522"/>
      <c r="L218" s="522"/>
      <c r="M218" s="522"/>
      <c r="N218" s="522"/>
    </row>
    <row r="219">
      <c r="C219" s="522"/>
      <c r="D219" s="522"/>
      <c r="E219" s="522"/>
      <c r="F219" s="522"/>
      <c r="G219" s="522"/>
      <c r="H219" s="522"/>
      <c r="I219" s="522"/>
      <c r="J219" s="522"/>
      <c r="K219" s="522"/>
      <c r="L219" s="522"/>
      <c r="M219" s="522"/>
      <c r="N219" s="522"/>
    </row>
    <row r="220">
      <c r="C220" s="522"/>
      <c r="D220" s="522"/>
      <c r="E220" s="522"/>
      <c r="F220" s="522"/>
      <c r="G220" s="522"/>
      <c r="H220" s="522"/>
      <c r="I220" s="522"/>
      <c r="J220" s="522"/>
      <c r="K220" s="522"/>
      <c r="L220" s="522"/>
      <c r="M220" s="522"/>
      <c r="N220" s="522"/>
    </row>
    <row r="221">
      <c r="C221" s="522"/>
      <c r="D221" s="522"/>
      <c r="E221" s="522"/>
      <c r="F221" s="522"/>
      <c r="G221" s="522"/>
      <c r="H221" s="522"/>
      <c r="I221" s="522"/>
      <c r="J221" s="522"/>
      <c r="K221" s="522"/>
      <c r="L221" s="522"/>
      <c r="M221" s="522"/>
      <c r="N221" s="522"/>
    </row>
    <row r="222">
      <c r="C222" s="522"/>
      <c r="D222" s="522"/>
      <c r="E222" s="522"/>
      <c r="F222" s="522"/>
      <c r="G222" s="522"/>
      <c r="H222" s="522"/>
      <c r="I222" s="522"/>
      <c r="J222" s="522"/>
      <c r="K222" s="522"/>
      <c r="L222" s="522"/>
      <c r="M222" s="522"/>
      <c r="N222" s="522"/>
    </row>
    <row r="223">
      <c r="C223" s="522"/>
      <c r="D223" s="522"/>
      <c r="E223" s="522"/>
      <c r="F223" s="522"/>
      <c r="G223" s="522"/>
      <c r="H223" s="522"/>
      <c r="I223" s="522"/>
      <c r="J223" s="522"/>
      <c r="K223" s="522"/>
      <c r="L223" s="522"/>
      <c r="M223" s="522"/>
      <c r="N223" s="522"/>
    </row>
    <row r="224">
      <c r="C224" s="522"/>
      <c r="D224" s="522"/>
      <c r="E224" s="522"/>
      <c r="F224" s="522"/>
      <c r="G224" s="522"/>
      <c r="H224" s="522"/>
      <c r="I224" s="522"/>
      <c r="J224" s="522"/>
      <c r="K224" s="522"/>
      <c r="L224" s="522"/>
      <c r="M224" s="522"/>
      <c r="N224" s="522"/>
    </row>
    <row r="225">
      <c r="C225" s="522"/>
      <c r="D225" s="522"/>
      <c r="E225" s="522"/>
      <c r="F225" s="522"/>
      <c r="G225" s="522"/>
      <c r="H225" s="522"/>
      <c r="I225" s="522"/>
      <c r="J225" s="522"/>
      <c r="K225" s="522"/>
      <c r="L225" s="522"/>
      <c r="M225" s="522"/>
      <c r="N225" s="522"/>
    </row>
    <row r="226">
      <c r="C226" s="522"/>
      <c r="D226" s="522"/>
      <c r="E226" s="522"/>
      <c r="F226" s="522"/>
      <c r="G226" s="522"/>
      <c r="H226" s="522"/>
      <c r="I226" s="522"/>
      <c r="J226" s="522"/>
      <c r="K226" s="522"/>
      <c r="L226" s="522"/>
      <c r="M226" s="522"/>
      <c r="N226" s="522"/>
    </row>
    <row r="227">
      <c r="C227" s="522"/>
      <c r="D227" s="522"/>
      <c r="E227" s="522"/>
      <c r="F227" s="522"/>
      <c r="G227" s="522"/>
      <c r="H227" s="522"/>
      <c r="I227" s="522"/>
      <c r="J227" s="522"/>
      <c r="K227" s="522"/>
      <c r="L227" s="522"/>
      <c r="M227" s="522"/>
      <c r="N227" s="522"/>
    </row>
    <row r="228">
      <c r="C228" s="522"/>
      <c r="D228" s="522"/>
      <c r="E228" s="522"/>
      <c r="F228" s="522"/>
      <c r="G228" s="522"/>
      <c r="H228" s="522"/>
      <c r="I228" s="522"/>
      <c r="J228" s="522"/>
      <c r="K228" s="522"/>
      <c r="L228" s="522"/>
      <c r="M228" s="522"/>
      <c r="N228" s="522"/>
    </row>
    <row r="229">
      <c r="C229" s="522"/>
      <c r="D229" s="522"/>
      <c r="E229" s="522"/>
      <c r="F229" s="522"/>
      <c r="G229" s="522"/>
      <c r="H229" s="522"/>
      <c r="I229" s="522"/>
      <c r="J229" s="522"/>
      <c r="K229" s="522"/>
      <c r="L229" s="522"/>
      <c r="M229" s="522"/>
      <c r="N229" s="522"/>
    </row>
    <row r="230">
      <c r="C230" s="522"/>
      <c r="D230" s="522"/>
      <c r="E230" s="522"/>
      <c r="F230" s="522"/>
      <c r="G230" s="522"/>
      <c r="H230" s="522"/>
      <c r="I230" s="522"/>
      <c r="J230" s="522"/>
      <c r="K230" s="522"/>
      <c r="L230" s="522"/>
      <c r="M230" s="522"/>
      <c r="N230" s="522"/>
    </row>
    <row r="231"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</row>
    <row r="232">
      <c r="C232" s="522"/>
      <c r="D232" s="522"/>
      <c r="E232" s="522"/>
      <c r="F232" s="522"/>
      <c r="G232" s="522"/>
      <c r="H232" s="522"/>
      <c r="I232" s="522"/>
      <c r="J232" s="522"/>
      <c r="K232" s="522"/>
      <c r="L232" s="522"/>
      <c r="M232" s="522"/>
      <c r="N232" s="522"/>
    </row>
    <row r="233">
      <c r="C233" s="522"/>
      <c r="D233" s="522"/>
      <c r="E233" s="522"/>
      <c r="F233" s="522"/>
      <c r="G233" s="522"/>
      <c r="H233" s="522"/>
      <c r="I233" s="522"/>
      <c r="J233" s="522"/>
      <c r="K233" s="522"/>
      <c r="L233" s="522"/>
      <c r="M233" s="522"/>
      <c r="N233" s="522"/>
    </row>
    <row r="234">
      <c r="C234" s="522"/>
      <c r="D234" s="522"/>
      <c r="E234" s="522"/>
      <c r="F234" s="522"/>
      <c r="G234" s="522"/>
      <c r="H234" s="522"/>
      <c r="I234" s="522"/>
      <c r="J234" s="522"/>
      <c r="K234" s="522"/>
      <c r="L234" s="522"/>
      <c r="M234" s="522"/>
      <c r="N234" s="522"/>
    </row>
    <row r="235">
      <c r="C235" s="522"/>
      <c r="D235" s="522"/>
      <c r="E235" s="522"/>
      <c r="F235" s="522"/>
      <c r="G235" s="522"/>
      <c r="H235" s="522"/>
      <c r="I235" s="522"/>
      <c r="J235" s="522"/>
      <c r="K235" s="522"/>
      <c r="L235" s="522"/>
      <c r="M235" s="522"/>
      <c r="N235" s="522"/>
    </row>
    <row r="236">
      <c r="C236" s="522"/>
      <c r="D236" s="522"/>
      <c r="E236" s="522"/>
      <c r="F236" s="522"/>
      <c r="G236" s="522"/>
      <c r="H236" s="522"/>
      <c r="I236" s="522"/>
      <c r="J236" s="522"/>
      <c r="K236" s="522"/>
      <c r="L236" s="522"/>
      <c r="M236" s="522"/>
      <c r="N236" s="522"/>
    </row>
    <row r="237">
      <c r="C237" s="522"/>
      <c r="D237" s="522"/>
      <c r="E237" s="522"/>
      <c r="F237" s="522"/>
      <c r="G237" s="522"/>
      <c r="H237" s="522"/>
      <c r="I237" s="522"/>
      <c r="J237" s="522"/>
      <c r="K237" s="522"/>
      <c r="L237" s="522"/>
      <c r="M237" s="522"/>
      <c r="N237" s="522"/>
    </row>
    <row r="238">
      <c r="C238" s="522"/>
      <c r="D238" s="522"/>
      <c r="E238" s="522"/>
      <c r="F238" s="522"/>
      <c r="G238" s="522"/>
      <c r="H238" s="522"/>
      <c r="I238" s="522"/>
      <c r="J238" s="522"/>
      <c r="K238" s="522"/>
      <c r="L238" s="522"/>
      <c r="M238" s="522"/>
      <c r="N238" s="522"/>
    </row>
    <row r="239">
      <c r="C239" s="522"/>
      <c r="D239" s="522"/>
      <c r="E239" s="522"/>
      <c r="F239" s="522"/>
      <c r="G239" s="522"/>
      <c r="H239" s="522"/>
      <c r="I239" s="522"/>
      <c r="J239" s="522"/>
      <c r="K239" s="522"/>
      <c r="L239" s="522"/>
      <c r="M239" s="522"/>
      <c r="N239" s="522"/>
    </row>
    <row r="240">
      <c r="C240" s="522"/>
      <c r="D240" s="522"/>
      <c r="E240" s="522"/>
      <c r="F240" s="522"/>
      <c r="G240" s="522"/>
      <c r="H240" s="522"/>
      <c r="I240" s="522"/>
      <c r="J240" s="522"/>
      <c r="K240" s="522"/>
      <c r="L240" s="522"/>
      <c r="M240" s="522"/>
      <c r="N240" s="522"/>
    </row>
    <row r="241">
      <c r="C241" s="522"/>
      <c r="D241" s="522"/>
      <c r="E241" s="522"/>
      <c r="F241" s="522"/>
      <c r="G241" s="522"/>
      <c r="H241" s="522"/>
      <c r="I241" s="522"/>
      <c r="J241" s="522"/>
      <c r="K241" s="522"/>
      <c r="L241" s="522"/>
      <c r="M241" s="522"/>
      <c r="N241" s="522"/>
    </row>
    <row r="242">
      <c r="C242" s="522"/>
      <c r="D242" s="522"/>
      <c r="E242" s="522"/>
      <c r="F242" s="522"/>
      <c r="G242" s="522"/>
      <c r="H242" s="522"/>
      <c r="I242" s="522"/>
      <c r="J242" s="522"/>
      <c r="K242" s="522"/>
      <c r="L242" s="522"/>
      <c r="M242" s="522"/>
      <c r="N242" s="522"/>
    </row>
    <row r="243">
      <c r="C243" s="522"/>
      <c r="D243" s="522"/>
      <c r="E243" s="522"/>
      <c r="F243" s="522"/>
      <c r="G243" s="522"/>
      <c r="H243" s="522"/>
      <c r="I243" s="522"/>
      <c r="J243" s="522"/>
      <c r="K243" s="522"/>
      <c r="L243" s="522"/>
      <c r="M243" s="522"/>
      <c r="N243" s="522"/>
    </row>
    <row r="244">
      <c r="C244" s="522"/>
      <c r="D244" s="522"/>
      <c r="E244" s="522"/>
      <c r="F244" s="522"/>
      <c r="G244" s="522"/>
      <c r="H244" s="522"/>
      <c r="I244" s="522"/>
      <c r="J244" s="522"/>
      <c r="K244" s="522"/>
      <c r="L244" s="522"/>
      <c r="M244" s="522"/>
      <c r="N244" s="522"/>
    </row>
    <row r="245">
      <c r="C245" s="522"/>
      <c r="D245" s="522"/>
      <c r="E245" s="522"/>
      <c r="F245" s="522"/>
      <c r="G245" s="522"/>
      <c r="H245" s="522"/>
      <c r="I245" s="522"/>
      <c r="J245" s="522"/>
      <c r="K245" s="522"/>
      <c r="L245" s="522"/>
      <c r="M245" s="522"/>
      <c r="N245" s="522"/>
    </row>
    <row r="246">
      <c r="C246" s="522"/>
      <c r="D246" s="522"/>
      <c r="E246" s="522"/>
      <c r="F246" s="522"/>
      <c r="G246" s="522"/>
      <c r="H246" s="522"/>
      <c r="I246" s="522"/>
      <c r="J246" s="522"/>
      <c r="K246" s="522"/>
      <c r="L246" s="522"/>
      <c r="M246" s="522"/>
      <c r="N246" s="522"/>
    </row>
    <row r="247">
      <c r="C247" s="522"/>
      <c r="D247" s="522"/>
      <c r="E247" s="522"/>
      <c r="F247" s="522"/>
      <c r="G247" s="522"/>
      <c r="H247" s="522"/>
      <c r="I247" s="522"/>
      <c r="J247" s="522"/>
      <c r="K247" s="522"/>
      <c r="L247" s="522"/>
      <c r="M247" s="522"/>
      <c r="N247" s="522"/>
    </row>
    <row r="248">
      <c r="C248" s="522"/>
      <c r="D248" s="522"/>
      <c r="E248" s="522"/>
      <c r="F248" s="522"/>
      <c r="G248" s="522"/>
      <c r="H248" s="522"/>
      <c r="I248" s="522"/>
      <c r="J248" s="522"/>
      <c r="K248" s="522"/>
      <c r="L248" s="522"/>
      <c r="M248" s="522"/>
      <c r="N248" s="522"/>
    </row>
    <row r="249">
      <c r="C249" s="522"/>
      <c r="D249" s="522"/>
      <c r="E249" s="522"/>
      <c r="F249" s="522"/>
      <c r="G249" s="522"/>
      <c r="H249" s="522"/>
      <c r="I249" s="522"/>
      <c r="J249" s="522"/>
      <c r="K249" s="522"/>
      <c r="L249" s="522"/>
      <c r="M249" s="522"/>
      <c r="N249" s="522"/>
    </row>
    <row r="250">
      <c r="C250" s="522"/>
      <c r="D250" s="522"/>
      <c r="E250" s="522"/>
      <c r="F250" s="522"/>
      <c r="G250" s="522"/>
      <c r="H250" s="522"/>
      <c r="I250" s="522"/>
      <c r="J250" s="522"/>
      <c r="K250" s="522"/>
      <c r="L250" s="522"/>
      <c r="M250" s="522"/>
      <c r="N250" s="522"/>
    </row>
    <row r="251">
      <c r="C251" s="522"/>
      <c r="D251" s="522"/>
      <c r="E251" s="522"/>
      <c r="F251" s="522"/>
      <c r="G251" s="522"/>
      <c r="H251" s="522"/>
      <c r="I251" s="522"/>
      <c r="J251" s="522"/>
      <c r="K251" s="522"/>
      <c r="L251" s="522"/>
      <c r="M251" s="522"/>
      <c r="N251" s="522"/>
    </row>
    <row r="252">
      <c r="C252" s="522"/>
      <c r="D252" s="522"/>
      <c r="E252" s="522"/>
      <c r="F252" s="522"/>
      <c r="G252" s="522"/>
      <c r="H252" s="522"/>
      <c r="I252" s="522"/>
      <c r="J252" s="522"/>
      <c r="K252" s="522"/>
      <c r="L252" s="522"/>
      <c r="M252" s="522"/>
      <c r="N252" s="522"/>
    </row>
    <row r="253">
      <c r="C253" s="522"/>
      <c r="D253" s="522"/>
      <c r="E253" s="522"/>
      <c r="F253" s="522"/>
      <c r="G253" s="522"/>
      <c r="H253" s="522"/>
      <c r="I253" s="522"/>
      <c r="J253" s="522"/>
      <c r="K253" s="522"/>
      <c r="L253" s="522"/>
      <c r="M253" s="522"/>
      <c r="N253" s="522"/>
    </row>
    <row r="254">
      <c r="C254" s="522"/>
      <c r="D254" s="522"/>
      <c r="E254" s="522"/>
      <c r="F254" s="522"/>
      <c r="G254" s="522"/>
      <c r="H254" s="522"/>
      <c r="I254" s="522"/>
      <c r="J254" s="522"/>
      <c r="K254" s="522"/>
      <c r="L254" s="522"/>
      <c r="M254" s="522"/>
      <c r="N254" s="522"/>
    </row>
    <row r="255">
      <c r="C255" s="522"/>
      <c r="D255" s="522"/>
      <c r="E255" s="522"/>
      <c r="F255" s="522"/>
      <c r="G255" s="522"/>
      <c r="H255" s="522"/>
      <c r="I255" s="522"/>
      <c r="J255" s="522"/>
      <c r="K255" s="522"/>
      <c r="L255" s="522"/>
      <c r="M255" s="522"/>
      <c r="N255" s="522"/>
    </row>
    <row r="256">
      <c r="C256" s="522"/>
      <c r="D256" s="522"/>
      <c r="E256" s="522"/>
      <c r="F256" s="522"/>
      <c r="G256" s="522"/>
      <c r="H256" s="522"/>
      <c r="I256" s="522"/>
      <c r="J256" s="522"/>
      <c r="K256" s="522"/>
      <c r="L256" s="522"/>
      <c r="M256" s="522"/>
      <c r="N256" s="522"/>
    </row>
    <row r="257">
      <c r="C257" s="522"/>
      <c r="D257" s="522"/>
      <c r="E257" s="522"/>
      <c r="F257" s="522"/>
      <c r="G257" s="522"/>
      <c r="H257" s="522"/>
      <c r="I257" s="522"/>
      <c r="J257" s="522"/>
      <c r="K257" s="522"/>
      <c r="L257" s="522"/>
      <c r="M257" s="522"/>
      <c r="N257" s="522"/>
    </row>
    <row r="258">
      <c r="C258" s="522"/>
      <c r="D258" s="522"/>
      <c r="E258" s="522"/>
      <c r="F258" s="522"/>
      <c r="G258" s="522"/>
      <c r="H258" s="522"/>
      <c r="I258" s="522"/>
      <c r="J258" s="522"/>
      <c r="K258" s="522"/>
      <c r="L258" s="522"/>
      <c r="M258" s="522"/>
      <c r="N258" s="522"/>
    </row>
    <row r="259">
      <c r="C259" s="522"/>
      <c r="D259" s="522"/>
      <c r="E259" s="522"/>
      <c r="F259" s="522"/>
      <c r="G259" s="522"/>
      <c r="H259" s="522"/>
      <c r="I259" s="522"/>
      <c r="J259" s="522"/>
      <c r="K259" s="522"/>
      <c r="L259" s="522"/>
      <c r="M259" s="522"/>
      <c r="N259" s="522"/>
    </row>
    <row r="260">
      <c r="C260" s="522"/>
      <c r="D260" s="522"/>
      <c r="E260" s="522"/>
      <c r="F260" s="522"/>
      <c r="G260" s="522"/>
      <c r="H260" s="522"/>
      <c r="I260" s="522"/>
      <c r="J260" s="522"/>
      <c r="K260" s="522"/>
      <c r="L260" s="522"/>
      <c r="M260" s="522"/>
      <c r="N260" s="522"/>
    </row>
    <row r="261">
      <c r="C261" s="522"/>
      <c r="D261" s="522"/>
      <c r="E261" s="522"/>
      <c r="F261" s="522"/>
      <c r="G261" s="522"/>
      <c r="H261" s="522"/>
      <c r="I261" s="522"/>
      <c r="J261" s="522"/>
      <c r="K261" s="522"/>
      <c r="L261" s="522"/>
      <c r="M261" s="522"/>
      <c r="N261" s="522"/>
    </row>
    <row r="262">
      <c r="C262" s="522"/>
      <c r="D262" s="522"/>
      <c r="E262" s="522"/>
      <c r="F262" s="522"/>
      <c r="G262" s="522"/>
      <c r="H262" s="522"/>
      <c r="I262" s="522"/>
      <c r="J262" s="522"/>
      <c r="K262" s="522"/>
      <c r="L262" s="522"/>
      <c r="M262" s="522"/>
      <c r="N262" s="522"/>
    </row>
    <row r="263">
      <c r="C263" s="522"/>
      <c r="D263" s="522"/>
      <c r="E263" s="522"/>
      <c r="F263" s="522"/>
      <c r="G263" s="522"/>
      <c r="H263" s="522"/>
      <c r="I263" s="522"/>
      <c r="J263" s="522"/>
      <c r="K263" s="522"/>
      <c r="L263" s="522"/>
      <c r="M263" s="522"/>
      <c r="N263" s="522"/>
    </row>
    <row r="264">
      <c r="C264" s="522"/>
      <c r="D264" s="522"/>
      <c r="E264" s="522"/>
      <c r="F264" s="522"/>
      <c r="G264" s="522"/>
      <c r="H264" s="522"/>
      <c r="I264" s="522"/>
      <c r="J264" s="522"/>
      <c r="K264" s="522"/>
      <c r="L264" s="522"/>
      <c r="M264" s="522"/>
      <c r="N264" s="522"/>
    </row>
    <row r="265">
      <c r="C265" s="522"/>
      <c r="D265" s="522"/>
      <c r="E265" s="522"/>
      <c r="F265" s="522"/>
      <c r="G265" s="522"/>
      <c r="H265" s="522"/>
      <c r="I265" s="522"/>
      <c r="J265" s="522"/>
      <c r="K265" s="522"/>
      <c r="L265" s="522"/>
      <c r="M265" s="522"/>
      <c r="N265" s="522"/>
    </row>
    <row r="266">
      <c r="C266" s="522"/>
      <c r="D266" s="522"/>
      <c r="E266" s="522"/>
      <c r="F266" s="522"/>
      <c r="G266" s="522"/>
      <c r="H266" s="522"/>
      <c r="I266" s="522"/>
      <c r="J266" s="522"/>
      <c r="K266" s="522"/>
      <c r="L266" s="522"/>
      <c r="M266" s="522"/>
      <c r="N266" s="522"/>
    </row>
    <row r="267">
      <c r="C267" s="522"/>
      <c r="D267" s="522"/>
      <c r="E267" s="522"/>
      <c r="F267" s="522"/>
      <c r="G267" s="522"/>
      <c r="H267" s="522"/>
      <c r="I267" s="522"/>
      <c r="J267" s="522"/>
      <c r="K267" s="522"/>
      <c r="L267" s="522"/>
      <c r="M267" s="522"/>
      <c r="N267" s="522"/>
    </row>
    <row r="268">
      <c r="C268" s="522"/>
      <c r="D268" s="522"/>
      <c r="E268" s="522"/>
      <c r="F268" s="522"/>
      <c r="G268" s="522"/>
      <c r="H268" s="522"/>
      <c r="I268" s="522"/>
      <c r="J268" s="522"/>
      <c r="K268" s="522"/>
      <c r="L268" s="522"/>
      <c r="M268" s="522"/>
      <c r="N268" s="522"/>
    </row>
    <row r="269">
      <c r="C269" s="522"/>
      <c r="D269" s="522"/>
      <c r="E269" s="522"/>
      <c r="F269" s="522"/>
      <c r="G269" s="522"/>
      <c r="H269" s="522"/>
      <c r="I269" s="522"/>
      <c r="J269" s="522"/>
      <c r="K269" s="522"/>
      <c r="L269" s="522"/>
      <c r="M269" s="522"/>
      <c r="N269" s="522"/>
    </row>
    <row r="270">
      <c r="C270" s="522"/>
      <c r="D270" s="522"/>
      <c r="E270" s="522"/>
      <c r="F270" s="522"/>
      <c r="G270" s="522"/>
      <c r="H270" s="522"/>
      <c r="I270" s="522"/>
      <c r="J270" s="522"/>
      <c r="K270" s="522"/>
      <c r="L270" s="522"/>
      <c r="M270" s="522"/>
      <c r="N270" s="522"/>
    </row>
    <row r="271">
      <c r="C271" s="522"/>
      <c r="D271" s="522"/>
      <c r="E271" s="522"/>
      <c r="F271" s="522"/>
      <c r="G271" s="522"/>
      <c r="H271" s="522"/>
      <c r="I271" s="522"/>
      <c r="J271" s="522"/>
      <c r="K271" s="522"/>
      <c r="L271" s="522"/>
      <c r="M271" s="522"/>
      <c r="N271" s="522"/>
    </row>
    <row r="272">
      <c r="C272" s="522"/>
      <c r="D272" s="522"/>
      <c r="E272" s="522"/>
      <c r="F272" s="522"/>
      <c r="G272" s="522"/>
      <c r="H272" s="522"/>
      <c r="I272" s="522"/>
      <c r="J272" s="522"/>
      <c r="K272" s="522"/>
      <c r="L272" s="522"/>
      <c r="M272" s="522"/>
      <c r="N272" s="522"/>
    </row>
    <row r="273">
      <c r="C273" s="522"/>
      <c r="D273" s="522"/>
      <c r="E273" s="522"/>
      <c r="F273" s="522"/>
      <c r="G273" s="522"/>
      <c r="H273" s="522"/>
      <c r="I273" s="522"/>
      <c r="J273" s="522"/>
      <c r="K273" s="522"/>
      <c r="L273" s="522"/>
      <c r="M273" s="522"/>
      <c r="N273" s="522"/>
    </row>
    <row r="274">
      <c r="C274" s="522"/>
      <c r="D274" s="522"/>
      <c r="E274" s="522"/>
      <c r="F274" s="522"/>
      <c r="G274" s="522"/>
      <c r="H274" s="522"/>
      <c r="I274" s="522"/>
      <c r="J274" s="522"/>
      <c r="K274" s="522"/>
      <c r="L274" s="522"/>
      <c r="M274" s="522"/>
      <c r="N274" s="522"/>
    </row>
    <row r="275">
      <c r="C275" s="522"/>
      <c r="D275" s="522"/>
      <c r="E275" s="522"/>
      <c r="F275" s="522"/>
      <c r="G275" s="522"/>
      <c r="H275" s="522"/>
      <c r="I275" s="522"/>
      <c r="J275" s="522"/>
      <c r="K275" s="522"/>
      <c r="L275" s="522"/>
      <c r="M275" s="522"/>
      <c r="N275" s="522"/>
    </row>
    <row r="276">
      <c r="C276" s="522"/>
      <c r="D276" s="522"/>
      <c r="E276" s="522"/>
      <c r="F276" s="522"/>
      <c r="G276" s="522"/>
      <c r="H276" s="522"/>
      <c r="I276" s="522"/>
      <c r="J276" s="522"/>
      <c r="K276" s="522"/>
      <c r="L276" s="522"/>
      <c r="M276" s="522"/>
      <c r="N276" s="522"/>
    </row>
    <row r="277">
      <c r="C277" s="522"/>
      <c r="D277" s="522"/>
      <c r="E277" s="522"/>
      <c r="F277" s="522"/>
      <c r="G277" s="522"/>
      <c r="H277" s="522"/>
      <c r="I277" s="522"/>
      <c r="J277" s="522"/>
      <c r="K277" s="522"/>
      <c r="L277" s="522"/>
      <c r="M277" s="522"/>
      <c r="N277" s="522"/>
    </row>
    <row r="278">
      <c r="C278" s="522"/>
      <c r="D278" s="522"/>
      <c r="E278" s="522"/>
      <c r="F278" s="522"/>
      <c r="G278" s="522"/>
      <c r="H278" s="522"/>
      <c r="I278" s="522"/>
      <c r="J278" s="522"/>
      <c r="K278" s="522"/>
      <c r="L278" s="522"/>
      <c r="M278" s="522"/>
      <c r="N278" s="522"/>
    </row>
    <row r="279">
      <c r="C279" s="522"/>
      <c r="D279" s="522"/>
      <c r="E279" s="522"/>
      <c r="F279" s="522"/>
      <c r="G279" s="522"/>
      <c r="H279" s="522"/>
      <c r="I279" s="522"/>
      <c r="J279" s="522"/>
      <c r="K279" s="522"/>
      <c r="L279" s="522"/>
      <c r="M279" s="522"/>
      <c r="N279" s="522"/>
    </row>
    <row r="280">
      <c r="C280" s="522"/>
      <c r="D280" s="522"/>
      <c r="E280" s="522"/>
      <c r="F280" s="522"/>
      <c r="G280" s="522"/>
      <c r="H280" s="522"/>
      <c r="I280" s="522"/>
      <c r="J280" s="522"/>
      <c r="K280" s="522"/>
      <c r="L280" s="522"/>
      <c r="M280" s="522"/>
      <c r="N280" s="522"/>
    </row>
    <row r="281">
      <c r="C281" s="522"/>
      <c r="D281" s="522"/>
      <c r="E281" s="522"/>
      <c r="F281" s="522"/>
      <c r="G281" s="522"/>
      <c r="H281" s="522"/>
      <c r="I281" s="522"/>
      <c r="J281" s="522"/>
      <c r="K281" s="522"/>
      <c r="L281" s="522"/>
      <c r="M281" s="522"/>
      <c r="N281" s="522"/>
    </row>
    <row r="282">
      <c r="C282" s="522"/>
      <c r="D282" s="522"/>
      <c r="E282" s="522"/>
      <c r="F282" s="522"/>
      <c r="G282" s="522"/>
      <c r="H282" s="522"/>
      <c r="I282" s="522"/>
      <c r="J282" s="522"/>
      <c r="K282" s="522"/>
      <c r="L282" s="522"/>
      <c r="M282" s="522"/>
      <c r="N282" s="522"/>
    </row>
    <row r="283">
      <c r="C283" s="522"/>
      <c r="D283" s="522"/>
      <c r="E283" s="522"/>
      <c r="F283" s="522"/>
      <c r="G283" s="522"/>
      <c r="H283" s="522"/>
      <c r="I283" s="522"/>
      <c r="J283" s="522"/>
      <c r="K283" s="522"/>
      <c r="L283" s="522"/>
      <c r="M283" s="522"/>
      <c r="N283" s="522"/>
    </row>
    <row r="284">
      <c r="C284" s="522"/>
      <c r="D284" s="522"/>
      <c r="E284" s="522"/>
      <c r="F284" s="522"/>
      <c r="G284" s="522"/>
      <c r="H284" s="522"/>
      <c r="I284" s="522"/>
      <c r="J284" s="522"/>
      <c r="K284" s="522"/>
      <c r="L284" s="522"/>
      <c r="M284" s="522"/>
      <c r="N284" s="522"/>
    </row>
    <row r="285">
      <c r="C285" s="522"/>
      <c r="D285" s="522"/>
      <c r="E285" s="522"/>
      <c r="F285" s="522"/>
      <c r="G285" s="522"/>
      <c r="H285" s="522"/>
      <c r="I285" s="522"/>
      <c r="J285" s="522"/>
      <c r="K285" s="522"/>
      <c r="L285" s="522"/>
      <c r="M285" s="522"/>
      <c r="N285" s="522"/>
    </row>
    <row r="286">
      <c r="C286" s="522"/>
      <c r="D286" s="522"/>
      <c r="E286" s="522"/>
      <c r="F286" s="522"/>
      <c r="G286" s="522"/>
      <c r="H286" s="522"/>
      <c r="I286" s="522"/>
      <c r="J286" s="522"/>
      <c r="K286" s="522"/>
      <c r="L286" s="522"/>
      <c r="M286" s="522"/>
      <c r="N286" s="522"/>
    </row>
    <row r="287">
      <c r="C287" s="522"/>
      <c r="D287" s="522"/>
      <c r="E287" s="522"/>
      <c r="F287" s="522"/>
      <c r="G287" s="522"/>
      <c r="H287" s="522"/>
      <c r="I287" s="522"/>
      <c r="J287" s="522"/>
      <c r="K287" s="522"/>
      <c r="L287" s="522"/>
      <c r="M287" s="522"/>
      <c r="N287" s="522"/>
    </row>
    <row r="288">
      <c r="C288" s="522"/>
      <c r="D288" s="522"/>
      <c r="E288" s="522"/>
      <c r="F288" s="522"/>
      <c r="G288" s="522"/>
      <c r="H288" s="522"/>
      <c r="I288" s="522"/>
      <c r="J288" s="522"/>
      <c r="K288" s="522"/>
      <c r="L288" s="522"/>
      <c r="M288" s="522"/>
      <c r="N288" s="522"/>
    </row>
    <row r="289">
      <c r="C289" s="522"/>
      <c r="D289" s="522"/>
      <c r="E289" s="522"/>
      <c r="F289" s="522"/>
      <c r="G289" s="522"/>
      <c r="H289" s="522"/>
      <c r="I289" s="522"/>
      <c r="J289" s="522"/>
      <c r="K289" s="522"/>
      <c r="L289" s="522"/>
      <c r="M289" s="522"/>
      <c r="N289" s="522"/>
    </row>
    <row r="290">
      <c r="C290" s="522"/>
      <c r="D290" s="522"/>
      <c r="E290" s="522"/>
      <c r="F290" s="522"/>
      <c r="G290" s="522"/>
      <c r="H290" s="522"/>
      <c r="I290" s="522"/>
      <c r="J290" s="522"/>
      <c r="K290" s="522"/>
      <c r="L290" s="522"/>
      <c r="M290" s="522"/>
      <c r="N290" s="522"/>
    </row>
    <row r="291">
      <c r="C291" s="522"/>
      <c r="D291" s="522"/>
      <c r="E291" s="522"/>
      <c r="F291" s="522"/>
      <c r="G291" s="522"/>
      <c r="H291" s="522"/>
      <c r="I291" s="522"/>
      <c r="J291" s="522"/>
      <c r="K291" s="522"/>
      <c r="L291" s="522"/>
      <c r="M291" s="522"/>
      <c r="N291" s="522"/>
    </row>
    <row r="292">
      <c r="C292" s="522"/>
      <c r="D292" s="522"/>
      <c r="E292" s="522"/>
      <c r="F292" s="522"/>
      <c r="G292" s="522"/>
      <c r="H292" s="522"/>
      <c r="I292" s="522"/>
      <c r="J292" s="522"/>
      <c r="K292" s="522"/>
      <c r="L292" s="522"/>
      <c r="M292" s="522"/>
      <c r="N292" s="522"/>
    </row>
    <row r="293">
      <c r="C293" s="522"/>
      <c r="D293" s="522"/>
      <c r="E293" s="522"/>
      <c r="F293" s="522"/>
      <c r="G293" s="522"/>
      <c r="H293" s="522"/>
      <c r="I293" s="522"/>
      <c r="J293" s="522"/>
      <c r="K293" s="522"/>
      <c r="L293" s="522"/>
      <c r="M293" s="522"/>
      <c r="N293" s="522"/>
    </row>
    <row r="294">
      <c r="C294" s="522"/>
      <c r="D294" s="522"/>
      <c r="E294" s="522"/>
      <c r="F294" s="522"/>
      <c r="G294" s="522"/>
      <c r="H294" s="522"/>
      <c r="I294" s="522"/>
      <c r="J294" s="522"/>
      <c r="K294" s="522"/>
      <c r="L294" s="522"/>
      <c r="M294" s="522"/>
      <c r="N294" s="522"/>
    </row>
    <row r="295">
      <c r="C295" s="522"/>
      <c r="D295" s="522"/>
      <c r="E295" s="522"/>
      <c r="F295" s="522"/>
      <c r="G295" s="522"/>
      <c r="H295" s="522"/>
      <c r="I295" s="522"/>
      <c r="J295" s="522"/>
      <c r="K295" s="522"/>
      <c r="L295" s="522"/>
      <c r="M295" s="522"/>
      <c r="N295" s="522"/>
    </row>
    <row r="296">
      <c r="C296" s="522"/>
      <c r="D296" s="522"/>
      <c r="E296" s="522"/>
      <c r="F296" s="522"/>
      <c r="G296" s="522"/>
      <c r="H296" s="522"/>
      <c r="I296" s="522"/>
      <c r="J296" s="522"/>
      <c r="K296" s="522"/>
      <c r="L296" s="522"/>
      <c r="M296" s="522"/>
      <c r="N296" s="522"/>
    </row>
    <row r="297">
      <c r="C297" s="522"/>
      <c r="D297" s="522"/>
      <c r="E297" s="522"/>
      <c r="F297" s="522"/>
      <c r="G297" s="522"/>
      <c r="H297" s="522"/>
      <c r="I297" s="522"/>
      <c r="J297" s="522"/>
      <c r="K297" s="522"/>
      <c r="L297" s="522"/>
      <c r="M297" s="522"/>
      <c r="N297" s="522"/>
    </row>
    <row r="298">
      <c r="C298" s="522"/>
      <c r="D298" s="522"/>
      <c r="E298" s="522"/>
      <c r="F298" s="522"/>
      <c r="G298" s="522"/>
      <c r="H298" s="522"/>
      <c r="I298" s="522"/>
      <c r="J298" s="522"/>
      <c r="K298" s="522"/>
      <c r="L298" s="522"/>
      <c r="M298" s="522"/>
      <c r="N298" s="522"/>
    </row>
    <row r="299">
      <c r="C299" s="522"/>
      <c r="D299" s="522"/>
      <c r="E299" s="522"/>
      <c r="F299" s="522"/>
      <c r="G299" s="522"/>
      <c r="H299" s="522"/>
      <c r="I299" s="522"/>
      <c r="J299" s="522"/>
      <c r="K299" s="522"/>
      <c r="L299" s="522"/>
      <c r="M299" s="522"/>
      <c r="N299" s="522"/>
    </row>
    <row r="300">
      <c r="C300" s="522"/>
      <c r="D300" s="522"/>
      <c r="E300" s="522"/>
      <c r="F300" s="522"/>
      <c r="G300" s="522"/>
      <c r="H300" s="522"/>
      <c r="I300" s="522"/>
      <c r="J300" s="522"/>
      <c r="K300" s="522"/>
      <c r="L300" s="522"/>
      <c r="M300" s="522"/>
      <c r="N300" s="522"/>
    </row>
    <row r="301">
      <c r="C301" s="522"/>
      <c r="D301" s="522"/>
      <c r="E301" s="522"/>
      <c r="F301" s="522"/>
      <c r="G301" s="522"/>
      <c r="H301" s="522"/>
      <c r="I301" s="522"/>
      <c r="J301" s="522"/>
      <c r="K301" s="522"/>
      <c r="L301" s="522"/>
      <c r="M301" s="522"/>
      <c r="N301" s="522"/>
    </row>
    <row r="302">
      <c r="C302" s="522"/>
      <c r="D302" s="522"/>
      <c r="E302" s="522"/>
      <c r="F302" s="522"/>
      <c r="G302" s="522"/>
      <c r="H302" s="522"/>
      <c r="I302" s="522"/>
      <c r="J302" s="522"/>
      <c r="K302" s="522"/>
      <c r="L302" s="522"/>
      <c r="M302" s="522"/>
      <c r="N302" s="522"/>
    </row>
    <row r="303">
      <c r="C303" s="522"/>
      <c r="D303" s="522"/>
      <c r="E303" s="522"/>
      <c r="F303" s="522"/>
      <c r="G303" s="522"/>
      <c r="H303" s="522"/>
      <c r="I303" s="522"/>
      <c r="J303" s="522"/>
      <c r="K303" s="522"/>
      <c r="L303" s="522"/>
      <c r="M303" s="522"/>
      <c r="N303" s="522"/>
    </row>
    <row r="304">
      <c r="C304" s="522"/>
      <c r="D304" s="522"/>
      <c r="E304" s="522"/>
      <c r="F304" s="522"/>
      <c r="G304" s="522"/>
      <c r="H304" s="522"/>
      <c r="I304" s="522"/>
      <c r="J304" s="522"/>
      <c r="K304" s="522"/>
      <c r="L304" s="522"/>
      <c r="M304" s="522"/>
      <c r="N304" s="522"/>
    </row>
    <row r="305">
      <c r="C305" s="522"/>
      <c r="D305" s="522"/>
      <c r="E305" s="522"/>
      <c r="F305" s="522"/>
      <c r="G305" s="522"/>
      <c r="H305" s="522"/>
      <c r="I305" s="522"/>
      <c r="J305" s="522"/>
      <c r="K305" s="522"/>
      <c r="L305" s="522"/>
      <c r="M305" s="522"/>
      <c r="N305" s="522"/>
    </row>
    <row r="306">
      <c r="C306" s="522"/>
      <c r="D306" s="522"/>
      <c r="E306" s="522"/>
      <c r="F306" s="522"/>
      <c r="G306" s="522"/>
      <c r="H306" s="522"/>
      <c r="I306" s="522"/>
      <c r="J306" s="522"/>
      <c r="K306" s="522"/>
      <c r="L306" s="522"/>
      <c r="M306" s="522"/>
      <c r="N306" s="522"/>
    </row>
    <row r="307">
      <c r="C307" s="522"/>
      <c r="D307" s="522"/>
      <c r="E307" s="522"/>
      <c r="F307" s="522"/>
      <c r="G307" s="522"/>
      <c r="H307" s="522"/>
      <c r="I307" s="522"/>
      <c r="J307" s="522"/>
      <c r="K307" s="522"/>
      <c r="L307" s="522"/>
      <c r="M307" s="522"/>
      <c r="N307" s="522"/>
    </row>
    <row r="308">
      <c r="C308" s="522"/>
      <c r="D308" s="522"/>
      <c r="E308" s="522"/>
      <c r="F308" s="522"/>
      <c r="G308" s="522"/>
      <c r="H308" s="522"/>
      <c r="I308" s="522"/>
      <c r="J308" s="522"/>
      <c r="K308" s="522"/>
      <c r="L308" s="522"/>
      <c r="M308" s="522"/>
      <c r="N308" s="522"/>
    </row>
    <row r="309">
      <c r="C309" s="522"/>
      <c r="D309" s="522"/>
      <c r="E309" s="522"/>
      <c r="F309" s="522"/>
      <c r="G309" s="522"/>
      <c r="H309" s="522"/>
      <c r="I309" s="522"/>
      <c r="J309" s="522"/>
      <c r="K309" s="522"/>
      <c r="L309" s="522"/>
      <c r="M309" s="522"/>
      <c r="N309" s="522"/>
    </row>
    <row r="310">
      <c r="C310" s="522"/>
      <c r="D310" s="522"/>
      <c r="E310" s="522"/>
      <c r="F310" s="522"/>
      <c r="G310" s="522"/>
      <c r="H310" s="522"/>
      <c r="I310" s="522"/>
      <c r="J310" s="522"/>
      <c r="K310" s="522"/>
      <c r="L310" s="522"/>
      <c r="M310" s="522"/>
      <c r="N310" s="522"/>
    </row>
    <row r="311">
      <c r="C311" s="522"/>
      <c r="D311" s="522"/>
      <c r="E311" s="522"/>
      <c r="F311" s="522"/>
      <c r="G311" s="522"/>
      <c r="H311" s="522"/>
      <c r="I311" s="522"/>
      <c r="J311" s="522"/>
      <c r="K311" s="522"/>
      <c r="L311" s="522"/>
      <c r="M311" s="522"/>
      <c r="N311" s="522"/>
    </row>
    <row r="312">
      <c r="C312" s="522"/>
      <c r="D312" s="522"/>
      <c r="E312" s="522"/>
      <c r="F312" s="522"/>
      <c r="G312" s="522"/>
      <c r="H312" s="522"/>
      <c r="I312" s="522"/>
      <c r="J312" s="522"/>
      <c r="K312" s="522"/>
      <c r="L312" s="522"/>
      <c r="M312" s="522"/>
      <c r="N312" s="522"/>
    </row>
    <row r="313">
      <c r="C313" s="522"/>
      <c r="D313" s="522"/>
      <c r="E313" s="522"/>
      <c r="F313" s="522"/>
      <c r="G313" s="522"/>
      <c r="H313" s="522"/>
      <c r="I313" s="522"/>
      <c r="J313" s="522"/>
      <c r="K313" s="522"/>
      <c r="L313" s="522"/>
      <c r="M313" s="522"/>
      <c r="N313" s="522"/>
    </row>
    <row r="314">
      <c r="C314" s="522"/>
      <c r="D314" s="522"/>
      <c r="E314" s="522"/>
      <c r="F314" s="522"/>
      <c r="G314" s="522"/>
      <c r="H314" s="522"/>
      <c r="I314" s="522"/>
      <c r="J314" s="522"/>
      <c r="K314" s="522"/>
      <c r="L314" s="522"/>
      <c r="M314" s="522"/>
      <c r="N314" s="522"/>
    </row>
    <row r="315">
      <c r="C315" s="522"/>
      <c r="D315" s="522"/>
      <c r="E315" s="522"/>
      <c r="F315" s="522"/>
      <c r="G315" s="522"/>
      <c r="H315" s="522"/>
      <c r="I315" s="522"/>
      <c r="J315" s="522"/>
      <c r="K315" s="522"/>
      <c r="L315" s="522"/>
      <c r="M315" s="522"/>
      <c r="N315" s="522"/>
    </row>
    <row r="316">
      <c r="C316" s="522"/>
      <c r="D316" s="522"/>
      <c r="E316" s="522"/>
      <c r="F316" s="522"/>
      <c r="G316" s="522"/>
      <c r="H316" s="522"/>
      <c r="I316" s="522"/>
      <c r="J316" s="522"/>
      <c r="K316" s="522"/>
      <c r="L316" s="522"/>
      <c r="M316" s="522"/>
      <c r="N316" s="522"/>
    </row>
    <row r="317">
      <c r="C317" s="522"/>
      <c r="D317" s="522"/>
      <c r="E317" s="522"/>
      <c r="F317" s="522"/>
      <c r="G317" s="522"/>
      <c r="H317" s="522"/>
      <c r="I317" s="522"/>
      <c r="J317" s="522"/>
      <c r="K317" s="522"/>
      <c r="L317" s="522"/>
      <c r="M317" s="522"/>
      <c r="N317" s="522"/>
    </row>
    <row r="318">
      <c r="C318" s="522"/>
      <c r="D318" s="522"/>
      <c r="E318" s="522"/>
      <c r="F318" s="522"/>
      <c r="G318" s="522"/>
      <c r="H318" s="522"/>
      <c r="I318" s="522"/>
      <c r="J318" s="522"/>
      <c r="K318" s="522"/>
      <c r="L318" s="522"/>
      <c r="M318" s="522"/>
      <c r="N318" s="522"/>
    </row>
    <row r="319">
      <c r="C319" s="522"/>
      <c r="D319" s="522"/>
      <c r="E319" s="522"/>
      <c r="F319" s="522"/>
      <c r="G319" s="522"/>
      <c r="H319" s="522"/>
      <c r="I319" s="522"/>
      <c r="J319" s="522"/>
      <c r="K319" s="522"/>
      <c r="L319" s="522"/>
      <c r="M319" s="522"/>
      <c r="N319" s="522"/>
    </row>
    <row r="320">
      <c r="C320" s="522"/>
      <c r="D320" s="522"/>
      <c r="E320" s="522"/>
      <c r="F320" s="522"/>
      <c r="G320" s="522"/>
      <c r="H320" s="522"/>
      <c r="I320" s="522"/>
      <c r="J320" s="522"/>
      <c r="K320" s="522"/>
      <c r="L320" s="522"/>
      <c r="M320" s="522"/>
      <c r="N320" s="522"/>
    </row>
    <row r="321">
      <c r="C321" s="522"/>
      <c r="D321" s="522"/>
      <c r="E321" s="522"/>
      <c r="F321" s="522"/>
      <c r="G321" s="522"/>
      <c r="H321" s="522"/>
      <c r="I321" s="522"/>
      <c r="J321" s="522"/>
      <c r="K321" s="522"/>
      <c r="L321" s="522"/>
      <c r="M321" s="522"/>
      <c r="N321" s="522"/>
    </row>
    <row r="322">
      <c r="C322" s="522"/>
      <c r="D322" s="522"/>
      <c r="E322" s="522"/>
      <c r="F322" s="522"/>
      <c r="G322" s="522"/>
      <c r="H322" s="522"/>
      <c r="I322" s="522"/>
      <c r="J322" s="522"/>
      <c r="K322" s="522"/>
      <c r="L322" s="522"/>
      <c r="M322" s="522"/>
      <c r="N322" s="522"/>
    </row>
    <row r="323">
      <c r="C323" s="522"/>
      <c r="D323" s="522"/>
      <c r="E323" s="522"/>
      <c r="F323" s="522"/>
      <c r="G323" s="522"/>
      <c r="H323" s="522"/>
      <c r="I323" s="522"/>
      <c r="J323" s="522"/>
      <c r="K323" s="522"/>
      <c r="L323" s="522"/>
      <c r="M323" s="522"/>
      <c r="N323" s="522"/>
    </row>
    <row r="324">
      <c r="C324" s="522"/>
      <c r="D324" s="522"/>
      <c r="E324" s="522"/>
      <c r="F324" s="522"/>
      <c r="G324" s="522"/>
      <c r="H324" s="522"/>
      <c r="I324" s="522"/>
      <c r="J324" s="522"/>
      <c r="K324" s="522"/>
      <c r="L324" s="522"/>
      <c r="M324" s="522"/>
      <c r="N324" s="522"/>
    </row>
    <row r="325">
      <c r="C325" s="522"/>
      <c r="D325" s="522"/>
      <c r="E325" s="522"/>
      <c r="F325" s="522"/>
      <c r="G325" s="522"/>
      <c r="H325" s="522"/>
      <c r="I325" s="522"/>
      <c r="J325" s="522"/>
      <c r="K325" s="522"/>
      <c r="L325" s="522"/>
      <c r="M325" s="522"/>
      <c r="N325" s="522"/>
    </row>
    <row r="326">
      <c r="C326" s="522"/>
      <c r="D326" s="522"/>
      <c r="E326" s="522"/>
      <c r="F326" s="522"/>
      <c r="G326" s="522"/>
      <c r="H326" s="522"/>
      <c r="I326" s="522"/>
      <c r="J326" s="522"/>
      <c r="K326" s="522"/>
      <c r="L326" s="522"/>
      <c r="M326" s="522"/>
      <c r="N326" s="522"/>
    </row>
    <row r="327">
      <c r="C327" s="522"/>
      <c r="D327" s="522"/>
      <c r="E327" s="522"/>
      <c r="F327" s="522"/>
      <c r="G327" s="522"/>
      <c r="H327" s="522"/>
      <c r="I327" s="522"/>
      <c r="J327" s="522"/>
      <c r="K327" s="522"/>
      <c r="L327" s="522"/>
      <c r="M327" s="522"/>
      <c r="N327" s="522"/>
    </row>
    <row r="328">
      <c r="C328" s="522"/>
      <c r="D328" s="522"/>
      <c r="E328" s="522"/>
      <c r="F328" s="522"/>
      <c r="G328" s="522"/>
      <c r="H328" s="522"/>
      <c r="I328" s="522"/>
      <c r="J328" s="522"/>
      <c r="K328" s="522"/>
      <c r="L328" s="522"/>
      <c r="M328" s="522"/>
      <c r="N328" s="522"/>
    </row>
    <row r="329">
      <c r="C329" s="522"/>
      <c r="D329" s="522"/>
      <c r="E329" s="522"/>
      <c r="F329" s="522"/>
      <c r="G329" s="522"/>
      <c r="H329" s="522"/>
      <c r="I329" s="522"/>
      <c r="J329" s="522"/>
      <c r="K329" s="522"/>
      <c r="L329" s="522"/>
      <c r="M329" s="522"/>
      <c r="N329" s="522"/>
    </row>
    <row r="330">
      <c r="C330" s="522"/>
      <c r="D330" s="522"/>
      <c r="E330" s="522"/>
      <c r="F330" s="522"/>
      <c r="G330" s="522"/>
      <c r="H330" s="522"/>
      <c r="I330" s="522"/>
      <c r="J330" s="522"/>
      <c r="K330" s="522"/>
      <c r="L330" s="522"/>
      <c r="M330" s="522"/>
      <c r="N330" s="522"/>
    </row>
    <row r="331">
      <c r="C331" s="522"/>
      <c r="D331" s="522"/>
      <c r="E331" s="522"/>
      <c r="F331" s="522"/>
      <c r="G331" s="522"/>
      <c r="H331" s="522"/>
      <c r="I331" s="522"/>
      <c r="J331" s="522"/>
      <c r="K331" s="522"/>
      <c r="L331" s="522"/>
      <c r="M331" s="522"/>
      <c r="N331" s="522"/>
    </row>
    <row r="332">
      <c r="C332" s="522"/>
      <c r="D332" s="522"/>
      <c r="E332" s="522"/>
      <c r="F332" s="522"/>
      <c r="G332" s="522"/>
      <c r="H332" s="522"/>
      <c r="I332" s="522"/>
      <c r="J332" s="522"/>
      <c r="K332" s="522"/>
      <c r="L332" s="522"/>
      <c r="M332" s="522"/>
      <c r="N332" s="522"/>
    </row>
    <row r="333">
      <c r="C333" s="522"/>
      <c r="D333" s="522"/>
      <c r="E333" s="522"/>
      <c r="F333" s="522"/>
      <c r="G333" s="522"/>
      <c r="H333" s="522"/>
      <c r="I333" s="522"/>
      <c r="J333" s="522"/>
      <c r="K333" s="522"/>
      <c r="L333" s="522"/>
      <c r="M333" s="522"/>
      <c r="N333" s="522"/>
    </row>
    <row r="334">
      <c r="C334" s="522"/>
      <c r="D334" s="522"/>
      <c r="E334" s="522"/>
      <c r="F334" s="522"/>
      <c r="G334" s="522"/>
      <c r="H334" s="522"/>
      <c r="I334" s="522"/>
      <c r="J334" s="522"/>
      <c r="K334" s="522"/>
      <c r="L334" s="522"/>
      <c r="M334" s="522"/>
      <c r="N334" s="522"/>
    </row>
    <row r="335">
      <c r="C335" s="522"/>
      <c r="D335" s="522"/>
      <c r="E335" s="522"/>
      <c r="F335" s="522"/>
      <c r="G335" s="522"/>
      <c r="H335" s="522"/>
      <c r="I335" s="522"/>
      <c r="J335" s="522"/>
      <c r="K335" s="522"/>
      <c r="L335" s="522"/>
      <c r="M335" s="522"/>
      <c r="N335" s="522"/>
    </row>
    <row r="336">
      <c r="C336" s="522"/>
      <c r="D336" s="522"/>
      <c r="E336" s="522"/>
      <c r="F336" s="522"/>
      <c r="G336" s="522"/>
      <c r="H336" s="522"/>
      <c r="I336" s="522"/>
      <c r="J336" s="522"/>
      <c r="K336" s="522"/>
      <c r="L336" s="522"/>
      <c r="M336" s="522"/>
      <c r="N336" s="522"/>
    </row>
    <row r="337">
      <c r="C337" s="522"/>
      <c r="D337" s="522"/>
      <c r="E337" s="522"/>
      <c r="F337" s="522"/>
      <c r="G337" s="522"/>
      <c r="H337" s="522"/>
      <c r="I337" s="522"/>
      <c r="J337" s="522"/>
      <c r="K337" s="522"/>
      <c r="L337" s="522"/>
      <c r="M337" s="522"/>
      <c r="N337" s="522"/>
    </row>
    <row r="338">
      <c r="C338" s="522"/>
      <c r="D338" s="522"/>
      <c r="E338" s="522"/>
      <c r="F338" s="522"/>
      <c r="G338" s="522"/>
      <c r="H338" s="522"/>
      <c r="I338" s="522"/>
      <c r="J338" s="522"/>
      <c r="K338" s="522"/>
      <c r="L338" s="522"/>
      <c r="M338" s="522"/>
      <c r="N338" s="522"/>
    </row>
    <row r="339">
      <c r="C339" s="522"/>
      <c r="D339" s="522"/>
      <c r="E339" s="522"/>
      <c r="F339" s="522"/>
      <c r="G339" s="522"/>
      <c r="H339" s="522"/>
      <c r="I339" s="522"/>
      <c r="J339" s="522"/>
      <c r="K339" s="522"/>
      <c r="L339" s="522"/>
      <c r="M339" s="522"/>
      <c r="N339" s="522"/>
    </row>
    <row r="340">
      <c r="C340" s="522"/>
      <c r="D340" s="522"/>
      <c r="E340" s="522"/>
      <c r="F340" s="522"/>
      <c r="G340" s="522"/>
      <c r="H340" s="522"/>
      <c r="I340" s="522"/>
      <c r="J340" s="522"/>
      <c r="K340" s="522"/>
      <c r="L340" s="522"/>
      <c r="M340" s="522"/>
      <c r="N340" s="522"/>
    </row>
    <row r="341">
      <c r="C341" s="522"/>
      <c r="D341" s="522"/>
      <c r="E341" s="522"/>
      <c r="F341" s="522"/>
      <c r="G341" s="522"/>
      <c r="H341" s="522"/>
      <c r="I341" s="522"/>
      <c r="J341" s="522"/>
      <c r="K341" s="522"/>
      <c r="L341" s="522"/>
      <c r="M341" s="522"/>
      <c r="N341" s="522"/>
    </row>
    <row r="342">
      <c r="C342" s="522"/>
      <c r="D342" s="522"/>
      <c r="E342" s="522"/>
      <c r="F342" s="522"/>
      <c r="G342" s="522"/>
      <c r="H342" s="522"/>
      <c r="I342" s="522"/>
      <c r="J342" s="522"/>
      <c r="K342" s="522"/>
      <c r="L342" s="522"/>
      <c r="M342" s="522"/>
      <c r="N342" s="522"/>
    </row>
    <row r="343">
      <c r="C343" s="522"/>
      <c r="D343" s="522"/>
      <c r="E343" s="522"/>
      <c r="F343" s="522"/>
      <c r="G343" s="522"/>
      <c r="H343" s="522"/>
      <c r="I343" s="522"/>
      <c r="J343" s="522"/>
      <c r="K343" s="522"/>
      <c r="L343" s="522"/>
      <c r="M343" s="522"/>
      <c r="N343" s="522"/>
    </row>
    <row r="344">
      <c r="C344" s="522"/>
      <c r="D344" s="522"/>
      <c r="E344" s="522"/>
      <c r="F344" s="522"/>
      <c r="G344" s="522"/>
      <c r="H344" s="522"/>
      <c r="I344" s="522"/>
      <c r="J344" s="522"/>
      <c r="K344" s="522"/>
      <c r="L344" s="522"/>
      <c r="M344" s="522"/>
      <c r="N344" s="522"/>
    </row>
    <row r="345">
      <c r="C345" s="522"/>
      <c r="D345" s="522"/>
      <c r="E345" s="522"/>
      <c r="F345" s="522"/>
      <c r="G345" s="522"/>
      <c r="H345" s="522"/>
      <c r="I345" s="522"/>
      <c r="J345" s="522"/>
      <c r="K345" s="522"/>
      <c r="L345" s="522"/>
      <c r="M345" s="522"/>
      <c r="N345" s="522"/>
    </row>
    <row r="346">
      <c r="C346" s="522"/>
      <c r="D346" s="522"/>
      <c r="E346" s="522"/>
      <c r="F346" s="522"/>
      <c r="G346" s="522"/>
      <c r="H346" s="522"/>
      <c r="I346" s="522"/>
      <c r="J346" s="522"/>
      <c r="K346" s="522"/>
      <c r="L346" s="522"/>
      <c r="M346" s="522"/>
      <c r="N346" s="522"/>
    </row>
    <row r="347">
      <c r="C347" s="522"/>
      <c r="D347" s="522"/>
      <c r="E347" s="522"/>
      <c r="F347" s="522"/>
      <c r="G347" s="522"/>
      <c r="H347" s="522"/>
      <c r="I347" s="522"/>
      <c r="J347" s="522"/>
      <c r="K347" s="522"/>
      <c r="L347" s="522"/>
      <c r="M347" s="522"/>
      <c r="N347" s="522"/>
    </row>
    <row r="348">
      <c r="C348" s="522"/>
      <c r="D348" s="522"/>
      <c r="E348" s="522"/>
      <c r="F348" s="522"/>
      <c r="G348" s="522"/>
      <c r="H348" s="522"/>
      <c r="I348" s="522"/>
      <c r="J348" s="522"/>
      <c r="K348" s="522"/>
      <c r="L348" s="522"/>
      <c r="M348" s="522"/>
      <c r="N348" s="522"/>
    </row>
    <row r="349">
      <c r="C349" s="522"/>
      <c r="D349" s="522"/>
      <c r="E349" s="522"/>
      <c r="F349" s="522"/>
      <c r="G349" s="522"/>
      <c r="H349" s="522"/>
      <c r="I349" s="522"/>
      <c r="J349" s="522"/>
      <c r="K349" s="522"/>
      <c r="L349" s="522"/>
      <c r="M349" s="522"/>
      <c r="N349" s="522"/>
    </row>
    <row r="350">
      <c r="C350" s="522"/>
      <c r="D350" s="522"/>
      <c r="E350" s="522"/>
      <c r="F350" s="522"/>
      <c r="G350" s="522"/>
      <c r="H350" s="522"/>
      <c r="I350" s="522"/>
      <c r="J350" s="522"/>
      <c r="K350" s="522"/>
      <c r="L350" s="522"/>
      <c r="M350" s="522"/>
      <c r="N350" s="522"/>
    </row>
    <row r="351">
      <c r="C351" s="522"/>
      <c r="D351" s="522"/>
      <c r="E351" s="522"/>
      <c r="F351" s="522"/>
      <c r="G351" s="522"/>
      <c r="H351" s="522"/>
      <c r="I351" s="522"/>
      <c r="J351" s="522"/>
      <c r="K351" s="522"/>
      <c r="L351" s="522"/>
      <c r="M351" s="522"/>
      <c r="N351" s="522"/>
    </row>
    <row r="352">
      <c r="C352" s="522"/>
      <c r="D352" s="522"/>
      <c r="E352" s="522"/>
      <c r="F352" s="522"/>
      <c r="G352" s="522"/>
      <c r="H352" s="522"/>
      <c r="I352" s="522"/>
      <c r="J352" s="522"/>
      <c r="K352" s="522"/>
      <c r="L352" s="522"/>
      <c r="M352" s="522"/>
      <c r="N352" s="522"/>
    </row>
    <row r="353">
      <c r="C353" s="522"/>
      <c r="D353" s="522"/>
      <c r="E353" s="522"/>
      <c r="F353" s="522"/>
      <c r="G353" s="522"/>
      <c r="H353" s="522"/>
      <c r="I353" s="522"/>
      <c r="J353" s="522"/>
      <c r="K353" s="522"/>
      <c r="L353" s="522"/>
      <c r="M353" s="522"/>
      <c r="N353" s="522"/>
    </row>
    <row r="354">
      <c r="C354" s="522"/>
      <c r="D354" s="522"/>
      <c r="E354" s="522"/>
      <c r="F354" s="522"/>
      <c r="G354" s="522"/>
      <c r="H354" s="522"/>
      <c r="I354" s="522"/>
      <c r="J354" s="522"/>
      <c r="K354" s="522"/>
      <c r="L354" s="522"/>
      <c r="M354" s="522"/>
      <c r="N354" s="522"/>
    </row>
    <row r="355">
      <c r="C355" s="522"/>
      <c r="D355" s="522"/>
      <c r="E355" s="522"/>
      <c r="F355" s="522"/>
      <c r="G355" s="522"/>
      <c r="H355" s="522"/>
      <c r="I355" s="522"/>
      <c r="J355" s="522"/>
      <c r="K355" s="522"/>
      <c r="L355" s="522"/>
      <c r="M355" s="522"/>
      <c r="N355" s="522"/>
    </row>
    <row r="356">
      <c r="C356" s="522"/>
      <c r="D356" s="522"/>
      <c r="E356" s="522"/>
      <c r="F356" s="522"/>
      <c r="G356" s="522"/>
      <c r="H356" s="522"/>
      <c r="I356" s="522"/>
      <c r="J356" s="522"/>
      <c r="K356" s="522"/>
      <c r="L356" s="522"/>
      <c r="M356" s="522"/>
      <c r="N356" s="522"/>
    </row>
    <row r="357">
      <c r="C357" s="522"/>
      <c r="D357" s="522"/>
      <c r="E357" s="522"/>
      <c r="F357" s="522"/>
      <c r="G357" s="522"/>
      <c r="H357" s="522"/>
      <c r="I357" s="522"/>
      <c r="J357" s="522"/>
      <c r="K357" s="522"/>
      <c r="L357" s="522"/>
      <c r="M357" s="522"/>
      <c r="N357" s="522"/>
    </row>
    <row r="358">
      <c r="C358" s="522"/>
      <c r="D358" s="522"/>
      <c r="E358" s="522"/>
      <c r="F358" s="522"/>
      <c r="G358" s="522"/>
      <c r="H358" s="522"/>
      <c r="I358" s="522"/>
      <c r="J358" s="522"/>
      <c r="K358" s="522"/>
      <c r="L358" s="522"/>
      <c r="M358" s="522"/>
      <c r="N358" s="522"/>
    </row>
    <row r="359">
      <c r="C359" s="522"/>
      <c r="D359" s="522"/>
      <c r="E359" s="522"/>
      <c r="F359" s="522"/>
      <c r="G359" s="522"/>
      <c r="H359" s="522"/>
      <c r="I359" s="522"/>
      <c r="J359" s="522"/>
      <c r="K359" s="522"/>
      <c r="L359" s="522"/>
      <c r="M359" s="522"/>
      <c r="N359" s="522"/>
    </row>
    <row r="360">
      <c r="C360" s="522"/>
      <c r="D360" s="522"/>
      <c r="E360" s="522"/>
      <c r="F360" s="522"/>
      <c r="G360" s="522"/>
      <c r="H360" s="522"/>
      <c r="I360" s="522"/>
      <c r="J360" s="522"/>
      <c r="K360" s="522"/>
      <c r="L360" s="522"/>
      <c r="M360" s="522"/>
      <c r="N360" s="522"/>
    </row>
    <row r="361">
      <c r="C361" s="522"/>
      <c r="D361" s="522"/>
      <c r="E361" s="522"/>
      <c r="F361" s="522"/>
      <c r="G361" s="522"/>
      <c r="H361" s="522"/>
      <c r="I361" s="522"/>
      <c r="J361" s="522"/>
      <c r="K361" s="522"/>
      <c r="L361" s="522"/>
      <c r="M361" s="522"/>
      <c r="N361" s="522"/>
    </row>
    <row r="362">
      <c r="C362" s="522"/>
      <c r="D362" s="522"/>
      <c r="E362" s="522"/>
      <c r="F362" s="522"/>
      <c r="G362" s="522"/>
      <c r="H362" s="522"/>
      <c r="I362" s="522"/>
      <c r="J362" s="522"/>
      <c r="K362" s="522"/>
      <c r="L362" s="522"/>
      <c r="M362" s="522"/>
      <c r="N362" s="522"/>
    </row>
    <row r="363">
      <c r="C363" s="522"/>
      <c r="D363" s="522"/>
      <c r="E363" s="522"/>
      <c r="F363" s="522"/>
      <c r="G363" s="522"/>
      <c r="H363" s="522"/>
      <c r="I363" s="522"/>
      <c r="J363" s="522"/>
      <c r="K363" s="522"/>
      <c r="L363" s="522"/>
      <c r="M363" s="522"/>
      <c r="N363" s="522"/>
    </row>
    <row r="364">
      <c r="C364" s="522"/>
      <c r="D364" s="522"/>
      <c r="E364" s="522"/>
      <c r="F364" s="522"/>
      <c r="G364" s="522"/>
      <c r="H364" s="522"/>
      <c r="I364" s="522"/>
      <c r="J364" s="522"/>
      <c r="K364" s="522"/>
      <c r="L364" s="522"/>
      <c r="M364" s="522"/>
      <c r="N364" s="522"/>
    </row>
    <row r="365">
      <c r="C365" s="522"/>
      <c r="D365" s="522"/>
      <c r="E365" s="522"/>
      <c r="F365" s="522"/>
      <c r="G365" s="522"/>
      <c r="H365" s="522"/>
      <c r="I365" s="522"/>
      <c r="J365" s="522"/>
      <c r="K365" s="522"/>
      <c r="L365" s="522"/>
      <c r="M365" s="522"/>
      <c r="N365" s="522"/>
    </row>
    <row r="366">
      <c r="C366" s="522"/>
      <c r="D366" s="522"/>
      <c r="E366" s="522"/>
      <c r="F366" s="522"/>
      <c r="G366" s="522"/>
      <c r="H366" s="522"/>
      <c r="I366" s="522"/>
      <c r="J366" s="522"/>
      <c r="K366" s="522"/>
      <c r="L366" s="522"/>
      <c r="M366" s="522"/>
      <c r="N366" s="522"/>
    </row>
    <row r="367">
      <c r="C367" s="522"/>
      <c r="D367" s="522"/>
      <c r="E367" s="522"/>
      <c r="F367" s="522"/>
      <c r="G367" s="522"/>
      <c r="H367" s="522"/>
      <c r="I367" s="522"/>
      <c r="J367" s="522"/>
      <c r="K367" s="522"/>
      <c r="L367" s="522"/>
      <c r="M367" s="522"/>
      <c r="N367" s="522"/>
    </row>
    <row r="368">
      <c r="C368" s="522"/>
      <c r="D368" s="522"/>
      <c r="E368" s="522"/>
      <c r="F368" s="522"/>
      <c r="G368" s="522"/>
      <c r="H368" s="522"/>
      <c r="I368" s="522"/>
      <c r="J368" s="522"/>
      <c r="K368" s="522"/>
      <c r="L368" s="522"/>
      <c r="M368" s="522"/>
      <c r="N368" s="522"/>
    </row>
    <row r="369">
      <c r="C369" s="522"/>
      <c r="D369" s="522"/>
      <c r="E369" s="522"/>
      <c r="F369" s="522"/>
      <c r="G369" s="522"/>
      <c r="H369" s="522"/>
      <c r="I369" s="522"/>
      <c r="J369" s="522"/>
      <c r="K369" s="522"/>
      <c r="L369" s="522"/>
      <c r="M369" s="522"/>
      <c r="N369" s="522"/>
    </row>
    <row r="370">
      <c r="C370" s="522"/>
      <c r="D370" s="522"/>
      <c r="E370" s="522"/>
      <c r="F370" s="522"/>
      <c r="G370" s="522"/>
      <c r="H370" s="522"/>
      <c r="I370" s="522"/>
      <c r="J370" s="522"/>
      <c r="K370" s="522"/>
      <c r="L370" s="522"/>
      <c r="M370" s="522"/>
      <c r="N370" s="522"/>
    </row>
    <row r="371">
      <c r="C371" s="522"/>
      <c r="D371" s="522"/>
      <c r="E371" s="522"/>
      <c r="F371" s="522"/>
      <c r="G371" s="522"/>
      <c r="H371" s="522"/>
      <c r="I371" s="522"/>
      <c r="J371" s="522"/>
      <c r="K371" s="522"/>
      <c r="L371" s="522"/>
      <c r="M371" s="522"/>
      <c r="N371" s="522"/>
    </row>
    <row r="372">
      <c r="C372" s="522"/>
      <c r="D372" s="522"/>
      <c r="E372" s="522"/>
      <c r="F372" s="522"/>
      <c r="G372" s="522"/>
      <c r="H372" s="522"/>
      <c r="I372" s="522"/>
      <c r="J372" s="522"/>
      <c r="K372" s="522"/>
      <c r="L372" s="522"/>
      <c r="M372" s="522"/>
      <c r="N372" s="522"/>
    </row>
    <row r="373">
      <c r="C373" s="522"/>
      <c r="D373" s="522"/>
      <c r="E373" s="522"/>
      <c r="F373" s="522"/>
      <c r="G373" s="522"/>
      <c r="H373" s="522"/>
      <c r="I373" s="522"/>
      <c r="J373" s="522"/>
      <c r="K373" s="522"/>
      <c r="L373" s="522"/>
      <c r="M373" s="522"/>
      <c r="N373" s="522"/>
    </row>
    <row r="374">
      <c r="C374" s="522"/>
      <c r="D374" s="522"/>
      <c r="E374" s="522"/>
      <c r="F374" s="522"/>
      <c r="G374" s="522"/>
      <c r="H374" s="522"/>
      <c r="I374" s="522"/>
      <c r="J374" s="522"/>
      <c r="K374" s="522"/>
      <c r="L374" s="522"/>
      <c r="M374" s="522"/>
      <c r="N374" s="522"/>
    </row>
    <row r="375">
      <c r="C375" s="522"/>
      <c r="D375" s="522"/>
      <c r="E375" s="522"/>
      <c r="F375" s="522"/>
      <c r="G375" s="522"/>
      <c r="H375" s="522"/>
      <c r="I375" s="522"/>
      <c r="J375" s="522"/>
      <c r="K375" s="522"/>
      <c r="L375" s="522"/>
      <c r="M375" s="522"/>
      <c r="N375" s="522"/>
    </row>
    <row r="376">
      <c r="C376" s="522"/>
      <c r="D376" s="522"/>
      <c r="E376" s="522"/>
      <c r="F376" s="522"/>
      <c r="G376" s="522"/>
      <c r="H376" s="522"/>
      <c r="I376" s="522"/>
      <c r="J376" s="522"/>
      <c r="K376" s="522"/>
      <c r="L376" s="522"/>
      <c r="M376" s="522"/>
      <c r="N376" s="522"/>
    </row>
    <row r="377">
      <c r="C377" s="522"/>
      <c r="D377" s="522"/>
      <c r="E377" s="522"/>
      <c r="F377" s="522"/>
      <c r="G377" s="522"/>
      <c r="H377" s="522"/>
      <c r="I377" s="522"/>
      <c r="J377" s="522"/>
      <c r="K377" s="522"/>
      <c r="L377" s="522"/>
      <c r="M377" s="522"/>
      <c r="N377" s="522"/>
    </row>
    <row r="378">
      <c r="C378" s="522"/>
      <c r="D378" s="522"/>
      <c r="E378" s="522"/>
      <c r="F378" s="522"/>
      <c r="G378" s="522"/>
      <c r="H378" s="522"/>
      <c r="I378" s="522"/>
      <c r="J378" s="522"/>
      <c r="K378" s="522"/>
      <c r="L378" s="522"/>
      <c r="M378" s="522"/>
      <c r="N378" s="522"/>
    </row>
    <row r="379">
      <c r="C379" s="522"/>
      <c r="D379" s="522"/>
      <c r="E379" s="522"/>
      <c r="F379" s="522"/>
      <c r="G379" s="522"/>
      <c r="H379" s="522"/>
      <c r="I379" s="522"/>
      <c r="J379" s="522"/>
      <c r="K379" s="522"/>
      <c r="L379" s="522"/>
      <c r="M379" s="522"/>
      <c r="N379" s="522"/>
    </row>
    <row r="380">
      <c r="C380" s="522"/>
      <c r="D380" s="522"/>
      <c r="E380" s="522"/>
      <c r="F380" s="522"/>
      <c r="G380" s="522"/>
      <c r="H380" s="522"/>
      <c r="I380" s="522"/>
      <c r="J380" s="522"/>
      <c r="K380" s="522"/>
      <c r="L380" s="522"/>
      <c r="M380" s="522"/>
      <c r="N380" s="522"/>
    </row>
    <row r="381">
      <c r="C381" s="522"/>
      <c r="D381" s="522"/>
      <c r="E381" s="522"/>
      <c r="F381" s="522"/>
      <c r="G381" s="522"/>
      <c r="H381" s="522"/>
      <c r="I381" s="522"/>
      <c r="J381" s="522"/>
      <c r="K381" s="522"/>
      <c r="L381" s="522"/>
      <c r="M381" s="522"/>
      <c r="N381" s="522"/>
    </row>
    <row r="382">
      <c r="C382" s="522"/>
      <c r="D382" s="522"/>
      <c r="E382" s="522"/>
      <c r="F382" s="522"/>
      <c r="G382" s="522"/>
      <c r="H382" s="522"/>
      <c r="I382" s="522"/>
      <c r="J382" s="522"/>
      <c r="K382" s="522"/>
      <c r="L382" s="522"/>
      <c r="M382" s="522"/>
      <c r="N382" s="522"/>
    </row>
    <row r="383">
      <c r="C383" s="522"/>
      <c r="D383" s="522"/>
      <c r="E383" s="522"/>
      <c r="F383" s="522"/>
      <c r="G383" s="522"/>
      <c r="H383" s="522"/>
      <c r="I383" s="522"/>
      <c r="J383" s="522"/>
      <c r="K383" s="522"/>
      <c r="L383" s="522"/>
      <c r="M383" s="522"/>
      <c r="N383" s="522"/>
    </row>
    <row r="384">
      <c r="C384" s="522"/>
      <c r="D384" s="522"/>
      <c r="E384" s="522"/>
      <c r="F384" s="522"/>
      <c r="G384" s="522"/>
      <c r="H384" s="522"/>
      <c r="I384" s="522"/>
      <c r="J384" s="522"/>
      <c r="K384" s="522"/>
      <c r="L384" s="522"/>
      <c r="M384" s="522"/>
      <c r="N384" s="522"/>
    </row>
    <row r="385">
      <c r="C385" s="522"/>
      <c r="D385" s="522"/>
      <c r="E385" s="522"/>
      <c r="F385" s="522"/>
      <c r="G385" s="522"/>
      <c r="H385" s="522"/>
      <c r="I385" s="522"/>
      <c r="J385" s="522"/>
      <c r="K385" s="522"/>
      <c r="L385" s="522"/>
      <c r="M385" s="522"/>
      <c r="N385" s="522"/>
    </row>
    <row r="386">
      <c r="C386" s="522"/>
      <c r="D386" s="522"/>
      <c r="E386" s="522"/>
      <c r="F386" s="522"/>
      <c r="G386" s="522"/>
      <c r="H386" s="522"/>
      <c r="I386" s="522"/>
      <c r="J386" s="522"/>
      <c r="K386" s="522"/>
      <c r="L386" s="522"/>
      <c r="M386" s="522"/>
      <c r="N386" s="522"/>
    </row>
    <row r="387">
      <c r="C387" s="522"/>
      <c r="D387" s="522"/>
      <c r="E387" s="522"/>
      <c r="F387" s="522"/>
      <c r="G387" s="522"/>
      <c r="H387" s="522"/>
      <c r="I387" s="522"/>
      <c r="J387" s="522"/>
      <c r="K387" s="522"/>
      <c r="L387" s="522"/>
      <c r="M387" s="522"/>
      <c r="N387" s="522"/>
    </row>
    <row r="388">
      <c r="C388" s="522"/>
      <c r="D388" s="522"/>
      <c r="E388" s="522"/>
      <c r="F388" s="522"/>
      <c r="G388" s="522"/>
      <c r="H388" s="522"/>
      <c r="I388" s="522"/>
      <c r="J388" s="522"/>
      <c r="K388" s="522"/>
      <c r="L388" s="522"/>
      <c r="M388" s="522"/>
      <c r="N388" s="522"/>
    </row>
    <row r="389">
      <c r="C389" s="522"/>
      <c r="D389" s="522"/>
      <c r="E389" s="522"/>
      <c r="F389" s="522"/>
      <c r="G389" s="522"/>
      <c r="H389" s="522"/>
      <c r="I389" s="522"/>
      <c r="J389" s="522"/>
      <c r="K389" s="522"/>
      <c r="L389" s="522"/>
      <c r="M389" s="522"/>
      <c r="N389" s="522"/>
    </row>
    <row r="390">
      <c r="C390" s="522"/>
      <c r="D390" s="522"/>
      <c r="E390" s="522"/>
      <c r="F390" s="522"/>
      <c r="G390" s="522"/>
      <c r="H390" s="522"/>
      <c r="I390" s="522"/>
      <c r="J390" s="522"/>
      <c r="K390" s="522"/>
      <c r="L390" s="522"/>
      <c r="M390" s="522"/>
      <c r="N390" s="522"/>
    </row>
    <row r="391">
      <c r="C391" s="522"/>
      <c r="D391" s="522"/>
      <c r="E391" s="522"/>
      <c r="F391" s="522"/>
      <c r="G391" s="522"/>
      <c r="H391" s="522"/>
      <c r="I391" s="522"/>
      <c r="J391" s="522"/>
      <c r="K391" s="522"/>
      <c r="L391" s="522"/>
      <c r="M391" s="522"/>
      <c r="N391" s="522"/>
    </row>
    <row r="392">
      <c r="C392" s="522"/>
      <c r="D392" s="522"/>
      <c r="E392" s="522"/>
      <c r="F392" s="522"/>
      <c r="G392" s="522"/>
      <c r="H392" s="522"/>
      <c r="I392" s="522"/>
      <c r="J392" s="522"/>
      <c r="K392" s="522"/>
      <c r="L392" s="522"/>
      <c r="M392" s="522"/>
      <c r="N392" s="522"/>
    </row>
    <row r="393">
      <c r="C393" s="522"/>
      <c r="D393" s="522"/>
      <c r="E393" s="522"/>
      <c r="F393" s="522"/>
      <c r="G393" s="522"/>
      <c r="H393" s="522"/>
      <c r="I393" s="522"/>
      <c r="J393" s="522"/>
      <c r="K393" s="522"/>
      <c r="L393" s="522"/>
      <c r="M393" s="522"/>
      <c r="N393" s="522"/>
    </row>
    <row r="394">
      <c r="C394" s="522"/>
      <c r="D394" s="522"/>
      <c r="E394" s="522"/>
      <c r="F394" s="522"/>
      <c r="G394" s="522"/>
      <c r="H394" s="522"/>
      <c r="I394" s="522"/>
      <c r="J394" s="522"/>
      <c r="K394" s="522"/>
      <c r="L394" s="522"/>
      <c r="M394" s="522"/>
      <c r="N394" s="522"/>
    </row>
    <row r="395">
      <c r="C395" s="522"/>
      <c r="D395" s="522"/>
      <c r="E395" s="522"/>
      <c r="F395" s="522"/>
      <c r="G395" s="522"/>
      <c r="H395" s="522"/>
      <c r="I395" s="522"/>
      <c r="J395" s="522"/>
      <c r="K395" s="522"/>
      <c r="L395" s="522"/>
      <c r="M395" s="522"/>
      <c r="N395" s="522"/>
    </row>
    <row r="396">
      <c r="C396" s="522"/>
      <c r="D396" s="522"/>
      <c r="E396" s="522"/>
      <c r="F396" s="522"/>
      <c r="G396" s="522"/>
      <c r="H396" s="522"/>
      <c r="I396" s="522"/>
      <c r="J396" s="522"/>
      <c r="K396" s="522"/>
      <c r="L396" s="522"/>
      <c r="M396" s="522"/>
      <c r="N396" s="522"/>
    </row>
    <row r="397">
      <c r="C397" s="522"/>
      <c r="D397" s="522"/>
      <c r="E397" s="522"/>
      <c r="F397" s="522"/>
      <c r="G397" s="522"/>
      <c r="H397" s="522"/>
      <c r="I397" s="522"/>
      <c r="J397" s="522"/>
      <c r="K397" s="522"/>
      <c r="L397" s="522"/>
      <c r="M397" s="522"/>
      <c r="N397" s="522"/>
    </row>
    <row r="398">
      <c r="C398" s="522"/>
      <c r="D398" s="522"/>
      <c r="E398" s="522"/>
      <c r="F398" s="522"/>
      <c r="G398" s="522"/>
      <c r="H398" s="522"/>
      <c r="I398" s="522"/>
      <c r="J398" s="522"/>
      <c r="K398" s="522"/>
      <c r="L398" s="522"/>
      <c r="M398" s="522"/>
      <c r="N398" s="522"/>
    </row>
    <row r="399">
      <c r="C399" s="522"/>
      <c r="D399" s="522"/>
      <c r="E399" s="522"/>
      <c r="F399" s="522"/>
      <c r="G399" s="522"/>
      <c r="H399" s="522"/>
      <c r="I399" s="522"/>
      <c r="J399" s="522"/>
      <c r="K399" s="522"/>
      <c r="L399" s="522"/>
      <c r="M399" s="522"/>
      <c r="N399" s="522"/>
    </row>
    <row r="400">
      <c r="C400" s="522"/>
      <c r="D400" s="522"/>
      <c r="E400" s="522"/>
      <c r="F400" s="522"/>
      <c r="G400" s="522"/>
      <c r="H400" s="522"/>
      <c r="I400" s="522"/>
      <c r="J400" s="522"/>
      <c r="K400" s="522"/>
      <c r="L400" s="522"/>
      <c r="M400" s="522"/>
      <c r="N400" s="522"/>
    </row>
    <row r="401">
      <c r="C401" s="522"/>
      <c r="D401" s="522"/>
      <c r="E401" s="522"/>
      <c r="F401" s="522"/>
      <c r="G401" s="522"/>
      <c r="H401" s="522"/>
      <c r="I401" s="522"/>
      <c r="J401" s="522"/>
      <c r="K401" s="522"/>
      <c r="L401" s="522"/>
      <c r="M401" s="522"/>
      <c r="N401" s="522"/>
    </row>
    <row r="402">
      <c r="C402" s="522"/>
      <c r="D402" s="522"/>
      <c r="E402" s="522"/>
      <c r="F402" s="522"/>
      <c r="G402" s="522"/>
      <c r="H402" s="522"/>
      <c r="I402" s="522"/>
      <c r="J402" s="522"/>
      <c r="K402" s="522"/>
      <c r="L402" s="522"/>
      <c r="M402" s="522"/>
      <c r="N402" s="522"/>
    </row>
    <row r="403">
      <c r="C403" s="522"/>
      <c r="D403" s="522"/>
      <c r="E403" s="522"/>
      <c r="F403" s="522"/>
      <c r="G403" s="522"/>
      <c r="H403" s="522"/>
      <c r="I403" s="522"/>
      <c r="J403" s="522"/>
      <c r="K403" s="522"/>
      <c r="L403" s="522"/>
      <c r="M403" s="522"/>
      <c r="N403" s="522"/>
    </row>
    <row r="404">
      <c r="C404" s="522"/>
      <c r="D404" s="522"/>
      <c r="E404" s="522"/>
      <c r="F404" s="522"/>
      <c r="G404" s="522"/>
      <c r="H404" s="522"/>
      <c r="I404" s="522"/>
      <c r="J404" s="522"/>
      <c r="K404" s="522"/>
      <c r="L404" s="522"/>
      <c r="M404" s="522"/>
      <c r="N404" s="522"/>
    </row>
    <row r="405">
      <c r="C405" s="522"/>
      <c r="D405" s="522"/>
      <c r="E405" s="522"/>
      <c r="F405" s="522"/>
      <c r="G405" s="522"/>
      <c r="H405" s="522"/>
      <c r="I405" s="522"/>
      <c r="J405" s="522"/>
      <c r="K405" s="522"/>
      <c r="L405" s="522"/>
      <c r="M405" s="522"/>
      <c r="N405" s="522"/>
    </row>
    <row r="406">
      <c r="C406" s="522"/>
      <c r="D406" s="522"/>
      <c r="E406" s="522"/>
      <c r="F406" s="522"/>
      <c r="G406" s="522"/>
      <c r="H406" s="522"/>
      <c r="I406" s="522"/>
      <c r="J406" s="522"/>
      <c r="K406" s="522"/>
      <c r="L406" s="522"/>
      <c r="M406" s="522"/>
      <c r="N406" s="522"/>
    </row>
    <row r="407">
      <c r="C407" s="522"/>
      <c r="D407" s="522"/>
      <c r="E407" s="522"/>
      <c r="F407" s="522"/>
      <c r="G407" s="522"/>
      <c r="H407" s="522"/>
      <c r="I407" s="522"/>
      <c r="J407" s="522"/>
      <c r="K407" s="522"/>
      <c r="L407" s="522"/>
      <c r="M407" s="522"/>
      <c r="N407" s="522"/>
    </row>
    <row r="408">
      <c r="C408" s="522"/>
      <c r="D408" s="522"/>
      <c r="E408" s="522"/>
      <c r="F408" s="522"/>
      <c r="G408" s="522"/>
      <c r="H408" s="522"/>
      <c r="I408" s="522"/>
      <c r="J408" s="522"/>
      <c r="K408" s="522"/>
      <c r="L408" s="522"/>
      <c r="M408" s="522"/>
      <c r="N408" s="522"/>
    </row>
    <row r="409">
      <c r="C409" s="522"/>
      <c r="D409" s="522"/>
      <c r="E409" s="522"/>
      <c r="F409" s="522"/>
      <c r="G409" s="522"/>
      <c r="H409" s="522"/>
      <c r="I409" s="522"/>
      <c r="J409" s="522"/>
      <c r="K409" s="522"/>
      <c r="L409" s="522"/>
      <c r="M409" s="522"/>
      <c r="N409" s="522"/>
    </row>
    <row r="410">
      <c r="C410" s="522"/>
      <c r="D410" s="522"/>
      <c r="E410" s="522"/>
      <c r="F410" s="522"/>
      <c r="G410" s="522"/>
      <c r="H410" s="522"/>
      <c r="I410" s="522"/>
      <c r="J410" s="522"/>
      <c r="K410" s="522"/>
      <c r="L410" s="522"/>
      <c r="M410" s="522"/>
      <c r="N410" s="522"/>
    </row>
    <row r="411">
      <c r="C411" s="522"/>
      <c r="D411" s="522"/>
      <c r="E411" s="522"/>
      <c r="F411" s="522"/>
      <c r="G411" s="522"/>
      <c r="H411" s="522"/>
      <c r="I411" s="522"/>
      <c r="J411" s="522"/>
      <c r="K411" s="522"/>
      <c r="L411" s="522"/>
      <c r="M411" s="522"/>
      <c r="N411" s="522"/>
    </row>
    <row r="412">
      <c r="C412" s="522"/>
      <c r="D412" s="522"/>
      <c r="E412" s="522"/>
      <c r="F412" s="522"/>
      <c r="G412" s="522"/>
      <c r="H412" s="522"/>
      <c r="I412" s="522"/>
      <c r="J412" s="522"/>
      <c r="K412" s="522"/>
      <c r="L412" s="522"/>
      <c r="M412" s="522"/>
      <c r="N412" s="522"/>
    </row>
    <row r="413">
      <c r="C413" s="522"/>
      <c r="D413" s="522"/>
      <c r="E413" s="522"/>
      <c r="F413" s="522"/>
      <c r="G413" s="522"/>
      <c r="H413" s="522"/>
      <c r="I413" s="522"/>
      <c r="J413" s="522"/>
      <c r="K413" s="522"/>
      <c r="L413" s="522"/>
      <c r="M413" s="522"/>
      <c r="N413" s="522"/>
    </row>
    <row r="414">
      <c r="C414" s="522"/>
      <c r="D414" s="522"/>
      <c r="E414" s="522"/>
      <c r="F414" s="522"/>
      <c r="G414" s="522"/>
      <c r="H414" s="522"/>
      <c r="I414" s="522"/>
      <c r="J414" s="522"/>
      <c r="K414" s="522"/>
      <c r="L414" s="522"/>
      <c r="M414" s="522"/>
      <c r="N414" s="522"/>
    </row>
    <row r="415">
      <c r="C415" s="522"/>
      <c r="D415" s="522"/>
      <c r="E415" s="522"/>
      <c r="F415" s="522"/>
      <c r="G415" s="522"/>
      <c r="H415" s="522"/>
      <c r="I415" s="522"/>
      <c r="J415" s="522"/>
      <c r="K415" s="522"/>
      <c r="L415" s="522"/>
      <c r="M415" s="522"/>
      <c r="N415" s="522"/>
    </row>
    <row r="416">
      <c r="C416" s="522"/>
      <c r="D416" s="522"/>
      <c r="E416" s="522"/>
      <c r="F416" s="522"/>
      <c r="G416" s="522"/>
      <c r="H416" s="522"/>
      <c r="I416" s="522"/>
      <c r="J416" s="522"/>
      <c r="K416" s="522"/>
      <c r="L416" s="522"/>
      <c r="M416" s="522"/>
      <c r="N416" s="522"/>
    </row>
    <row r="417">
      <c r="C417" s="522"/>
      <c r="D417" s="522"/>
      <c r="E417" s="522"/>
      <c r="F417" s="522"/>
      <c r="G417" s="522"/>
      <c r="H417" s="522"/>
      <c r="I417" s="522"/>
      <c r="J417" s="522"/>
      <c r="K417" s="522"/>
      <c r="L417" s="522"/>
      <c r="M417" s="522"/>
      <c r="N417" s="522"/>
    </row>
    <row r="418">
      <c r="C418" s="522"/>
      <c r="D418" s="522"/>
      <c r="E418" s="522"/>
      <c r="F418" s="522"/>
      <c r="G418" s="522"/>
      <c r="H418" s="522"/>
      <c r="I418" s="522"/>
      <c r="J418" s="522"/>
      <c r="K418" s="522"/>
      <c r="L418" s="522"/>
      <c r="M418" s="522"/>
      <c r="N418" s="522"/>
    </row>
    <row r="419">
      <c r="C419" s="522"/>
      <c r="D419" s="522"/>
      <c r="E419" s="522"/>
      <c r="F419" s="522"/>
      <c r="G419" s="522"/>
      <c r="H419" s="522"/>
      <c r="I419" s="522"/>
      <c r="J419" s="522"/>
      <c r="K419" s="522"/>
      <c r="L419" s="522"/>
      <c r="M419" s="522"/>
      <c r="N419" s="522"/>
    </row>
    <row r="420">
      <c r="C420" s="522"/>
      <c r="D420" s="522"/>
      <c r="E420" s="522"/>
      <c r="F420" s="522"/>
      <c r="G420" s="522"/>
      <c r="H420" s="522"/>
      <c r="I420" s="522"/>
      <c r="J420" s="522"/>
      <c r="K420" s="522"/>
      <c r="L420" s="522"/>
      <c r="M420" s="522"/>
      <c r="N420" s="522"/>
    </row>
    <row r="421">
      <c r="C421" s="522"/>
      <c r="D421" s="522"/>
      <c r="E421" s="522"/>
      <c r="F421" s="522"/>
      <c r="G421" s="522"/>
      <c r="H421" s="522"/>
      <c r="I421" s="522"/>
      <c r="J421" s="522"/>
      <c r="K421" s="522"/>
      <c r="L421" s="522"/>
      <c r="M421" s="522"/>
      <c r="N421" s="522"/>
    </row>
    <row r="422">
      <c r="C422" s="522"/>
      <c r="D422" s="522"/>
      <c r="E422" s="522"/>
      <c r="F422" s="522"/>
      <c r="G422" s="522"/>
      <c r="H422" s="522"/>
      <c r="I422" s="522"/>
      <c r="J422" s="522"/>
      <c r="K422" s="522"/>
      <c r="L422" s="522"/>
      <c r="M422" s="522"/>
      <c r="N422" s="522"/>
    </row>
    <row r="423">
      <c r="C423" s="522"/>
      <c r="D423" s="522"/>
      <c r="E423" s="522"/>
      <c r="F423" s="522"/>
      <c r="G423" s="522"/>
      <c r="H423" s="522"/>
      <c r="I423" s="522"/>
      <c r="J423" s="522"/>
      <c r="K423" s="522"/>
      <c r="L423" s="522"/>
      <c r="M423" s="522"/>
      <c r="N423" s="522"/>
    </row>
    <row r="424">
      <c r="C424" s="522"/>
      <c r="D424" s="522"/>
      <c r="E424" s="522"/>
      <c r="F424" s="522"/>
      <c r="G424" s="522"/>
      <c r="H424" s="522"/>
      <c r="I424" s="522"/>
      <c r="J424" s="522"/>
      <c r="K424" s="522"/>
      <c r="L424" s="522"/>
      <c r="M424" s="522"/>
      <c r="N424" s="522"/>
    </row>
    <row r="425">
      <c r="C425" s="522"/>
      <c r="D425" s="522"/>
      <c r="E425" s="522"/>
      <c r="F425" s="522"/>
      <c r="G425" s="522"/>
      <c r="H425" s="522"/>
      <c r="I425" s="522"/>
      <c r="J425" s="522"/>
      <c r="K425" s="522"/>
      <c r="L425" s="522"/>
      <c r="M425" s="522"/>
      <c r="N425" s="522"/>
    </row>
    <row r="426">
      <c r="C426" s="522"/>
      <c r="D426" s="522"/>
      <c r="E426" s="522"/>
      <c r="F426" s="522"/>
      <c r="G426" s="522"/>
      <c r="H426" s="522"/>
      <c r="I426" s="522"/>
      <c r="J426" s="522"/>
      <c r="K426" s="522"/>
      <c r="L426" s="522"/>
      <c r="M426" s="522"/>
      <c r="N426" s="522"/>
    </row>
    <row r="427">
      <c r="C427" s="522"/>
      <c r="D427" s="522"/>
      <c r="E427" s="522"/>
      <c r="F427" s="522"/>
      <c r="G427" s="522"/>
      <c r="H427" s="522"/>
      <c r="I427" s="522"/>
      <c r="J427" s="522"/>
      <c r="K427" s="522"/>
      <c r="L427" s="522"/>
      <c r="M427" s="522"/>
      <c r="N427" s="522"/>
    </row>
    <row r="428">
      <c r="C428" s="522"/>
      <c r="D428" s="522"/>
      <c r="E428" s="522"/>
      <c r="F428" s="522"/>
      <c r="G428" s="522"/>
      <c r="H428" s="522"/>
      <c r="I428" s="522"/>
      <c r="J428" s="522"/>
      <c r="K428" s="522"/>
      <c r="L428" s="522"/>
      <c r="M428" s="522"/>
      <c r="N428" s="522"/>
    </row>
    <row r="429">
      <c r="C429" s="522"/>
      <c r="D429" s="522"/>
      <c r="E429" s="522"/>
      <c r="F429" s="522"/>
      <c r="G429" s="522"/>
      <c r="H429" s="522"/>
      <c r="I429" s="522"/>
      <c r="J429" s="522"/>
      <c r="K429" s="522"/>
      <c r="L429" s="522"/>
      <c r="M429" s="522"/>
      <c r="N429" s="522"/>
    </row>
    <row r="430">
      <c r="C430" s="522"/>
      <c r="D430" s="522"/>
      <c r="E430" s="522"/>
      <c r="F430" s="522"/>
      <c r="G430" s="522"/>
      <c r="H430" s="522"/>
      <c r="I430" s="522"/>
      <c r="J430" s="522"/>
      <c r="K430" s="522"/>
      <c r="L430" s="522"/>
      <c r="M430" s="522"/>
      <c r="N430" s="522"/>
    </row>
    <row r="431">
      <c r="C431" s="522"/>
      <c r="D431" s="522"/>
      <c r="E431" s="522"/>
      <c r="F431" s="522"/>
      <c r="G431" s="522"/>
      <c r="H431" s="522"/>
      <c r="I431" s="522"/>
      <c r="J431" s="522"/>
      <c r="K431" s="522"/>
      <c r="L431" s="522"/>
      <c r="M431" s="522"/>
      <c r="N431" s="522"/>
    </row>
    <row r="432">
      <c r="C432" s="522"/>
      <c r="D432" s="522"/>
      <c r="E432" s="522"/>
      <c r="F432" s="522"/>
      <c r="G432" s="522"/>
      <c r="H432" s="522"/>
      <c r="I432" s="522"/>
      <c r="J432" s="522"/>
      <c r="K432" s="522"/>
      <c r="L432" s="522"/>
      <c r="M432" s="522"/>
      <c r="N432" s="522"/>
    </row>
    <row r="433">
      <c r="C433" s="522"/>
      <c r="D433" s="522"/>
      <c r="E433" s="522"/>
      <c r="F433" s="522"/>
      <c r="G433" s="522"/>
      <c r="H433" s="522"/>
      <c r="I433" s="522"/>
      <c r="J433" s="522"/>
      <c r="K433" s="522"/>
      <c r="L433" s="522"/>
      <c r="M433" s="522"/>
      <c r="N433" s="522"/>
    </row>
    <row r="434">
      <c r="C434" s="522"/>
      <c r="D434" s="522"/>
      <c r="E434" s="522"/>
      <c r="F434" s="522"/>
      <c r="G434" s="522"/>
      <c r="H434" s="522"/>
      <c r="I434" s="522"/>
      <c r="J434" s="522"/>
      <c r="K434" s="522"/>
      <c r="L434" s="522"/>
      <c r="M434" s="522"/>
      <c r="N434" s="522"/>
    </row>
    <row r="435">
      <c r="C435" s="522"/>
      <c r="D435" s="522"/>
      <c r="E435" s="522"/>
      <c r="F435" s="522"/>
      <c r="G435" s="522"/>
      <c r="H435" s="522"/>
      <c r="I435" s="522"/>
      <c r="J435" s="522"/>
      <c r="K435" s="522"/>
      <c r="L435" s="522"/>
      <c r="M435" s="522"/>
      <c r="N435" s="522"/>
    </row>
    <row r="436">
      <c r="C436" s="522"/>
      <c r="D436" s="522"/>
      <c r="E436" s="522"/>
      <c r="F436" s="522"/>
      <c r="G436" s="522"/>
      <c r="H436" s="522"/>
      <c r="I436" s="522"/>
      <c r="J436" s="522"/>
      <c r="K436" s="522"/>
      <c r="L436" s="522"/>
      <c r="M436" s="522"/>
      <c r="N436" s="522"/>
    </row>
    <row r="437">
      <c r="C437" s="522"/>
      <c r="D437" s="522"/>
      <c r="E437" s="522"/>
      <c r="F437" s="522"/>
      <c r="G437" s="522"/>
      <c r="H437" s="522"/>
      <c r="I437" s="522"/>
      <c r="J437" s="522"/>
      <c r="K437" s="522"/>
      <c r="L437" s="522"/>
      <c r="M437" s="522"/>
      <c r="N437" s="522"/>
    </row>
    <row r="438">
      <c r="C438" s="522"/>
      <c r="D438" s="522"/>
      <c r="E438" s="522"/>
      <c r="F438" s="522"/>
      <c r="G438" s="522"/>
      <c r="H438" s="522"/>
      <c r="I438" s="522"/>
      <c r="J438" s="522"/>
      <c r="K438" s="522"/>
      <c r="L438" s="522"/>
      <c r="M438" s="522"/>
      <c r="N438" s="522"/>
    </row>
    <row r="439">
      <c r="C439" s="522"/>
      <c r="D439" s="522"/>
      <c r="E439" s="522"/>
      <c r="F439" s="522"/>
      <c r="G439" s="522"/>
      <c r="H439" s="522"/>
      <c r="I439" s="522"/>
      <c r="J439" s="522"/>
      <c r="K439" s="522"/>
      <c r="L439" s="522"/>
      <c r="M439" s="522"/>
      <c r="N439" s="522"/>
    </row>
    <row r="440">
      <c r="C440" s="522"/>
      <c r="D440" s="522"/>
      <c r="E440" s="522"/>
      <c r="F440" s="522"/>
      <c r="G440" s="522"/>
      <c r="H440" s="522"/>
      <c r="I440" s="522"/>
      <c r="J440" s="522"/>
      <c r="K440" s="522"/>
      <c r="L440" s="522"/>
      <c r="M440" s="522"/>
      <c r="N440" s="522"/>
    </row>
    <row r="441">
      <c r="C441" s="522"/>
      <c r="D441" s="522"/>
      <c r="E441" s="522"/>
      <c r="F441" s="522"/>
      <c r="G441" s="522"/>
      <c r="H441" s="522"/>
      <c r="I441" s="522"/>
      <c r="J441" s="522"/>
      <c r="K441" s="522"/>
      <c r="L441" s="522"/>
      <c r="M441" s="522"/>
      <c r="N441" s="522"/>
    </row>
    <row r="442">
      <c r="C442" s="522"/>
      <c r="D442" s="522"/>
      <c r="E442" s="522"/>
      <c r="F442" s="522"/>
      <c r="G442" s="522"/>
      <c r="H442" s="522"/>
      <c r="I442" s="522"/>
      <c r="J442" s="522"/>
      <c r="K442" s="522"/>
      <c r="L442" s="522"/>
      <c r="M442" s="522"/>
      <c r="N442" s="522"/>
    </row>
    <row r="443">
      <c r="C443" s="522"/>
      <c r="D443" s="522"/>
      <c r="E443" s="522"/>
      <c r="F443" s="522"/>
      <c r="G443" s="522"/>
      <c r="H443" s="522"/>
      <c r="I443" s="522"/>
      <c r="J443" s="522"/>
      <c r="K443" s="522"/>
      <c r="L443" s="522"/>
      <c r="M443" s="522"/>
      <c r="N443" s="522"/>
    </row>
    <row r="444">
      <c r="C444" s="522"/>
      <c r="D444" s="522"/>
      <c r="E444" s="522"/>
      <c r="F444" s="522"/>
      <c r="G444" s="522"/>
      <c r="H444" s="522"/>
      <c r="I444" s="522"/>
      <c r="J444" s="522"/>
      <c r="K444" s="522"/>
      <c r="L444" s="522"/>
      <c r="M444" s="522"/>
      <c r="N444" s="522"/>
    </row>
    <row r="445">
      <c r="C445" s="522"/>
      <c r="D445" s="522"/>
      <c r="E445" s="522"/>
      <c r="F445" s="522"/>
      <c r="G445" s="522"/>
      <c r="H445" s="522"/>
      <c r="I445" s="522"/>
      <c r="J445" s="522"/>
      <c r="K445" s="522"/>
      <c r="L445" s="522"/>
      <c r="M445" s="522"/>
      <c r="N445" s="522"/>
    </row>
    <row r="446">
      <c r="C446" s="522"/>
      <c r="D446" s="522"/>
      <c r="E446" s="522"/>
      <c r="F446" s="522"/>
      <c r="G446" s="522"/>
      <c r="H446" s="522"/>
      <c r="I446" s="522"/>
      <c r="J446" s="522"/>
      <c r="K446" s="522"/>
      <c r="L446" s="522"/>
      <c r="M446" s="522"/>
      <c r="N446" s="522"/>
    </row>
    <row r="447">
      <c r="C447" s="522"/>
      <c r="D447" s="522"/>
      <c r="E447" s="522"/>
      <c r="F447" s="522"/>
      <c r="G447" s="522"/>
      <c r="H447" s="522"/>
      <c r="I447" s="522"/>
      <c r="J447" s="522"/>
      <c r="K447" s="522"/>
      <c r="L447" s="522"/>
      <c r="M447" s="522"/>
      <c r="N447" s="522"/>
    </row>
    <row r="448">
      <c r="C448" s="522"/>
      <c r="D448" s="522"/>
      <c r="E448" s="522"/>
      <c r="F448" s="522"/>
      <c r="G448" s="522"/>
      <c r="H448" s="522"/>
      <c r="I448" s="522"/>
      <c r="J448" s="522"/>
      <c r="K448" s="522"/>
      <c r="L448" s="522"/>
      <c r="M448" s="522"/>
      <c r="N448" s="522"/>
    </row>
    <row r="449">
      <c r="C449" s="522"/>
      <c r="D449" s="522"/>
      <c r="E449" s="522"/>
      <c r="F449" s="522"/>
      <c r="G449" s="522"/>
      <c r="H449" s="522"/>
      <c r="I449" s="522"/>
      <c r="J449" s="522"/>
      <c r="K449" s="522"/>
      <c r="L449" s="522"/>
      <c r="M449" s="522"/>
      <c r="N449" s="522"/>
    </row>
    <row r="450">
      <c r="C450" s="522"/>
      <c r="D450" s="522"/>
      <c r="E450" s="522"/>
      <c r="F450" s="522"/>
      <c r="G450" s="522"/>
      <c r="H450" s="522"/>
      <c r="I450" s="522"/>
      <c r="J450" s="522"/>
      <c r="K450" s="522"/>
      <c r="L450" s="522"/>
      <c r="M450" s="522"/>
      <c r="N450" s="522"/>
    </row>
    <row r="451">
      <c r="C451" s="522"/>
      <c r="D451" s="522"/>
      <c r="E451" s="522"/>
      <c r="F451" s="522"/>
      <c r="G451" s="522"/>
      <c r="H451" s="522"/>
      <c r="I451" s="522"/>
      <c r="J451" s="522"/>
      <c r="K451" s="522"/>
      <c r="L451" s="522"/>
      <c r="M451" s="522"/>
      <c r="N451" s="522"/>
    </row>
    <row r="452">
      <c r="C452" s="522"/>
      <c r="D452" s="522"/>
      <c r="E452" s="522"/>
      <c r="F452" s="522"/>
      <c r="G452" s="522"/>
      <c r="H452" s="522"/>
      <c r="I452" s="522"/>
      <c r="J452" s="522"/>
      <c r="K452" s="522"/>
      <c r="L452" s="522"/>
      <c r="M452" s="522"/>
      <c r="N452" s="522"/>
    </row>
    <row r="453">
      <c r="C453" s="522"/>
      <c r="D453" s="522"/>
      <c r="E453" s="522"/>
      <c r="F453" s="522"/>
      <c r="G453" s="522"/>
      <c r="H453" s="522"/>
      <c r="I453" s="522"/>
      <c r="J453" s="522"/>
      <c r="K453" s="522"/>
      <c r="L453" s="522"/>
      <c r="M453" s="522"/>
      <c r="N453" s="522"/>
    </row>
    <row r="454">
      <c r="C454" s="522"/>
      <c r="D454" s="522"/>
      <c r="E454" s="522"/>
      <c r="F454" s="522"/>
      <c r="G454" s="522"/>
      <c r="H454" s="522"/>
      <c r="I454" s="522"/>
      <c r="J454" s="522"/>
      <c r="K454" s="522"/>
      <c r="L454" s="522"/>
      <c r="M454" s="522"/>
      <c r="N454" s="522"/>
    </row>
    <row r="455">
      <c r="C455" s="522"/>
      <c r="D455" s="522"/>
      <c r="E455" s="522"/>
      <c r="F455" s="522"/>
      <c r="G455" s="522"/>
      <c r="H455" s="522"/>
      <c r="I455" s="522"/>
      <c r="J455" s="522"/>
      <c r="K455" s="522"/>
      <c r="L455" s="522"/>
      <c r="M455" s="522"/>
      <c r="N455" s="522"/>
    </row>
    <row r="456">
      <c r="C456" s="522"/>
      <c r="D456" s="522"/>
      <c r="E456" s="522"/>
      <c r="F456" s="522"/>
      <c r="G456" s="522"/>
      <c r="H456" s="522"/>
      <c r="I456" s="522"/>
      <c r="J456" s="522"/>
      <c r="K456" s="522"/>
      <c r="L456" s="522"/>
      <c r="M456" s="522"/>
      <c r="N456" s="522"/>
    </row>
    <row r="457">
      <c r="C457" s="522"/>
      <c r="D457" s="522"/>
      <c r="E457" s="522"/>
      <c r="F457" s="522"/>
      <c r="G457" s="522"/>
      <c r="H457" s="522"/>
      <c r="I457" s="522"/>
      <c r="J457" s="522"/>
      <c r="K457" s="522"/>
      <c r="L457" s="522"/>
      <c r="M457" s="522"/>
      <c r="N457" s="522"/>
    </row>
    <row r="458">
      <c r="C458" s="522"/>
      <c r="D458" s="522"/>
      <c r="E458" s="522"/>
      <c r="F458" s="522"/>
      <c r="G458" s="522"/>
      <c r="H458" s="522"/>
      <c r="I458" s="522"/>
      <c r="J458" s="522"/>
      <c r="K458" s="522"/>
      <c r="L458" s="522"/>
      <c r="M458" s="522"/>
      <c r="N458" s="522"/>
    </row>
    <row r="459">
      <c r="C459" s="522"/>
      <c r="D459" s="522"/>
      <c r="E459" s="522"/>
      <c r="F459" s="522"/>
      <c r="G459" s="522"/>
      <c r="H459" s="522"/>
      <c r="I459" s="522"/>
      <c r="J459" s="522"/>
      <c r="K459" s="522"/>
      <c r="L459" s="522"/>
      <c r="M459" s="522"/>
      <c r="N459" s="522"/>
    </row>
    <row r="460">
      <c r="C460" s="522"/>
      <c r="D460" s="522"/>
      <c r="E460" s="522"/>
      <c r="F460" s="522"/>
      <c r="G460" s="522"/>
      <c r="H460" s="522"/>
      <c r="I460" s="522"/>
      <c r="J460" s="522"/>
      <c r="K460" s="522"/>
      <c r="L460" s="522"/>
      <c r="M460" s="522"/>
      <c r="N460" s="522"/>
    </row>
    <row r="461">
      <c r="C461" s="522"/>
      <c r="D461" s="522"/>
      <c r="E461" s="522"/>
      <c r="F461" s="522"/>
      <c r="G461" s="522"/>
      <c r="H461" s="522"/>
      <c r="I461" s="522"/>
      <c r="J461" s="522"/>
      <c r="K461" s="522"/>
      <c r="L461" s="522"/>
      <c r="M461" s="522"/>
      <c r="N461" s="522"/>
    </row>
    <row r="462">
      <c r="C462" s="522"/>
      <c r="D462" s="522"/>
      <c r="E462" s="522"/>
      <c r="F462" s="522"/>
      <c r="G462" s="522"/>
      <c r="H462" s="522"/>
      <c r="I462" s="522"/>
      <c r="J462" s="522"/>
      <c r="K462" s="522"/>
      <c r="L462" s="522"/>
      <c r="M462" s="522"/>
      <c r="N462" s="522"/>
    </row>
    <row r="463">
      <c r="C463" s="522"/>
      <c r="D463" s="522"/>
      <c r="E463" s="522"/>
      <c r="F463" s="522"/>
      <c r="G463" s="522"/>
      <c r="H463" s="522"/>
      <c r="I463" s="522"/>
      <c r="J463" s="522"/>
      <c r="K463" s="522"/>
      <c r="L463" s="522"/>
      <c r="M463" s="522"/>
      <c r="N463" s="522"/>
    </row>
    <row r="464">
      <c r="C464" s="522"/>
      <c r="D464" s="522"/>
      <c r="E464" s="522"/>
      <c r="F464" s="522"/>
      <c r="G464" s="522"/>
      <c r="H464" s="522"/>
      <c r="I464" s="522"/>
      <c r="J464" s="522"/>
      <c r="K464" s="522"/>
      <c r="L464" s="522"/>
      <c r="M464" s="522"/>
      <c r="N464" s="522"/>
    </row>
    <row r="465">
      <c r="C465" s="522"/>
      <c r="D465" s="522"/>
      <c r="E465" s="522"/>
      <c r="F465" s="522"/>
      <c r="G465" s="522"/>
      <c r="H465" s="522"/>
      <c r="I465" s="522"/>
      <c r="J465" s="522"/>
      <c r="K465" s="522"/>
      <c r="L465" s="522"/>
      <c r="M465" s="522"/>
      <c r="N465" s="522"/>
    </row>
    <row r="466">
      <c r="C466" s="522"/>
      <c r="D466" s="522"/>
      <c r="E466" s="522"/>
      <c r="F466" s="522"/>
      <c r="G466" s="522"/>
      <c r="H466" s="522"/>
      <c r="I466" s="522"/>
      <c r="J466" s="522"/>
      <c r="K466" s="522"/>
      <c r="L466" s="522"/>
      <c r="M466" s="522"/>
      <c r="N466" s="522"/>
    </row>
    <row r="467">
      <c r="C467" s="522"/>
      <c r="D467" s="522"/>
      <c r="E467" s="522"/>
      <c r="F467" s="522"/>
      <c r="G467" s="522"/>
      <c r="H467" s="522"/>
      <c r="I467" s="522"/>
      <c r="J467" s="522"/>
      <c r="K467" s="522"/>
      <c r="L467" s="522"/>
      <c r="M467" s="522"/>
      <c r="N467" s="522"/>
    </row>
    <row r="468">
      <c r="C468" s="522"/>
      <c r="D468" s="522"/>
      <c r="E468" s="522"/>
      <c r="F468" s="522"/>
      <c r="G468" s="522"/>
      <c r="H468" s="522"/>
      <c r="I468" s="522"/>
      <c r="J468" s="522"/>
      <c r="K468" s="522"/>
      <c r="L468" s="522"/>
      <c r="M468" s="522"/>
      <c r="N468" s="522"/>
    </row>
    <row r="469">
      <c r="C469" s="522"/>
      <c r="D469" s="522"/>
      <c r="E469" s="522"/>
      <c r="F469" s="522"/>
      <c r="G469" s="522"/>
      <c r="H469" s="522"/>
      <c r="I469" s="522"/>
      <c r="J469" s="522"/>
      <c r="K469" s="522"/>
      <c r="L469" s="522"/>
      <c r="M469" s="522"/>
      <c r="N469" s="522"/>
    </row>
    <row r="470">
      <c r="C470" s="522"/>
      <c r="D470" s="522"/>
      <c r="E470" s="522"/>
      <c r="F470" s="522"/>
      <c r="G470" s="522"/>
      <c r="H470" s="522"/>
      <c r="I470" s="522"/>
      <c r="J470" s="522"/>
      <c r="K470" s="522"/>
      <c r="L470" s="522"/>
      <c r="M470" s="522"/>
      <c r="N470" s="522"/>
    </row>
    <row r="471">
      <c r="C471" s="522"/>
      <c r="D471" s="522"/>
      <c r="E471" s="522"/>
      <c r="F471" s="522"/>
      <c r="G471" s="522"/>
      <c r="H471" s="522"/>
      <c r="I471" s="522"/>
      <c r="J471" s="522"/>
      <c r="K471" s="522"/>
      <c r="L471" s="522"/>
      <c r="M471" s="522"/>
      <c r="N471" s="522"/>
    </row>
    <row r="472">
      <c r="C472" s="522"/>
      <c r="D472" s="522"/>
      <c r="E472" s="522"/>
      <c r="F472" s="522"/>
      <c r="G472" s="522"/>
      <c r="H472" s="522"/>
      <c r="I472" s="522"/>
      <c r="J472" s="522"/>
      <c r="K472" s="522"/>
      <c r="L472" s="522"/>
      <c r="M472" s="522"/>
      <c r="N472" s="522"/>
    </row>
    <row r="473">
      <c r="C473" s="522"/>
      <c r="D473" s="522"/>
      <c r="E473" s="522"/>
      <c r="F473" s="522"/>
      <c r="G473" s="522"/>
      <c r="H473" s="522"/>
      <c r="I473" s="522"/>
      <c r="J473" s="522"/>
      <c r="K473" s="522"/>
      <c r="L473" s="522"/>
      <c r="M473" s="522"/>
      <c r="N473" s="522"/>
    </row>
    <row r="474">
      <c r="C474" s="522"/>
      <c r="D474" s="522"/>
      <c r="E474" s="522"/>
      <c r="F474" s="522"/>
      <c r="G474" s="522"/>
      <c r="H474" s="522"/>
      <c r="I474" s="522"/>
      <c r="J474" s="522"/>
      <c r="K474" s="522"/>
      <c r="L474" s="522"/>
      <c r="M474" s="522"/>
      <c r="N474" s="522"/>
    </row>
    <row r="475">
      <c r="C475" s="522"/>
      <c r="D475" s="522"/>
      <c r="E475" s="522"/>
      <c r="F475" s="522"/>
      <c r="G475" s="522"/>
      <c r="H475" s="522"/>
      <c r="I475" s="522"/>
      <c r="J475" s="522"/>
      <c r="K475" s="522"/>
      <c r="L475" s="522"/>
      <c r="M475" s="522"/>
      <c r="N475" s="522"/>
    </row>
    <row r="476">
      <c r="C476" s="522"/>
      <c r="D476" s="522"/>
      <c r="E476" s="522"/>
      <c r="F476" s="522"/>
      <c r="G476" s="522"/>
      <c r="H476" s="522"/>
      <c r="I476" s="522"/>
      <c r="J476" s="522"/>
      <c r="K476" s="522"/>
      <c r="L476" s="522"/>
      <c r="M476" s="522"/>
      <c r="N476" s="522"/>
    </row>
    <row r="477">
      <c r="C477" s="522"/>
      <c r="D477" s="522"/>
      <c r="E477" s="522"/>
      <c r="F477" s="522"/>
      <c r="G477" s="522"/>
      <c r="H477" s="522"/>
      <c r="I477" s="522"/>
      <c r="J477" s="522"/>
      <c r="K477" s="522"/>
      <c r="L477" s="522"/>
      <c r="M477" s="522"/>
      <c r="N477" s="522"/>
    </row>
    <row r="478">
      <c r="C478" s="522"/>
      <c r="D478" s="522"/>
      <c r="E478" s="522"/>
      <c r="F478" s="522"/>
      <c r="G478" s="522"/>
      <c r="H478" s="522"/>
      <c r="I478" s="522"/>
      <c r="J478" s="522"/>
      <c r="K478" s="522"/>
      <c r="L478" s="522"/>
      <c r="M478" s="522"/>
      <c r="N478" s="522"/>
    </row>
    <row r="479">
      <c r="C479" s="522"/>
      <c r="D479" s="522"/>
      <c r="E479" s="522"/>
      <c r="F479" s="522"/>
      <c r="G479" s="522"/>
      <c r="H479" s="522"/>
      <c r="I479" s="522"/>
      <c r="J479" s="522"/>
      <c r="K479" s="522"/>
      <c r="L479" s="522"/>
      <c r="M479" s="522"/>
      <c r="N479" s="522"/>
    </row>
    <row r="480">
      <c r="C480" s="522"/>
      <c r="D480" s="522"/>
      <c r="E480" s="522"/>
      <c r="F480" s="522"/>
      <c r="G480" s="522"/>
      <c r="H480" s="522"/>
      <c r="I480" s="522"/>
      <c r="J480" s="522"/>
      <c r="K480" s="522"/>
      <c r="L480" s="522"/>
      <c r="M480" s="522"/>
      <c r="N480" s="522"/>
    </row>
    <row r="481">
      <c r="C481" s="522"/>
      <c r="D481" s="522"/>
      <c r="E481" s="522"/>
      <c r="F481" s="522"/>
      <c r="G481" s="522"/>
      <c r="H481" s="522"/>
      <c r="I481" s="522"/>
      <c r="J481" s="522"/>
      <c r="K481" s="522"/>
      <c r="L481" s="522"/>
      <c r="M481" s="522"/>
      <c r="N481" s="522"/>
    </row>
    <row r="482">
      <c r="C482" s="522"/>
      <c r="D482" s="522"/>
      <c r="E482" s="522"/>
      <c r="F482" s="522"/>
      <c r="G482" s="522"/>
      <c r="H482" s="522"/>
      <c r="I482" s="522"/>
      <c r="J482" s="522"/>
      <c r="K482" s="522"/>
      <c r="L482" s="522"/>
      <c r="M482" s="522"/>
      <c r="N482" s="522"/>
    </row>
    <row r="483">
      <c r="C483" s="522"/>
      <c r="D483" s="522"/>
      <c r="E483" s="522"/>
      <c r="F483" s="522"/>
      <c r="G483" s="522"/>
      <c r="H483" s="522"/>
      <c r="I483" s="522"/>
      <c r="J483" s="522"/>
      <c r="K483" s="522"/>
      <c r="L483" s="522"/>
      <c r="M483" s="522"/>
      <c r="N483" s="522"/>
    </row>
    <row r="484">
      <c r="C484" s="522"/>
      <c r="D484" s="522"/>
      <c r="E484" s="522"/>
      <c r="F484" s="522"/>
      <c r="G484" s="522"/>
      <c r="H484" s="522"/>
      <c r="I484" s="522"/>
      <c r="J484" s="522"/>
      <c r="K484" s="522"/>
      <c r="L484" s="522"/>
      <c r="M484" s="522"/>
      <c r="N484" s="522"/>
    </row>
    <row r="485">
      <c r="C485" s="522"/>
      <c r="D485" s="522"/>
      <c r="E485" s="522"/>
      <c r="F485" s="522"/>
      <c r="G485" s="522"/>
      <c r="H485" s="522"/>
      <c r="I485" s="522"/>
      <c r="J485" s="522"/>
      <c r="K485" s="522"/>
      <c r="L485" s="522"/>
      <c r="M485" s="522"/>
      <c r="N485" s="522"/>
    </row>
    <row r="486">
      <c r="C486" s="522"/>
      <c r="D486" s="522"/>
      <c r="E486" s="522"/>
      <c r="F486" s="522"/>
      <c r="G486" s="522"/>
      <c r="H486" s="522"/>
      <c r="I486" s="522"/>
      <c r="J486" s="522"/>
      <c r="K486" s="522"/>
      <c r="L486" s="522"/>
      <c r="M486" s="522"/>
      <c r="N486" s="522"/>
    </row>
    <row r="487">
      <c r="C487" s="522"/>
      <c r="D487" s="522"/>
      <c r="E487" s="522"/>
      <c r="F487" s="522"/>
      <c r="G487" s="522"/>
      <c r="H487" s="522"/>
      <c r="I487" s="522"/>
      <c r="J487" s="522"/>
      <c r="K487" s="522"/>
      <c r="L487" s="522"/>
      <c r="M487" s="522"/>
      <c r="N487" s="522"/>
    </row>
    <row r="488">
      <c r="C488" s="522"/>
      <c r="D488" s="522"/>
      <c r="E488" s="522"/>
      <c r="F488" s="522"/>
      <c r="G488" s="522"/>
      <c r="H488" s="522"/>
      <c r="I488" s="522"/>
      <c r="J488" s="522"/>
      <c r="K488" s="522"/>
      <c r="L488" s="522"/>
      <c r="M488" s="522"/>
      <c r="N488" s="522"/>
    </row>
    <row r="489">
      <c r="C489" s="522"/>
      <c r="D489" s="522"/>
      <c r="E489" s="522"/>
      <c r="F489" s="522"/>
      <c r="G489" s="522"/>
      <c r="H489" s="522"/>
      <c r="I489" s="522"/>
      <c r="J489" s="522"/>
      <c r="K489" s="522"/>
      <c r="L489" s="522"/>
      <c r="M489" s="522"/>
      <c r="N489" s="522"/>
    </row>
    <row r="490">
      <c r="C490" s="522"/>
      <c r="D490" s="522"/>
      <c r="E490" s="522"/>
      <c r="F490" s="522"/>
      <c r="G490" s="522"/>
      <c r="H490" s="522"/>
      <c r="I490" s="522"/>
      <c r="J490" s="522"/>
      <c r="K490" s="522"/>
      <c r="L490" s="522"/>
      <c r="M490" s="522"/>
      <c r="N490" s="522"/>
    </row>
    <row r="491">
      <c r="C491" s="522"/>
      <c r="D491" s="522"/>
      <c r="E491" s="522"/>
      <c r="F491" s="522"/>
      <c r="G491" s="522"/>
      <c r="H491" s="522"/>
      <c r="I491" s="522"/>
      <c r="J491" s="522"/>
      <c r="K491" s="522"/>
      <c r="L491" s="522"/>
      <c r="M491" s="522"/>
      <c r="N491" s="522"/>
    </row>
    <row r="492">
      <c r="C492" s="522"/>
      <c r="D492" s="522"/>
      <c r="E492" s="522"/>
      <c r="F492" s="522"/>
      <c r="G492" s="522"/>
      <c r="H492" s="522"/>
      <c r="I492" s="522"/>
      <c r="J492" s="522"/>
      <c r="K492" s="522"/>
      <c r="L492" s="522"/>
      <c r="M492" s="522"/>
      <c r="N492" s="522"/>
    </row>
    <row r="493">
      <c r="C493" s="522"/>
      <c r="D493" s="522"/>
      <c r="E493" s="522"/>
      <c r="F493" s="522"/>
      <c r="G493" s="522"/>
      <c r="H493" s="522"/>
      <c r="I493" s="522"/>
      <c r="J493" s="522"/>
      <c r="K493" s="522"/>
      <c r="L493" s="522"/>
      <c r="M493" s="522"/>
      <c r="N493" s="522"/>
    </row>
    <row r="494">
      <c r="C494" s="522"/>
      <c r="D494" s="522"/>
      <c r="E494" s="522"/>
      <c r="F494" s="522"/>
      <c r="G494" s="522"/>
      <c r="H494" s="522"/>
      <c r="I494" s="522"/>
      <c r="J494" s="522"/>
      <c r="K494" s="522"/>
      <c r="L494" s="522"/>
      <c r="M494" s="522"/>
      <c r="N494" s="522"/>
    </row>
    <row r="495">
      <c r="C495" s="522"/>
      <c r="D495" s="522"/>
      <c r="E495" s="522"/>
      <c r="F495" s="522"/>
      <c r="G495" s="522"/>
      <c r="H495" s="522"/>
      <c r="I495" s="522"/>
      <c r="J495" s="522"/>
      <c r="K495" s="522"/>
      <c r="L495" s="522"/>
      <c r="M495" s="522"/>
      <c r="N495" s="522"/>
    </row>
    <row r="496">
      <c r="C496" s="522"/>
      <c r="D496" s="522"/>
      <c r="E496" s="522"/>
      <c r="F496" s="522"/>
      <c r="G496" s="522"/>
      <c r="H496" s="522"/>
      <c r="I496" s="522"/>
      <c r="J496" s="522"/>
      <c r="K496" s="522"/>
      <c r="L496" s="522"/>
      <c r="M496" s="522"/>
      <c r="N496" s="522"/>
    </row>
    <row r="497">
      <c r="C497" s="522"/>
      <c r="D497" s="522"/>
      <c r="E497" s="522"/>
      <c r="F497" s="522"/>
      <c r="G497" s="522"/>
      <c r="H497" s="522"/>
      <c r="I497" s="522"/>
      <c r="J497" s="522"/>
      <c r="K497" s="522"/>
      <c r="L497" s="522"/>
      <c r="M497" s="522"/>
      <c r="N497" s="522"/>
    </row>
    <row r="498">
      <c r="C498" s="522"/>
      <c r="D498" s="522"/>
      <c r="E498" s="522"/>
      <c r="F498" s="522"/>
      <c r="G498" s="522"/>
      <c r="H498" s="522"/>
      <c r="I498" s="522"/>
      <c r="J498" s="522"/>
      <c r="K498" s="522"/>
      <c r="L498" s="522"/>
      <c r="M498" s="522"/>
      <c r="N498" s="522"/>
    </row>
    <row r="499">
      <c r="C499" s="522"/>
      <c r="D499" s="522"/>
      <c r="E499" s="522"/>
      <c r="F499" s="522"/>
      <c r="G499" s="522"/>
      <c r="H499" s="522"/>
      <c r="I499" s="522"/>
      <c r="J499" s="522"/>
      <c r="K499" s="522"/>
      <c r="L499" s="522"/>
      <c r="M499" s="522"/>
      <c r="N499" s="522"/>
    </row>
    <row r="500">
      <c r="C500" s="522"/>
      <c r="D500" s="522"/>
      <c r="E500" s="522"/>
      <c r="F500" s="522"/>
      <c r="G500" s="522"/>
      <c r="H500" s="522"/>
      <c r="I500" s="522"/>
      <c r="J500" s="522"/>
      <c r="K500" s="522"/>
      <c r="L500" s="522"/>
      <c r="M500" s="522"/>
      <c r="N500" s="522"/>
    </row>
    <row r="501">
      <c r="C501" s="522"/>
      <c r="D501" s="522"/>
      <c r="E501" s="522"/>
      <c r="F501" s="522"/>
      <c r="G501" s="522"/>
      <c r="H501" s="522"/>
      <c r="I501" s="522"/>
      <c r="J501" s="522"/>
      <c r="K501" s="522"/>
      <c r="L501" s="522"/>
      <c r="M501" s="522"/>
      <c r="N501" s="522"/>
    </row>
    <row r="502">
      <c r="C502" s="522"/>
      <c r="D502" s="522"/>
      <c r="E502" s="522"/>
      <c r="F502" s="522"/>
      <c r="G502" s="522"/>
      <c r="H502" s="522"/>
      <c r="I502" s="522"/>
      <c r="J502" s="522"/>
      <c r="K502" s="522"/>
      <c r="L502" s="522"/>
      <c r="M502" s="522"/>
      <c r="N502" s="522"/>
    </row>
    <row r="503">
      <c r="C503" s="522"/>
      <c r="D503" s="522"/>
      <c r="E503" s="522"/>
      <c r="F503" s="522"/>
      <c r="G503" s="522"/>
      <c r="H503" s="522"/>
      <c r="I503" s="522"/>
      <c r="J503" s="522"/>
      <c r="K503" s="522"/>
      <c r="L503" s="522"/>
      <c r="M503" s="522"/>
      <c r="N503" s="522"/>
    </row>
    <row r="504">
      <c r="C504" s="522"/>
      <c r="D504" s="522"/>
      <c r="E504" s="522"/>
      <c r="F504" s="522"/>
      <c r="G504" s="522"/>
      <c r="H504" s="522"/>
      <c r="I504" s="522"/>
      <c r="J504" s="522"/>
      <c r="K504" s="522"/>
      <c r="L504" s="522"/>
      <c r="M504" s="522"/>
      <c r="N504" s="522"/>
    </row>
    <row r="505">
      <c r="C505" s="522"/>
      <c r="D505" s="522"/>
      <c r="E505" s="522"/>
      <c r="F505" s="522"/>
      <c r="G505" s="522"/>
      <c r="H505" s="522"/>
      <c r="I505" s="522"/>
      <c r="J505" s="522"/>
      <c r="K505" s="522"/>
      <c r="L505" s="522"/>
      <c r="M505" s="522"/>
      <c r="N505" s="522"/>
    </row>
    <row r="506">
      <c r="C506" s="522"/>
      <c r="D506" s="522"/>
      <c r="E506" s="522"/>
      <c r="F506" s="522"/>
      <c r="G506" s="522"/>
      <c r="H506" s="522"/>
      <c r="I506" s="522"/>
      <c r="J506" s="522"/>
      <c r="K506" s="522"/>
      <c r="L506" s="522"/>
      <c r="M506" s="522"/>
      <c r="N506" s="522"/>
    </row>
    <row r="507">
      <c r="C507" s="522"/>
      <c r="D507" s="522"/>
      <c r="E507" s="522"/>
      <c r="F507" s="522"/>
      <c r="G507" s="522"/>
      <c r="H507" s="522"/>
      <c r="I507" s="522"/>
      <c r="J507" s="522"/>
      <c r="K507" s="522"/>
      <c r="L507" s="522"/>
      <c r="M507" s="522"/>
      <c r="N507" s="522"/>
    </row>
    <row r="508">
      <c r="C508" s="522"/>
      <c r="D508" s="522"/>
      <c r="E508" s="522"/>
      <c r="F508" s="522"/>
      <c r="G508" s="522"/>
      <c r="H508" s="522"/>
      <c r="I508" s="522"/>
      <c r="J508" s="522"/>
      <c r="K508" s="522"/>
      <c r="L508" s="522"/>
      <c r="M508" s="522"/>
      <c r="N508" s="522"/>
    </row>
    <row r="509">
      <c r="C509" s="522"/>
      <c r="D509" s="522"/>
      <c r="E509" s="522"/>
      <c r="F509" s="522"/>
      <c r="G509" s="522"/>
      <c r="H509" s="522"/>
      <c r="I509" s="522"/>
      <c r="J509" s="522"/>
      <c r="K509" s="522"/>
      <c r="L509" s="522"/>
      <c r="M509" s="522"/>
      <c r="N509" s="522"/>
    </row>
    <row r="510">
      <c r="C510" s="522"/>
      <c r="D510" s="522"/>
      <c r="E510" s="522"/>
      <c r="F510" s="522"/>
      <c r="G510" s="522"/>
      <c r="H510" s="522"/>
      <c r="I510" s="522"/>
      <c r="J510" s="522"/>
      <c r="K510" s="522"/>
      <c r="L510" s="522"/>
      <c r="M510" s="522"/>
      <c r="N510" s="522"/>
    </row>
    <row r="511">
      <c r="C511" s="522"/>
      <c r="D511" s="522"/>
      <c r="E511" s="522"/>
      <c r="F511" s="522"/>
      <c r="G511" s="522"/>
      <c r="H511" s="522"/>
      <c r="I511" s="522"/>
      <c r="J511" s="522"/>
      <c r="K511" s="522"/>
      <c r="L511" s="522"/>
      <c r="M511" s="522"/>
      <c r="N511" s="522"/>
    </row>
    <row r="512">
      <c r="C512" s="522"/>
      <c r="D512" s="522"/>
      <c r="E512" s="522"/>
      <c r="F512" s="522"/>
      <c r="G512" s="522"/>
      <c r="H512" s="522"/>
      <c r="I512" s="522"/>
      <c r="J512" s="522"/>
      <c r="K512" s="522"/>
      <c r="L512" s="522"/>
      <c r="M512" s="522"/>
      <c r="N512" s="522"/>
    </row>
    <row r="513">
      <c r="C513" s="522"/>
      <c r="D513" s="522"/>
      <c r="E513" s="522"/>
      <c r="F513" s="522"/>
      <c r="G513" s="522"/>
      <c r="H513" s="522"/>
      <c r="I513" s="522"/>
      <c r="J513" s="522"/>
      <c r="K513" s="522"/>
      <c r="L513" s="522"/>
      <c r="M513" s="522"/>
      <c r="N513" s="522"/>
    </row>
    <row r="514">
      <c r="C514" s="522"/>
      <c r="D514" s="522"/>
      <c r="E514" s="522"/>
      <c r="F514" s="522"/>
      <c r="G514" s="522"/>
      <c r="H514" s="522"/>
      <c r="I514" s="522"/>
      <c r="J514" s="522"/>
      <c r="K514" s="522"/>
      <c r="L514" s="522"/>
      <c r="M514" s="522"/>
      <c r="N514" s="522"/>
    </row>
    <row r="515">
      <c r="C515" s="522"/>
      <c r="D515" s="522"/>
      <c r="E515" s="522"/>
      <c r="F515" s="522"/>
      <c r="G515" s="522"/>
      <c r="H515" s="522"/>
      <c r="I515" s="522"/>
      <c r="J515" s="522"/>
      <c r="K515" s="522"/>
      <c r="L515" s="522"/>
      <c r="M515" s="522"/>
      <c r="N515" s="522"/>
    </row>
    <row r="516">
      <c r="C516" s="522"/>
      <c r="D516" s="522"/>
      <c r="E516" s="522"/>
      <c r="F516" s="522"/>
      <c r="G516" s="522"/>
      <c r="H516" s="522"/>
      <c r="I516" s="522"/>
      <c r="J516" s="522"/>
      <c r="K516" s="522"/>
      <c r="L516" s="522"/>
      <c r="M516" s="522"/>
      <c r="N516" s="522"/>
    </row>
    <row r="517">
      <c r="C517" s="522"/>
      <c r="D517" s="522"/>
      <c r="E517" s="522"/>
      <c r="F517" s="522"/>
      <c r="G517" s="522"/>
      <c r="H517" s="522"/>
      <c r="I517" s="522"/>
      <c r="J517" s="522"/>
      <c r="K517" s="522"/>
      <c r="L517" s="522"/>
      <c r="M517" s="522"/>
      <c r="N517" s="522"/>
    </row>
    <row r="518">
      <c r="C518" s="522"/>
      <c r="D518" s="522"/>
      <c r="E518" s="522"/>
      <c r="F518" s="522"/>
      <c r="G518" s="522"/>
      <c r="H518" s="522"/>
      <c r="I518" s="522"/>
      <c r="J518" s="522"/>
      <c r="K518" s="522"/>
      <c r="L518" s="522"/>
      <c r="M518" s="522"/>
      <c r="N518" s="522"/>
    </row>
    <row r="519">
      <c r="C519" s="522"/>
      <c r="D519" s="522"/>
      <c r="E519" s="522"/>
      <c r="F519" s="522"/>
      <c r="G519" s="522"/>
      <c r="H519" s="522"/>
      <c r="I519" s="522"/>
      <c r="J519" s="522"/>
      <c r="K519" s="522"/>
      <c r="L519" s="522"/>
      <c r="M519" s="522"/>
      <c r="N519" s="522"/>
    </row>
    <row r="520">
      <c r="C520" s="522"/>
      <c r="D520" s="522"/>
      <c r="E520" s="522"/>
      <c r="F520" s="522"/>
      <c r="G520" s="522"/>
      <c r="H520" s="522"/>
      <c r="I520" s="522"/>
      <c r="J520" s="522"/>
      <c r="K520" s="522"/>
      <c r="L520" s="522"/>
      <c r="M520" s="522"/>
      <c r="N520" s="522"/>
    </row>
    <row r="521">
      <c r="C521" s="522"/>
      <c r="D521" s="522"/>
      <c r="E521" s="522"/>
      <c r="F521" s="522"/>
      <c r="G521" s="522"/>
      <c r="H521" s="522"/>
      <c r="I521" s="522"/>
      <c r="J521" s="522"/>
      <c r="K521" s="522"/>
      <c r="L521" s="522"/>
      <c r="M521" s="522"/>
      <c r="N521" s="522"/>
    </row>
    <row r="522">
      <c r="C522" s="522"/>
      <c r="D522" s="522"/>
      <c r="E522" s="522"/>
      <c r="F522" s="522"/>
      <c r="G522" s="522"/>
      <c r="H522" s="522"/>
      <c r="I522" s="522"/>
      <c r="J522" s="522"/>
      <c r="K522" s="522"/>
      <c r="L522" s="522"/>
      <c r="M522" s="522"/>
      <c r="N522" s="522"/>
    </row>
    <row r="523">
      <c r="C523" s="522"/>
      <c r="D523" s="522"/>
      <c r="E523" s="522"/>
      <c r="F523" s="522"/>
      <c r="G523" s="522"/>
      <c r="H523" s="522"/>
      <c r="I523" s="522"/>
      <c r="J523" s="522"/>
      <c r="K523" s="522"/>
      <c r="L523" s="522"/>
      <c r="M523" s="522"/>
      <c r="N523" s="522"/>
    </row>
    <row r="524">
      <c r="C524" s="522"/>
      <c r="D524" s="522"/>
      <c r="E524" s="522"/>
      <c r="F524" s="522"/>
      <c r="G524" s="522"/>
      <c r="H524" s="522"/>
      <c r="I524" s="522"/>
      <c r="J524" s="522"/>
      <c r="K524" s="522"/>
      <c r="L524" s="522"/>
      <c r="M524" s="522"/>
      <c r="N524" s="522"/>
    </row>
    <row r="525">
      <c r="C525" s="522"/>
      <c r="D525" s="522"/>
      <c r="E525" s="522"/>
      <c r="F525" s="522"/>
      <c r="G525" s="522"/>
      <c r="H525" s="522"/>
      <c r="I525" s="522"/>
      <c r="J525" s="522"/>
      <c r="K525" s="522"/>
      <c r="L525" s="522"/>
      <c r="M525" s="522"/>
      <c r="N525" s="522"/>
    </row>
    <row r="526">
      <c r="C526" s="522"/>
      <c r="D526" s="522"/>
      <c r="E526" s="522"/>
      <c r="F526" s="522"/>
      <c r="G526" s="522"/>
      <c r="H526" s="522"/>
      <c r="I526" s="522"/>
      <c r="J526" s="522"/>
      <c r="K526" s="522"/>
      <c r="L526" s="522"/>
      <c r="M526" s="522"/>
      <c r="N526" s="522"/>
    </row>
    <row r="527">
      <c r="C527" s="522"/>
      <c r="D527" s="522"/>
      <c r="E527" s="522"/>
      <c r="F527" s="522"/>
      <c r="G527" s="522"/>
      <c r="H527" s="522"/>
      <c r="I527" s="522"/>
      <c r="J527" s="522"/>
      <c r="K527" s="522"/>
      <c r="L527" s="522"/>
      <c r="M527" s="522"/>
      <c r="N527" s="522"/>
    </row>
    <row r="528">
      <c r="C528" s="522"/>
      <c r="D528" s="522"/>
      <c r="E528" s="522"/>
      <c r="F528" s="522"/>
      <c r="G528" s="522"/>
      <c r="H528" s="522"/>
      <c r="I528" s="522"/>
      <c r="J528" s="522"/>
      <c r="K528" s="522"/>
      <c r="L528" s="522"/>
      <c r="M528" s="522"/>
      <c r="N528" s="522"/>
    </row>
    <row r="529">
      <c r="C529" s="522"/>
      <c r="D529" s="522"/>
      <c r="E529" s="522"/>
      <c r="F529" s="522"/>
      <c r="G529" s="522"/>
      <c r="H529" s="522"/>
      <c r="I529" s="522"/>
      <c r="J529" s="522"/>
      <c r="K529" s="522"/>
      <c r="L529" s="522"/>
      <c r="M529" s="522"/>
      <c r="N529" s="522"/>
    </row>
    <row r="530">
      <c r="C530" s="522"/>
      <c r="D530" s="522"/>
      <c r="E530" s="522"/>
      <c r="F530" s="522"/>
      <c r="G530" s="522"/>
      <c r="H530" s="522"/>
      <c r="I530" s="522"/>
      <c r="J530" s="522"/>
      <c r="K530" s="522"/>
      <c r="L530" s="522"/>
      <c r="M530" s="522"/>
      <c r="N530" s="522"/>
    </row>
    <row r="531">
      <c r="C531" s="522"/>
      <c r="D531" s="522"/>
      <c r="E531" s="522"/>
      <c r="F531" s="522"/>
      <c r="G531" s="522"/>
      <c r="H531" s="522"/>
      <c r="I531" s="522"/>
      <c r="J531" s="522"/>
      <c r="K531" s="522"/>
      <c r="L531" s="522"/>
      <c r="M531" s="522"/>
      <c r="N531" s="522"/>
    </row>
    <row r="532">
      <c r="C532" s="522"/>
      <c r="D532" s="522"/>
      <c r="E532" s="522"/>
      <c r="F532" s="522"/>
      <c r="G532" s="522"/>
      <c r="H532" s="522"/>
      <c r="I532" s="522"/>
      <c r="J532" s="522"/>
      <c r="K532" s="522"/>
      <c r="L532" s="522"/>
      <c r="M532" s="522"/>
      <c r="N532" s="522"/>
    </row>
    <row r="533">
      <c r="C533" s="522"/>
      <c r="D533" s="522"/>
      <c r="E533" s="522"/>
      <c r="F533" s="522"/>
      <c r="G533" s="522"/>
      <c r="H533" s="522"/>
      <c r="I533" s="522"/>
      <c r="J533" s="522"/>
      <c r="K533" s="522"/>
      <c r="L533" s="522"/>
      <c r="M533" s="522"/>
      <c r="N533" s="522"/>
    </row>
    <row r="534">
      <c r="C534" s="522"/>
      <c r="D534" s="522"/>
      <c r="E534" s="522"/>
      <c r="F534" s="522"/>
      <c r="G534" s="522"/>
      <c r="H534" s="522"/>
      <c r="I534" s="522"/>
      <c r="J534" s="522"/>
      <c r="K534" s="522"/>
      <c r="L534" s="522"/>
      <c r="M534" s="522"/>
      <c r="N534" s="522"/>
    </row>
    <row r="535">
      <c r="C535" s="522"/>
      <c r="D535" s="522"/>
      <c r="E535" s="522"/>
      <c r="F535" s="522"/>
      <c r="G535" s="522"/>
      <c r="H535" s="522"/>
      <c r="I535" s="522"/>
      <c r="J535" s="522"/>
      <c r="K535" s="522"/>
      <c r="L535" s="522"/>
      <c r="M535" s="522"/>
      <c r="N535" s="522"/>
    </row>
    <row r="536">
      <c r="C536" s="522"/>
      <c r="D536" s="522"/>
      <c r="E536" s="522"/>
      <c r="F536" s="522"/>
      <c r="G536" s="522"/>
      <c r="H536" s="522"/>
      <c r="I536" s="522"/>
      <c r="J536" s="522"/>
      <c r="K536" s="522"/>
      <c r="L536" s="522"/>
      <c r="M536" s="522"/>
      <c r="N536" s="522"/>
    </row>
    <row r="537">
      <c r="C537" s="522"/>
      <c r="D537" s="522"/>
      <c r="E537" s="522"/>
      <c r="F537" s="522"/>
      <c r="G537" s="522"/>
      <c r="H537" s="522"/>
      <c r="I537" s="522"/>
      <c r="J537" s="522"/>
      <c r="K537" s="522"/>
      <c r="L537" s="522"/>
      <c r="M537" s="522"/>
      <c r="N537" s="522"/>
    </row>
    <row r="538">
      <c r="C538" s="522"/>
      <c r="D538" s="522"/>
      <c r="E538" s="522"/>
      <c r="F538" s="522"/>
      <c r="G538" s="522"/>
      <c r="H538" s="522"/>
      <c r="I538" s="522"/>
      <c r="J538" s="522"/>
      <c r="K538" s="522"/>
      <c r="L538" s="522"/>
      <c r="M538" s="522"/>
      <c r="N538" s="522"/>
    </row>
    <row r="539">
      <c r="C539" s="522"/>
      <c r="D539" s="522"/>
      <c r="E539" s="522"/>
      <c r="F539" s="522"/>
      <c r="G539" s="522"/>
      <c r="H539" s="522"/>
      <c r="I539" s="522"/>
      <c r="J539" s="522"/>
      <c r="K539" s="522"/>
      <c r="L539" s="522"/>
      <c r="M539" s="522"/>
      <c r="N539" s="522"/>
    </row>
    <row r="540">
      <c r="C540" s="522"/>
      <c r="D540" s="522"/>
      <c r="E540" s="522"/>
      <c r="F540" s="522"/>
      <c r="G540" s="522"/>
      <c r="H540" s="522"/>
      <c r="I540" s="522"/>
      <c r="J540" s="522"/>
      <c r="K540" s="522"/>
      <c r="L540" s="522"/>
      <c r="M540" s="522"/>
      <c r="N540" s="522"/>
    </row>
    <row r="541">
      <c r="C541" s="522"/>
      <c r="D541" s="522"/>
      <c r="E541" s="522"/>
      <c r="F541" s="522"/>
      <c r="G541" s="522"/>
      <c r="H541" s="522"/>
      <c r="I541" s="522"/>
      <c r="J541" s="522"/>
      <c r="K541" s="522"/>
      <c r="L541" s="522"/>
      <c r="M541" s="522"/>
      <c r="N541" s="522"/>
    </row>
    <row r="542">
      <c r="C542" s="522"/>
      <c r="D542" s="522"/>
      <c r="E542" s="522"/>
      <c r="F542" s="522"/>
      <c r="G542" s="522"/>
      <c r="H542" s="522"/>
      <c r="I542" s="522"/>
      <c r="J542" s="522"/>
      <c r="K542" s="522"/>
      <c r="L542" s="522"/>
      <c r="M542" s="522"/>
      <c r="N542" s="522"/>
    </row>
    <row r="543">
      <c r="C543" s="522"/>
      <c r="D543" s="522"/>
      <c r="E543" s="522"/>
      <c r="F543" s="522"/>
      <c r="G543" s="522"/>
      <c r="H543" s="522"/>
      <c r="I543" s="522"/>
      <c r="J543" s="522"/>
      <c r="K543" s="522"/>
      <c r="L543" s="522"/>
      <c r="M543" s="522"/>
      <c r="N543" s="522"/>
    </row>
    <row r="544">
      <c r="C544" s="522"/>
      <c r="D544" s="522"/>
      <c r="E544" s="522"/>
      <c r="F544" s="522"/>
      <c r="G544" s="522"/>
      <c r="H544" s="522"/>
      <c r="I544" s="522"/>
      <c r="J544" s="522"/>
      <c r="K544" s="522"/>
      <c r="L544" s="522"/>
      <c r="M544" s="522"/>
      <c r="N544" s="522"/>
    </row>
    <row r="545">
      <c r="C545" s="522"/>
      <c r="D545" s="522"/>
      <c r="E545" s="522"/>
      <c r="F545" s="522"/>
      <c r="G545" s="522"/>
      <c r="H545" s="522"/>
      <c r="I545" s="522"/>
      <c r="J545" s="522"/>
      <c r="K545" s="522"/>
      <c r="L545" s="522"/>
      <c r="M545" s="522"/>
      <c r="N545" s="522"/>
    </row>
    <row r="546">
      <c r="C546" s="522"/>
      <c r="D546" s="522"/>
      <c r="E546" s="522"/>
      <c r="F546" s="522"/>
      <c r="G546" s="522"/>
      <c r="H546" s="522"/>
      <c r="I546" s="522"/>
      <c r="J546" s="522"/>
      <c r="K546" s="522"/>
      <c r="L546" s="522"/>
      <c r="M546" s="522"/>
      <c r="N546" s="522"/>
    </row>
    <row r="547">
      <c r="C547" s="522"/>
      <c r="D547" s="522"/>
      <c r="E547" s="522"/>
      <c r="F547" s="522"/>
      <c r="G547" s="522"/>
      <c r="H547" s="522"/>
      <c r="I547" s="522"/>
      <c r="J547" s="522"/>
      <c r="K547" s="522"/>
      <c r="L547" s="522"/>
      <c r="M547" s="522"/>
      <c r="N547" s="522"/>
    </row>
    <row r="548">
      <c r="C548" s="522"/>
      <c r="D548" s="522"/>
      <c r="E548" s="522"/>
      <c r="F548" s="522"/>
      <c r="G548" s="522"/>
      <c r="H548" s="522"/>
      <c r="I548" s="522"/>
      <c r="J548" s="522"/>
      <c r="K548" s="522"/>
      <c r="L548" s="522"/>
      <c r="M548" s="522"/>
      <c r="N548" s="522"/>
    </row>
    <row r="549">
      <c r="C549" s="522"/>
      <c r="D549" s="522"/>
      <c r="E549" s="522"/>
      <c r="F549" s="522"/>
      <c r="G549" s="522"/>
      <c r="H549" s="522"/>
      <c r="I549" s="522"/>
      <c r="J549" s="522"/>
      <c r="K549" s="522"/>
      <c r="L549" s="522"/>
      <c r="M549" s="522"/>
      <c r="N549" s="522"/>
    </row>
    <row r="550">
      <c r="C550" s="522"/>
      <c r="D550" s="522"/>
      <c r="E550" s="522"/>
      <c r="F550" s="522"/>
      <c r="G550" s="522"/>
      <c r="H550" s="522"/>
      <c r="I550" s="522"/>
      <c r="J550" s="522"/>
      <c r="K550" s="522"/>
      <c r="L550" s="522"/>
      <c r="M550" s="522"/>
      <c r="N550" s="522"/>
    </row>
    <row r="551">
      <c r="C551" s="522"/>
      <c r="D551" s="522"/>
      <c r="E551" s="522"/>
      <c r="F551" s="522"/>
      <c r="G551" s="522"/>
      <c r="H551" s="522"/>
      <c r="I551" s="522"/>
      <c r="J551" s="522"/>
      <c r="K551" s="522"/>
      <c r="L551" s="522"/>
      <c r="M551" s="522"/>
      <c r="N551" s="522"/>
    </row>
    <row r="552">
      <c r="C552" s="522"/>
      <c r="D552" s="522"/>
      <c r="E552" s="522"/>
      <c r="F552" s="522"/>
      <c r="G552" s="522"/>
      <c r="H552" s="522"/>
      <c r="I552" s="522"/>
      <c r="J552" s="522"/>
      <c r="K552" s="522"/>
      <c r="L552" s="522"/>
      <c r="M552" s="522"/>
      <c r="N552" s="522"/>
    </row>
    <row r="553">
      <c r="C553" s="522"/>
      <c r="D553" s="522"/>
      <c r="E553" s="522"/>
      <c r="F553" s="522"/>
      <c r="G553" s="522"/>
      <c r="H553" s="522"/>
      <c r="I553" s="522"/>
      <c r="J553" s="522"/>
      <c r="K553" s="522"/>
      <c r="L553" s="522"/>
      <c r="M553" s="522"/>
      <c r="N553" s="522"/>
    </row>
    <row r="554">
      <c r="C554" s="522"/>
      <c r="D554" s="522"/>
      <c r="E554" s="522"/>
      <c r="F554" s="522"/>
      <c r="G554" s="522"/>
      <c r="H554" s="522"/>
      <c r="I554" s="522"/>
      <c r="J554" s="522"/>
      <c r="K554" s="522"/>
      <c r="L554" s="522"/>
      <c r="M554" s="522"/>
      <c r="N554" s="522"/>
    </row>
    <row r="555">
      <c r="C555" s="522"/>
      <c r="D555" s="522"/>
      <c r="E555" s="522"/>
      <c r="F555" s="522"/>
      <c r="G555" s="522"/>
      <c r="H555" s="522"/>
      <c r="I555" s="522"/>
      <c r="J555" s="522"/>
      <c r="K555" s="522"/>
      <c r="L555" s="522"/>
      <c r="M555" s="522"/>
      <c r="N555" s="522"/>
    </row>
    <row r="556">
      <c r="C556" s="522"/>
      <c r="D556" s="522"/>
      <c r="E556" s="522"/>
      <c r="F556" s="522"/>
      <c r="G556" s="522"/>
      <c r="H556" s="522"/>
      <c r="I556" s="522"/>
      <c r="J556" s="522"/>
      <c r="K556" s="522"/>
      <c r="L556" s="522"/>
      <c r="M556" s="522"/>
      <c r="N556" s="522"/>
    </row>
    <row r="557">
      <c r="C557" s="522"/>
      <c r="D557" s="522"/>
      <c r="E557" s="522"/>
      <c r="F557" s="522"/>
      <c r="G557" s="522"/>
      <c r="H557" s="522"/>
      <c r="I557" s="522"/>
      <c r="J557" s="522"/>
      <c r="K557" s="522"/>
      <c r="L557" s="522"/>
      <c r="M557" s="522"/>
      <c r="N557" s="522"/>
    </row>
    <row r="558">
      <c r="C558" s="522"/>
      <c r="D558" s="522"/>
      <c r="E558" s="522"/>
      <c r="F558" s="522"/>
      <c r="G558" s="522"/>
      <c r="H558" s="522"/>
      <c r="I558" s="522"/>
      <c r="J558" s="522"/>
      <c r="K558" s="522"/>
      <c r="L558" s="522"/>
      <c r="M558" s="522"/>
      <c r="N558" s="522"/>
    </row>
    <row r="559">
      <c r="C559" s="522"/>
      <c r="D559" s="522"/>
      <c r="E559" s="522"/>
      <c r="F559" s="522"/>
      <c r="G559" s="522"/>
      <c r="H559" s="522"/>
      <c r="I559" s="522"/>
      <c r="J559" s="522"/>
      <c r="K559" s="522"/>
      <c r="L559" s="522"/>
      <c r="M559" s="522"/>
      <c r="N559" s="522"/>
    </row>
    <row r="560">
      <c r="C560" s="522"/>
      <c r="D560" s="522"/>
      <c r="E560" s="522"/>
      <c r="F560" s="522"/>
      <c r="G560" s="522"/>
      <c r="H560" s="522"/>
      <c r="I560" s="522"/>
      <c r="J560" s="522"/>
      <c r="K560" s="522"/>
      <c r="L560" s="522"/>
      <c r="M560" s="522"/>
      <c r="N560" s="522"/>
    </row>
    <row r="561">
      <c r="C561" s="522"/>
      <c r="D561" s="522"/>
      <c r="E561" s="522"/>
      <c r="F561" s="522"/>
      <c r="G561" s="522"/>
      <c r="H561" s="522"/>
      <c r="I561" s="522"/>
      <c r="J561" s="522"/>
      <c r="K561" s="522"/>
      <c r="L561" s="522"/>
      <c r="M561" s="522"/>
      <c r="N561" s="522"/>
    </row>
    <row r="562">
      <c r="C562" s="522"/>
      <c r="D562" s="522"/>
      <c r="E562" s="522"/>
      <c r="F562" s="522"/>
      <c r="G562" s="522"/>
      <c r="H562" s="522"/>
      <c r="I562" s="522"/>
      <c r="J562" s="522"/>
      <c r="K562" s="522"/>
      <c r="L562" s="522"/>
      <c r="M562" s="522"/>
      <c r="N562" s="522"/>
    </row>
    <row r="563">
      <c r="C563" s="522"/>
      <c r="D563" s="522"/>
      <c r="E563" s="522"/>
      <c r="F563" s="522"/>
      <c r="G563" s="522"/>
      <c r="H563" s="522"/>
      <c r="I563" s="522"/>
      <c r="J563" s="522"/>
      <c r="K563" s="522"/>
      <c r="L563" s="522"/>
      <c r="M563" s="522"/>
      <c r="N563" s="522"/>
    </row>
    <row r="564">
      <c r="C564" s="522"/>
      <c r="D564" s="522"/>
      <c r="E564" s="522"/>
      <c r="F564" s="522"/>
      <c r="G564" s="522"/>
      <c r="H564" s="522"/>
      <c r="I564" s="522"/>
      <c r="J564" s="522"/>
      <c r="K564" s="522"/>
      <c r="L564" s="522"/>
      <c r="M564" s="522"/>
      <c r="N564" s="522"/>
    </row>
    <row r="565">
      <c r="C565" s="522"/>
      <c r="D565" s="522"/>
      <c r="E565" s="522"/>
      <c r="F565" s="522"/>
      <c r="G565" s="522"/>
      <c r="H565" s="522"/>
      <c r="I565" s="522"/>
      <c r="J565" s="522"/>
      <c r="K565" s="522"/>
      <c r="L565" s="522"/>
      <c r="M565" s="522"/>
      <c r="N565" s="522"/>
    </row>
    <row r="566">
      <c r="C566" s="522"/>
      <c r="D566" s="522"/>
      <c r="E566" s="522"/>
      <c r="F566" s="522"/>
      <c r="G566" s="522"/>
      <c r="H566" s="522"/>
      <c r="I566" s="522"/>
      <c r="J566" s="522"/>
      <c r="K566" s="522"/>
      <c r="L566" s="522"/>
      <c r="M566" s="522"/>
      <c r="N566" s="522"/>
    </row>
    <row r="567">
      <c r="C567" s="522"/>
      <c r="D567" s="522"/>
      <c r="E567" s="522"/>
      <c r="F567" s="522"/>
      <c r="G567" s="522"/>
      <c r="H567" s="522"/>
      <c r="I567" s="522"/>
      <c r="J567" s="522"/>
      <c r="K567" s="522"/>
      <c r="L567" s="522"/>
      <c r="M567" s="522"/>
      <c r="N567" s="522"/>
    </row>
    <row r="568">
      <c r="C568" s="522"/>
      <c r="D568" s="522"/>
      <c r="E568" s="522"/>
      <c r="F568" s="522"/>
      <c r="G568" s="522"/>
      <c r="H568" s="522"/>
      <c r="I568" s="522"/>
      <c r="J568" s="522"/>
      <c r="K568" s="522"/>
      <c r="L568" s="522"/>
      <c r="M568" s="522"/>
      <c r="N568" s="522"/>
    </row>
    <row r="569">
      <c r="C569" s="522"/>
      <c r="D569" s="522"/>
      <c r="E569" s="522"/>
      <c r="F569" s="522"/>
      <c r="G569" s="522"/>
      <c r="H569" s="522"/>
      <c r="I569" s="522"/>
      <c r="J569" s="522"/>
      <c r="K569" s="522"/>
      <c r="L569" s="522"/>
      <c r="M569" s="522"/>
      <c r="N569" s="522"/>
    </row>
    <row r="570">
      <c r="C570" s="522"/>
      <c r="D570" s="522"/>
      <c r="E570" s="522"/>
      <c r="F570" s="522"/>
      <c r="G570" s="522"/>
      <c r="H570" s="522"/>
      <c r="I570" s="522"/>
      <c r="J570" s="522"/>
      <c r="K570" s="522"/>
      <c r="L570" s="522"/>
      <c r="M570" s="522"/>
      <c r="N570" s="522"/>
    </row>
    <row r="571">
      <c r="C571" s="522"/>
      <c r="D571" s="522"/>
      <c r="E571" s="522"/>
      <c r="F571" s="522"/>
      <c r="G571" s="522"/>
      <c r="H571" s="522"/>
      <c r="I571" s="522"/>
      <c r="J571" s="522"/>
      <c r="K571" s="522"/>
      <c r="L571" s="522"/>
      <c r="M571" s="522"/>
      <c r="N571" s="522"/>
    </row>
    <row r="572">
      <c r="C572" s="522"/>
      <c r="D572" s="522"/>
      <c r="E572" s="522"/>
      <c r="F572" s="522"/>
      <c r="G572" s="522"/>
      <c r="H572" s="522"/>
      <c r="I572" s="522"/>
      <c r="J572" s="522"/>
      <c r="K572" s="522"/>
      <c r="L572" s="522"/>
      <c r="M572" s="522"/>
      <c r="N572" s="522"/>
    </row>
    <row r="573">
      <c r="C573" s="522"/>
      <c r="D573" s="522"/>
      <c r="E573" s="522"/>
      <c r="F573" s="522"/>
      <c r="G573" s="522"/>
      <c r="H573" s="522"/>
      <c r="I573" s="522"/>
      <c r="J573" s="522"/>
      <c r="K573" s="522"/>
      <c r="L573" s="522"/>
      <c r="M573" s="522"/>
      <c r="N573" s="522"/>
    </row>
    <row r="574">
      <c r="C574" s="522"/>
      <c r="D574" s="522"/>
      <c r="E574" s="522"/>
      <c r="F574" s="522"/>
      <c r="G574" s="522"/>
      <c r="H574" s="522"/>
      <c r="I574" s="522"/>
      <c r="J574" s="522"/>
      <c r="K574" s="522"/>
      <c r="L574" s="522"/>
      <c r="M574" s="522"/>
      <c r="N574" s="522"/>
    </row>
    <row r="575">
      <c r="C575" s="522"/>
      <c r="D575" s="522"/>
      <c r="E575" s="522"/>
      <c r="F575" s="522"/>
      <c r="G575" s="522"/>
      <c r="H575" s="522"/>
      <c r="I575" s="522"/>
      <c r="J575" s="522"/>
      <c r="K575" s="522"/>
      <c r="L575" s="522"/>
      <c r="M575" s="522"/>
      <c r="N575" s="522"/>
    </row>
    <row r="576">
      <c r="C576" s="522"/>
      <c r="D576" s="522"/>
      <c r="E576" s="522"/>
      <c r="F576" s="522"/>
      <c r="G576" s="522"/>
      <c r="H576" s="522"/>
      <c r="I576" s="522"/>
      <c r="J576" s="522"/>
      <c r="K576" s="522"/>
      <c r="L576" s="522"/>
      <c r="M576" s="522"/>
      <c r="N576" s="522"/>
    </row>
    <row r="577">
      <c r="C577" s="522"/>
      <c r="D577" s="522"/>
      <c r="E577" s="522"/>
      <c r="F577" s="522"/>
      <c r="G577" s="522"/>
      <c r="H577" s="522"/>
      <c r="I577" s="522"/>
      <c r="J577" s="522"/>
      <c r="K577" s="522"/>
      <c r="L577" s="522"/>
      <c r="M577" s="522"/>
      <c r="N577" s="522"/>
    </row>
    <row r="578">
      <c r="C578" s="522"/>
      <c r="D578" s="522"/>
      <c r="E578" s="522"/>
      <c r="F578" s="522"/>
      <c r="G578" s="522"/>
      <c r="H578" s="522"/>
      <c r="I578" s="522"/>
      <c r="J578" s="522"/>
      <c r="K578" s="522"/>
      <c r="L578" s="522"/>
      <c r="M578" s="522"/>
      <c r="N578" s="522"/>
    </row>
    <row r="579">
      <c r="C579" s="522"/>
      <c r="D579" s="522"/>
      <c r="E579" s="522"/>
      <c r="F579" s="522"/>
      <c r="G579" s="522"/>
      <c r="H579" s="522"/>
      <c r="I579" s="522"/>
      <c r="J579" s="522"/>
      <c r="K579" s="522"/>
      <c r="L579" s="522"/>
      <c r="M579" s="522"/>
      <c r="N579" s="522"/>
    </row>
    <row r="580">
      <c r="C580" s="522"/>
      <c r="D580" s="522"/>
      <c r="E580" s="522"/>
      <c r="F580" s="522"/>
      <c r="G580" s="522"/>
      <c r="H580" s="522"/>
      <c r="I580" s="522"/>
      <c r="J580" s="522"/>
      <c r="K580" s="522"/>
      <c r="L580" s="522"/>
      <c r="M580" s="522"/>
      <c r="N580" s="522"/>
    </row>
    <row r="581">
      <c r="C581" s="522"/>
      <c r="D581" s="522"/>
      <c r="E581" s="522"/>
      <c r="F581" s="522"/>
      <c r="G581" s="522"/>
      <c r="H581" s="522"/>
      <c r="I581" s="522"/>
      <c r="J581" s="522"/>
      <c r="K581" s="522"/>
      <c r="L581" s="522"/>
      <c r="M581" s="522"/>
      <c r="N581" s="522"/>
    </row>
    <row r="582">
      <c r="C582" s="522"/>
      <c r="D582" s="522"/>
      <c r="E582" s="522"/>
      <c r="F582" s="522"/>
      <c r="G582" s="522"/>
      <c r="H582" s="522"/>
      <c r="I582" s="522"/>
      <c r="J582" s="522"/>
      <c r="K582" s="522"/>
      <c r="L582" s="522"/>
      <c r="M582" s="522"/>
      <c r="N582" s="522"/>
    </row>
    <row r="583">
      <c r="C583" s="522"/>
      <c r="D583" s="522"/>
      <c r="E583" s="522"/>
      <c r="F583" s="522"/>
      <c r="G583" s="522"/>
      <c r="H583" s="522"/>
      <c r="I583" s="522"/>
      <c r="J583" s="522"/>
      <c r="K583" s="522"/>
      <c r="L583" s="522"/>
      <c r="M583" s="522"/>
      <c r="N583" s="522"/>
    </row>
    <row r="584">
      <c r="C584" s="522"/>
      <c r="D584" s="522"/>
      <c r="E584" s="522"/>
      <c r="F584" s="522"/>
      <c r="G584" s="522"/>
      <c r="H584" s="522"/>
      <c r="I584" s="522"/>
      <c r="J584" s="522"/>
      <c r="K584" s="522"/>
      <c r="L584" s="522"/>
      <c r="M584" s="522"/>
      <c r="N584" s="522"/>
    </row>
    <row r="585">
      <c r="C585" s="522"/>
      <c r="D585" s="522"/>
      <c r="E585" s="522"/>
      <c r="F585" s="522"/>
      <c r="G585" s="522"/>
      <c r="H585" s="522"/>
      <c r="I585" s="522"/>
      <c r="J585" s="522"/>
      <c r="K585" s="522"/>
      <c r="L585" s="522"/>
      <c r="M585" s="522"/>
      <c r="N585" s="522"/>
    </row>
    <row r="586">
      <c r="C586" s="522"/>
      <c r="D586" s="522"/>
      <c r="E586" s="522"/>
      <c r="F586" s="522"/>
      <c r="G586" s="522"/>
      <c r="H586" s="522"/>
      <c r="I586" s="522"/>
      <c r="J586" s="522"/>
      <c r="K586" s="522"/>
      <c r="L586" s="522"/>
      <c r="M586" s="522"/>
      <c r="N586" s="522"/>
    </row>
    <row r="587">
      <c r="C587" s="522"/>
      <c r="D587" s="522"/>
      <c r="E587" s="522"/>
      <c r="F587" s="522"/>
      <c r="G587" s="522"/>
      <c r="H587" s="522"/>
      <c r="I587" s="522"/>
      <c r="J587" s="522"/>
      <c r="K587" s="522"/>
      <c r="L587" s="522"/>
      <c r="M587" s="522"/>
      <c r="N587" s="522"/>
    </row>
    <row r="588">
      <c r="C588" s="522"/>
      <c r="D588" s="522"/>
      <c r="E588" s="522"/>
      <c r="F588" s="522"/>
      <c r="G588" s="522"/>
      <c r="H588" s="522"/>
      <c r="I588" s="522"/>
      <c r="J588" s="522"/>
      <c r="K588" s="522"/>
      <c r="L588" s="522"/>
      <c r="M588" s="522"/>
      <c r="N588" s="522"/>
    </row>
    <row r="589">
      <c r="C589" s="522"/>
      <c r="D589" s="522"/>
      <c r="E589" s="522"/>
      <c r="F589" s="522"/>
      <c r="G589" s="522"/>
      <c r="H589" s="522"/>
      <c r="I589" s="522"/>
      <c r="J589" s="522"/>
      <c r="K589" s="522"/>
      <c r="L589" s="522"/>
      <c r="M589" s="522"/>
      <c r="N589" s="522"/>
    </row>
    <row r="590">
      <c r="C590" s="522"/>
      <c r="D590" s="522"/>
      <c r="E590" s="522"/>
      <c r="F590" s="522"/>
      <c r="G590" s="522"/>
      <c r="H590" s="522"/>
      <c r="I590" s="522"/>
      <c r="J590" s="522"/>
      <c r="K590" s="522"/>
      <c r="L590" s="522"/>
      <c r="M590" s="522"/>
      <c r="N590" s="522"/>
    </row>
    <row r="591">
      <c r="C591" s="522"/>
      <c r="D591" s="522"/>
      <c r="E591" s="522"/>
      <c r="F591" s="522"/>
      <c r="G591" s="522"/>
      <c r="H591" s="522"/>
      <c r="I591" s="522"/>
      <c r="J591" s="522"/>
      <c r="K591" s="522"/>
      <c r="L591" s="522"/>
      <c r="M591" s="522"/>
      <c r="N591" s="522"/>
    </row>
    <row r="592">
      <c r="C592" s="522"/>
      <c r="D592" s="522"/>
      <c r="E592" s="522"/>
      <c r="F592" s="522"/>
      <c r="G592" s="522"/>
      <c r="H592" s="522"/>
      <c r="I592" s="522"/>
      <c r="J592" s="522"/>
      <c r="K592" s="522"/>
      <c r="L592" s="522"/>
      <c r="M592" s="522"/>
      <c r="N592" s="522"/>
    </row>
    <row r="593">
      <c r="C593" s="522"/>
      <c r="D593" s="522"/>
      <c r="E593" s="522"/>
      <c r="F593" s="522"/>
      <c r="G593" s="522"/>
      <c r="H593" s="522"/>
      <c r="I593" s="522"/>
      <c r="J593" s="522"/>
      <c r="K593" s="522"/>
      <c r="L593" s="522"/>
      <c r="M593" s="522"/>
      <c r="N593" s="522"/>
    </row>
    <row r="594">
      <c r="C594" s="522"/>
      <c r="D594" s="522"/>
      <c r="E594" s="522"/>
      <c r="F594" s="522"/>
      <c r="G594" s="522"/>
      <c r="H594" s="522"/>
      <c r="I594" s="522"/>
      <c r="J594" s="522"/>
      <c r="K594" s="522"/>
      <c r="L594" s="522"/>
      <c r="M594" s="522"/>
      <c r="N594" s="522"/>
    </row>
    <row r="595">
      <c r="C595" s="522"/>
      <c r="D595" s="522"/>
      <c r="E595" s="522"/>
      <c r="F595" s="522"/>
      <c r="G595" s="522"/>
      <c r="H595" s="522"/>
      <c r="I595" s="522"/>
      <c r="J595" s="522"/>
      <c r="K595" s="522"/>
      <c r="L595" s="522"/>
      <c r="M595" s="522"/>
      <c r="N595" s="522"/>
    </row>
    <row r="596">
      <c r="C596" s="522"/>
      <c r="D596" s="522"/>
      <c r="E596" s="522"/>
      <c r="F596" s="522"/>
      <c r="G596" s="522"/>
      <c r="H596" s="522"/>
      <c r="I596" s="522"/>
      <c r="J596" s="522"/>
      <c r="K596" s="522"/>
      <c r="L596" s="522"/>
      <c r="M596" s="522"/>
      <c r="N596" s="522"/>
    </row>
    <row r="597">
      <c r="C597" s="522"/>
      <c r="D597" s="522"/>
      <c r="E597" s="522"/>
      <c r="F597" s="522"/>
      <c r="G597" s="522"/>
      <c r="H597" s="522"/>
      <c r="I597" s="522"/>
      <c r="J597" s="522"/>
      <c r="K597" s="522"/>
      <c r="L597" s="522"/>
      <c r="M597" s="522"/>
      <c r="N597" s="522"/>
    </row>
    <row r="598">
      <c r="C598" s="522"/>
      <c r="D598" s="522"/>
      <c r="E598" s="522"/>
      <c r="F598" s="522"/>
      <c r="G598" s="522"/>
      <c r="H598" s="522"/>
      <c r="I598" s="522"/>
      <c r="J598" s="522"/>
      <c r="K598" s="522"/>
      <c r="L598" s="522"/>
      <c r="M598" s="522"/>
      <c r="N598" s="522"/>
    </row>
    <row r="599">
      <c r="C599" s="522"/>
      <c r="D599" s="522"/>
      <c r="E599" s="522"/>
      <c r="F599" s="522"/>
      <c r="G599" s="522"/>
      <c r="H599" s="522"/>
      <c r="I599" s="522"/>
      <c r="J599" s="522"/>
      <c r="K599" s="522"/>
      <c r="L599" s="522"/>
      <c r="M599" s="522"/>
      <c r="N599" s="522"/>
    </row>
    <row r="600">
      <c r="C600" s="522"/>
      <c r="D600" s="522"/>
      <c r="E600" s="522"/>
      <c r="F600" s="522"/>
      <c r="G600" s="522"/>
      <c r="H600" s="522"/>
      <c r="I600" s="522"/>
      <c r="J600" s="522"/>
      <c r="K600" s="522"/>
      <c r="L600" s="522"/>
      <c r="M600" s="522"/>
      <c r="N600" s="522"/>
    </row>
    <row r="601">
      <c r="C601" s="522"/>
      <c r="D601" s="522"/>
      <c r="E601" s="522"/>
      <c r="F601" s="522"/>
      <c r="G601" s="522"/>
      <c r="H601" s="522"/>
      <c r="I601" s="522"/>
      <c r="J601" s="522"/>
      <c r="K601" s="522"/>
      <c r="L601" s="522"/>
      <c r="M601" s="522"/>
      <c r="N601" s="522"/>
    </row>
    <row r="602">
      <c r="C602" s="522"/>
      <c r="D602" s="522"/>
      <c r="E602" s="522"/>
      <c r="F602" s="522"/>
      <c r="G602" s="522"/>
      <c r="H602" s="522"/>
      <c r="I602" s="522"/>
      <c r="J602" s="522"/>
      <c r="K602" s="522"/>
      <c r="L602" s="522"/>
      <c r="M602" s="522"/>
      <c r="N602" s="522"/>
    </row>
    <row r="603">
      <c r="C603" s="522"/>
      <c r="D603" s="522"/>
      <c r="E603" s="522"/>
      <c r="F603" s="522"/>
      <c r="G603" s="522"/>
      <c r="H603" s="522"/>
      <c r="I603" s="522"/>
      <c r="J603" s="522"/>
      <c r="K603" s="522"/>
      <c r="L603" s="522"/>
      <c r="M603" s="522"/>
      <c r="N603" s="522"/>
    </row>
    <row r="604">
      <c r="C604" s="522"/>
      <c r="D604" s="522"/>
      <c r="E604" s="522"/>
      <c r="F604" s="522"/>
      <c r="G604" s="522"/>
      <c r="H604" s="522"/>
      <c r="I604" s="522"/>
      <c r="J604" s="522"/>
      <c r="K604" s="522"/>
      <c r="L604" s="522"/>
      <c r="M604" s="522"/>
      <c r="N604" s="522"/>
    </row>
    <row r="605">
      <c r="C605" s="522"/>
      <c r="D605" s="522"/>
      <c r="E605" s="522"/>
      <c r="F605" s="522"/>
      <c r="G605" s="522"/>
      <c r="H605" s="522"/>
      <c r="I605" s="522"/>
      <c r="J605" s="522"/>
      <c r="K605" s="522"/>
      <c r="L605" s="522"/>
      <c r="M605" s="522"/>
      <c r="N605" s="522"/>
    </row>
    <row r="606">
      <c r="C606" s="522"/>
      <c r="D606" s="522"/>
      <c r="E606" s="522"/>
      <c r="F606" s="522"/>
      <c r="G606" s="522"/>
      <c r="H606" s="522"/>
      <c r="I606" s="522"/>
      <c r="J606" s="522"/>
      <c r="K606" s="522"/>
      <c r="L606" s="522"/>
      <c r="M606" s="522"/>
      <c r="N606" s="522"/>
    </row>
    <row r="607">
      <c r="C607" s="522"/>
      <c r="D607" s="522"/>
      <c r="E607" s="522"/>
      <c r="F607" s="522"/>
      <c r="G607" s="522"/>
      <c r="H607" s="522"/>
      <c r="I607" s="522"/>
      <c r="J607" s="522"/>
      <c r="K607" s="522"/>
      <c r="L607" s="522"/>
      <c r="M607" s="522"/>
      <c r="N607" s="522"/>
    </row>
    <row r="608">
      <c r="C608" s="522"/>
      <c r="D608" s="522"/>
      <c r="E608" s="522"/>
      <c r="F608" s="522"/>
      <c r="G608" s="522"/>
      <c r="H608" s="522"/>
      <c r="I608" s="522"/>
      <c r="J608" s="522"/>
      <c r="K608" s="522"/>
      <c r="L608" s="522"/>
      <c r="M608" s="522"/>
      <c r="N608" s="522"/>
    </row>
    <row r="609">
      <c r="C609" s="522"/>
      <c r="D609" s="522"/>
      <c r="E609" s="522"/>
      <c r="F609" s="522"/>
      <c r="G609" s="522"/>
      <c r="H609" s="522"/>
      <c r="I609" s="522"/>
      <c r="J609" s="522"/>
      <c r="K609" s="522"/>
      <c r="L609" s="522"/>
      <c r="M609" s="522"/>
      <c r="N609" s="522"/>
    </row>
    <row r="610">
      <c r="C610" s="522"/>
      <c r="D610" s="522"/>
      <c r="E610" s="522"/>
      <c r="F610" s="522"/>
      <c r="G610" s="522"/>
      <c r="H610" s="522"/>
      <c r="I610" s="522"/>
      <c r="J610" s="522"/>
      <c r="K610" s="522"/>
      <c r="L610" s="522"/>
      <c r="M610" s="522"/>
      <c r="N610" s="522"/>
    </row>
    <row r="611">
      <c r="C611" s="522"/>
      <c r="D611" s="522"/>
      <c r="E611" s="522"/>
      <c r="F611" s="522"/>
      <c r="G611" s="522"/>
      <c r="H611" s="522"/>
      <c r="I611" s="522"/>
      <c r="J611" s="522"/>
      <c r="K611" s="522"/>
      <c r="L611" s="522"/>
      <c r="M611" s="522"/>
      <c r="N611" s="522"/>
    </row>
    <row r="612">
      <c r="C612" s="522"/>
      <c r="D612" s="522"/>
      <c r="E612" s="522"/>
      <c r="F612" s="522"/>
      <c r="G612" s="522"/>
      <c r="H612" s="522"/>
      <c r="I612" s="522"/>
      <c r="J612" s="522"/>
      <c r="K612" s="522"/>
      <c r="L612" s="522"/>
      <c r="M612" s="522"/>
      <c r="N612" s="522"/>
    </row>
    <row r="613">
      <c r="C613" s="522"/>
      <c r="D613" s="522"/>
      <c r="E613" s="522"/>
      <c r="F613" s="522"/>
      <c r="G613" s="522"/>
      <c r="H613" s="522"/>
      <c r="I613" s="522"/>
      <c r="J613" s="522"/>
      <c r="K613" s="522"/>
      <c r="L613" s="522"/>
      <c r="M613" s="522"/>
      <c r="N613" s="522"/>
    </row>
    <row r="614">
      <c r="C614" s="522"/>
      <c r="D614" s="522"/>
      <c r="E614" s="522"/>
      <c r="F614" s="522"/>
      <c r="G614" s="522"/>
      <c r="H614" s="522"/>
      <c r="I614" s="522"/>
      <c r="J614" s="522"/>
      <c r="K614" s="522"/>
      <c r="L614" s="522"/>
      <c r="M614" s="522"/>
      <c r="N614" s="522"/>
    </row>
    <row r="615">
      <c r="C615" s="522"/>
      <c r="D615" s="522"/>
      <c r="E615" s="522"/>
      <c r="F615" s="522"/>
      <c r="G615" s="522"/>
      <c r="H615" s="522"/>
      <c r="I615" s="522"/>
      <c r="J615" s="522"/>
      <c r="K615" s="522"/>
      <c r="L615" s="522"/>
      <c r="M615" s="522"/>
      <c r="N615" s="522"/>
    </row>
    <row r="616">
      <c r="C616" s="522"/>
      <c r="D616" s="522"/>
      <c r="E616" s="522"/>
      <c r="F616" s="522"/>
      <c r="G616" s="522"/>
      <c r="H616" s="522"/>
      <c r="I616" s="522"/>
      <c r="J616" s="522"/>
      <c r="K616" s="522"/>
      <c r="L616" s="522"/>
      <c r="M616" s="522"/>
      <c r="N616" s="522"/>
    </row>
    <row r="617">
      <c r="C617" s="522"/>
      <c r="D617" s="522"/>
      <c r="E617" s="522"/>
      <c r="F617" s="522"/>
      <c r="G617" s="522"/>
      <c r="H617" s="522"/>
      <c r="I617" s="522"/>
      <c r="J617" s="522"/>
      <c r="K617" s="522"/>
      <c r="L617" s="522"/>
      <c r="M617" s="522"/>
      <c r="N617" s="522"/>
    </row>
    <row r="618">
      <c r="C618" s="522"/>
      <c r="D618" s="522"/>
      <c r="E618" s="522"/>
      <c r="F618" s="522"/>
      <c r="G618" s="522"/>
      <c r="H618" s="522"/>
      <c r="I618" s="522"/>
      <c r="J618" s="522"/>
      <c r="K618" s="522"/>
      <c r="L618" s="522"/>
      <c r="M618" s="522"/>
      <c r="N618" s="522"/>
    </row>
    <row r="619">
      <c r="C619" s="522"/>
      <c r="D619" s="522"/>
      <c r="E619" s="522"/>
      <c r="F619" s="522"/>
      <c r="G619" s="522"/>
      <c r="H619" s="522"/>
      <c r="I619" s="522"/>
      <c r="J619" s="522"/>
      <c r="K619" s="522"/>
      <c r="L619" s="522"/>
      <c r="M619" s="522"/>
      <c r="N619" s="522"/>
    </row>
    <row r="620">
      <c r="C620" s="522"/>
      <c r="D620" s="522"/>
      <c r="E620" s="522"/>
      <c r="F620" s="522"/>
      <c r="G620" s="522"/>
      <c r="H620" s="522"/>
      <c r="I620" s="522"/>
      <c r="J620" s="522"/>
      <c r="K620" s="522"/>
      <c r="L620" s="522"/>
      <c r="M620" s="522"/>
      <c r="N620" s="522"/>
    </row>
    <row r="621">
      <c r="C621" s="522"/>
      <c r="D621" s="522"/>
      <c r="E621" s="522"/>
      <c r="F621" s="522"/>
      <c r="G621" s="522"/>
      <c r="H621" s="522"/>
      <c r="I621" s="522"/>
      <c r="J621" s="522"/>
      <c r="K621" s="522"/>
      <c r="L621" s="522"/>
      <c r="M621" s="522"/>
      <c r="N621" s="522"/>
    </row>
    <row r="622">
      <c r="C622" s="522"/>
      <c r="D622" s="522"/>
      <c r="E622" s="522"/>
      <c r="F622" s="522"/>
      <c r="G622" s="522"/>
      <c r="H622" s="522"/>
      <c r="I622" s="522"/>
      <c r="J622" s="522"/>
      <c r="K622" s="522"/>
      <c r="L622" s="522"/>
      <c r="M622" s="522"/>
      <c r="N622" s="522"/>
    </row>
    <row r="623">
      <c r="C623" s="522"/>
      <c r="D623" s="522"/>
      <c r="E623" s="522"/>
      <c r="F623" s="522"/>
      <c r="G623" s="522"/>
      <c r="H623" s="522"/>
      <c r="I623" s="522"/>
      <c r="J623" s="522"/>
      <c r="K623" s="522"/>
      <c r="L623" s="522"/>
      <c r="M623" s="522"/>
      <c r="N623" s="522"/>
    </row>
    <row r="624">
      <c r="C624" s="522"/>
      <c r="D624" s="522"/>
      <c r="E624" s="522"/>
      <c r="F624" s="522"/>
      <c r="G624" s="522"/>
      <c r="H624" s="522"/>
      <c r="I624" s="522"/>
      <c r="J624" s="522"/>
      <c r="K624" s="522"/>
      <c r="L624" s="522"/>
      <c r="M624" s="522"/>
      <c r="N624" s="522"/>
    </row>
    <row r="625">
      <c r="C625" s="522"/>
      <c r="D625" s="522"/>
      <c r="E625" s="522"/>
      <c r="F625" s="522"/>
      <c r="G625" s="522"/>
      <c r="H625" s="522"/>
      <c r="I625" s="522"/>
      <c r="J625" s="522"/>
      <c r="K625" s="522"/>
      <c r="L625" s="522"/>
      <c r="M625" s="522"/>
      <c r="N625" s="522"/>
    </row>
    <row r="626">
      <c r="C626" s="522"/>
      <c r="D626" s="522"/>
      <c r="E626" s="522"/>
      <c r="F626" s="522"/>
      <c r="G626" s="522"/>
      <c r="H626" s="522"/>
      <c r="I626" s="522"/>
      <c r="J626" s="522"/>
      <c r="K626" s="522"/>
      <c r="L626" s="522"/>
      <c r="M626" s="522"/>
      <c r="N626" s="522"/>
    </row>
    <row r="627">
      <c r="C627" s="522"/>
      <c r="D627" s="522"/>
      <c r="E627" s="522"/>
      <c r="F627" s="522"/>
      <c r="G627" s="522"/>
      <c r="H627" s="522"/>
      <c r="I627" s="522"/>
      <c r="J627" s="522"/>
      <c r="K627" s="522"/>
      <c r="L627" s="522"/>
      <c r="M627" s="522"/>
      <c r="N627" s="522"/>
    </row>
    <row r="628">
      <c r="C628" s="522"/>
      <c r="D628" s="522"/>
      <c r="E628" s="522"/>
      <c r="F628" s="522"/>
      <c r="G628" s="522"/>
      <c r="H628" s="522"/>
      <c r="I628" s="522"/>
      <c r="J628" s="522"/>
      <c r="K628" s="522"/>
      <c r="L628" s="522"/>
      <c r="M628" s="522"/>
      <c r="N628" s="522"/>
    </row>
    <row r="629">
      <c r="C629" s="522"/>
      <c r="D629" s="522"/>
      <c r="E629" s="522"/>
      <c r="F629" s="522"/>
      <c r="G629" s="522"/>
      <c r="H629" s="522"/>
      <c r="I629" s="522"/>
      <c r="J629" s="522"/>
      <c r="K629" s="522"/>
      <c r="L629" s="522"/>
      <c r="M629" s="522"/>
      <c r="N629" s="522"/>
    </row>
    <row r="630">
      <c r="C630" s="522"/>
      <c r="D630" s="522"/>
      <c r="E630" s="522"/>
      <c r="F630" s="522"/>
      <c r="G630" s="522"/>
      <c r="H630" s="522"/>
      <c r="I630" s="522"/>
      <c r="J630" s="522"/>
      <c r="K630" s="522"/>
      <c r="L630" s="522"/>
      <c r="M630" s="522"/>
      <c r="N630" s="522"/>
    </row>
    <row r="631">
      <c r="C631" s="522"/>
      <c r="D631" s="522"/>
      <c r="E631" s="522"/>
      <c r="F631" s="522"/>
      <c r="G631" s="522"/>
      <c r="H631" s="522"/>
      <c r="I631" s="522"/>
      <c r="J631" s="522"/>
      <c r="K631" s="522"/>
      <c r="L631" s="522"/>
      <c r="M631" s="522"/>
      <c r="N631" s="522"/>
    </row>
    <row r="632">
      <c r="C632" s="522"/>
      <c r="D632" s="522"/>
      <c r="E632" s="522"/>
      <c r="F632" s="522"/>
      <c r="G632" s="522"/>
      <c r="H632" s="522"/>
      <c r="I632" s="522"/>
      <c r="J632" s="522"/>
      <c r="K632" s="522"/>
      <c r="L632" s="522"/>
      <c r="M632" s="522"/>
      <c r="N632" s="522"/>
    </row>
    <row r="633">
      <c r="C633" s="522"/>
      <c r="D633" s="522"/>
      <c r="E633" s="522"/>
      <c r="F633" s="522"/>
      <c r="G633" s="522"/>
      <c r="H633" s="522"/>
      <c r="I633" s="522"/>
      <c r="J633" s="522"/>
      <c r="K633" s="522"/>
      <c r="L633" s="522"/>
      <c r="M633" s="522"/>
      <c r="N633" s="522"/>
    </row>
    <row r="634">
      <c r="C634" s="522"/>
      <c r="D634" s="522"/>
      <c r="E634" s="522"/>
      <c r="F634" s="522"/>
      <c r="G634" s="522"/>
      <c r="H634" s="522"/>
      <c r="I634" s="522"/>
      <c r="J634" s="522"/>
      <c r="K634" s="522"/>
      <c r="L634" s="522"/>
      <c r="M634" s="522"/>
      <c r="N634" s="522"/>
    </row>
    <row r="635">
      <c r="C635" s="522"/>
      <c r="D635" s="522"/>
      <c r="E635" s="522"/>
      <c r="F635" s="522"/>
      <c r="G635" s="522"/>
      <c r="H635" s="522"/>
      <c r="I635" s="522"/>
      <c r="J635" s="522"/>
      <c r="K635" s="522"/>
      <c r="L635" s="522"/>
      <c r="M635" s="522"/>
      <c r="N635" s="522"/>
    </row>
    <row r="636">
      <c r="C636" s="522"/>
      <c r="D636" s="522"/>
      <c r="E636" s="522"/>
      <c r="F636" s="522"/>
      <c r="G636" s="522"/>
      <c r="H636" s="522"/>
      <c r="I636" s="522"/>
      <c r="J636" s="522"/>
      <c r="K636" s="522"/>
      <c r="L636" s="522"/>
      <c r="M636" s="522"/>
      <c r="N636" s="522"/>
    </row>
    <row r="637">
      <c r="C637" s="522"/>
      <c r="D637" s="522"/>
      <c r="E637" s="522"/>
      <c r="F637" s="522"/>
      <c r="G637" s="522"/>
      <c r="H637" s="522"/>
      <c r="I637" s="522"/>
      <c r="J637" s="522"/>
      <c r="K637" s="522"/>
      <c r="L637" s="522"/>
      <c r="M637" s="522"/>
      <c r="N637" s="522"/>
    </row>
    <row r="638">
      <c r="C638" s="522"/>
      <c r="D638" s="522"/>
      <c r="E638" s="522"/>
      <c r="F638" s="522"/>
      <c r="G638" s="522"/>
      <c r="H638" s="522"/>
      <c r="I638" s="522"/>
      <c r="J638" s="522"/>
      <c r="K638" s="522"/>
      <c r="L638" s="522"/>
      <c r="M638" s="522"/>
      <c r="N638" s="522"/>
    </row>
    <row r="639">
      <c r="C639" s="522"/>
      <c r="D639" s="522"/>
      <c r="E639" s="522"/>
      <c r="F639" s="522"/>
      <c r="G639" s="522"/>
      <c r="H639" s="522"/>
      <c r="I639" s="522"/>
      <c r="J639" s="522"/>
      <c r="K639" s="522"/>
      <c r="L639" s="522"/>
      <c r="M639" s="522"/>
      <c r="N639" s="522"/>
    </row>
    <row r="640">
      <c r="C640" s="522"/>
      <c r="D640" s="522"/>
      <c r="E640" s="522"/>
      <c r="F640" s="522"/>
      <c r="G640" s="522"/>
      <c r="H640" s="522"/>
      <c r="I640" s="522"/>
      <c r="J640" s="522"/>
      <c r="K640" s="522"/>
      <c r="L640" s="522"/>
      <c r="M640" s="522"/>
      <c r="N640" s="522"/>
    </row>
    <row r="641">
      <c r="C641" s="522"/>
      <c r="D641" s="522"/>
      <c r="E641" s="522"/>
      <c r="F641" s="522"/>
      <c r="G641" s="522"/>
      <c r="H641" s="522"/>
      <c r="I641" s="522"/>
      <c r="J641" s="522"/>
      <c r="K641" s="522"/>
      <c r="L641" s="522"/>
      <c r="M641" s="522"/>
      <c r="N641" s="522"/>
    </row>
    <row r="642">
      <c r="C642" s="522"/>
      <c r="D642" s="522"/>
      <c r="E642" s="522"/>
      <c r="F642" s="522"/>
      <c r="G642" s="522"/>
      <c r="H642" s="522"/>
      <c r="I642" s="522"/>
      <c r="J642" s="522"/>
      <c r="K642" s="522"/>
      <c r="L642" s="522"/>
      <c r="M642" s="522"/>
      <c r="N642" s="522"/>
    </row>
    <row r="643">
      <c r="C643" s="522"/>
      <c r="D643" s="522"/>
      <c r="E643" s="522"/>
      <c r="F643" s="522"/>
      <c r="G643" s="522"/>
      <c r="H643" s="522"/>
      <c r="I643" s="522"/>
      <c r="J643" s="522"/>
      <c r="K643" s="522"/>
      <c r="L643" s="522"/>
      <c r="M643" s="522"/>
      <c r="N643" s="522"/>
    </row>
    <row r="644">
      <c r="C644" s="522"/>
      <c r="D644" s="522"/>
      <c r="E644" s="522"/>
      <c r="F644" s="522"/>
      <c r="G644" s="522"/>
      <c r="H644" s="522"/>
      <c r="I644" s="522"/>
      <c r="J644" s="522"/>
      <c r="K644" s="522"/>
      <c r="L644" s="522"/>
      <c r="M644" s="522"/>
      <c r="N644" s="522"/>
    </row>
    <row r="645">
      <c r="C645" s="522"/>
      <c r="D645" s="522"/>
      <c r="E645" s="522"/>
      <c r="F645" s="522"/>
      <c r="G645" s="522"/>
      <c r="H645" s="522"/>
      <c r="I645" s="522"/>
      <c r="J645" s="522"/>
      <c r="K645" s="522"/>
      <c r="L645" s="522"/>
      <c r="M645" s="522"/>
      <c r="N645" s="522"/>
    </row>
    <row r="646">
      <c r="C646" s="522"/>
      <c r="D646" s="522"/>
      <c r="E646" s="522"/>
      <c r="F646" s="522"/>
      <c r="G646" s="522"/>
      <c r="H646" s="522"/>
      <c r="I646" s="522"/>
      <c r="J646" s="522"/>
      <c r="K646" s="522"/>
      <c r="L646" s="522"/>
      <c r="M646" s="522"/>
      <c r="N646" s="522"/>
    </row>
    <row r="647">
      <c r="C647" s="522"/>
      <c r="D647" s="522"/>
      <c r="E647" s="522"/>
      <c r="F647" s="522"/>
      <c r="G647" s="522"/>
      <c r="H647" s="522"/>
      <c r="I647" s="522"/>
      <c r="J647" s="522"/>
      <c r="K647" s="522"/>
      <c r="L647" s="522"/>
      <c r="M647" s="522"/>
      <c r="N647" s="522"/>
    </row>
    <row r="648">
      <c r="C648" s="522"/>
      <c r="D648" s="522"/>
      <c r="E648" s="522"/>
      <c r="F648" s="522"/>
      <c r="G648" s="522"/>
      <c r="H648" s="522"/>
      <c r="I648" s="522"/>
      <c r="J648" s="522"/>
      <c r="K648" s="522"/>
      <c r="L648" s="522"/>
      <c r="M648" s="522"/>
      <c r="N648" s="522"/>
    </row>
    <row r="649">
      <c r="C649" s="522"/>
      <c r="D649" s="522"/>
      <c r="E649" s="522"/>
      <c r="F649" s="522"/>
      <c r="G649" s="522"/>
      <c r="H649" s="522"/>
      <c r="I649" s="522"/>
      <c r="J649" s="522"/>
      <c r="K649" s="522"/>
      <c r="L649" s="522"/>
      <c r="M649" s="522"/>
      <c r="N649" s="522"/>
    </row>
    <row r="650">
      <c r="C650" s="522"/>
      <c r="D650" s="522"/>
      <c r="E650" s="522"/>
      <c r="F650" s="522"/>
      <c r="G650" s="522"/>
      <c r="H650" s="522"/>
      <c r="I650" s="522"/>
      <c r="J650" s="522"/>
      <c r="K650" s="522"/>
      <c r="L650" s="522"/>
      <c r="M650" s="522"/>
      <c r="N650" s="522"/>
    </row>
    <row r="651">
      <c r="C651" s="522"/>
      <c r="D651" s="522"/>
      <c r="E651" s="522"/>
      <c r="F651" s="522"/>
      <c r="G651" s="522"/>
      <c r="H651" s="522"/>
      <c r="I651" s="522"/>
      <c r="J651" s="522"/>
      <c r="K651" s="522"/>
      <c r="L651" s="522"/>
      <c r="M651" s="522"/>
      <c r="N651" s="522"/>
    </row>
    <row r="652">
      <c r="C652" s="522"/>
      <c r="D652" s="522"/>
      <c r="E652" s="522"/>
      <c r="F652" s="522"/>
      <c r="G652" s="522"/>
      <c r="H652" s="522"/>
      <c r="I652" s="522"/>
      <c r="J652" s="522"/>
      <c r="K652" s="522"/>
      <c r="L652" s="522"/>
      <c r="M652" s="522"/>
      <c r="N652" s="522"/>
    </row>
    <row r="653">
      <c r="C653" s="522"/>
      <c r="D653" s="522"/>
      <c r="E653" s="522"/>
      <c r="F653" s="522"/>
      <c r="G653" s="522"/>
      <c r="H653" s="522"/>
      <c r="I653" s="522"/>
      <c r="J653" s="522"/>
      <c r="K653" s="522"/>
      <c r="L653" s="522"/>
      <c r="M653" s="522"/>
      <c r="N653" s="522"/>
    </row>
    <row r="654">
      <c r="C654" s="522"/>
      <c r="D654" s="522"/>
      <c r="E654" s="522"/>
      <c r="F654" s="522"/>
      <c r="G654" s="522"/>
      <c r="H654" s="522"/>
      <c r="I654" s="522"/>
      <c r="J654" s="522"/>
      <c r="K654" s="522"/>
      <c r="L654" s="522"/>
      <c r="M654" s="522"/>
      <c r="N654" s="522"/>
    </row>
    <row r="655">
      <c r="C655" s="522"/>
      <c r="D655" s="522"/>
      <c r="E655" s="522"/>
      <c r="F655" s="522"/>
      <c r="G655" s="522"/>
      <c r="H655" s="522"/>
      <c r="I655" s="522"/>
      <c r="J655" s="522"/>
      <c r="K655" s="522"/>
      <c r="L655" s="522"/>
      <c r="M655" s="522"/>
      <c r="N655" s="522"/>
    </row>
    <row r="656">
      <c r="C656" s="522"/>
      <c r="D656" s="522"/>
      <c r="E656" s="522"/>
      <c r="F656" s="522"/>
      <c r="G656" s="522"/>
      <c r="H656" s="522"/>
      <c r="I656" s="522"/>
      <c r="J656" s="522"/>
      <c r="K656" s="522"/>
      <c r="L656" s="522"/>
      <c r="M656" s="522"/>
      <c r="N656" s="522"/>
    </row>
    <row r="657">
      <c r="C657" s="522"/>
      <c r="D657" s="522"/>
      <c r="E657" s="522"/>
      <c r="F657" s="522"/>
      <c r="G657" s="522"/>
      <c r="H657" s="522"/>
      <c r="I657" s="522"/>
      <c r="J657" s="522"/>
      <c r="K657" s="522"/>
      <c r="L657" s="522"/>
      <c r="M657" s="522"/>
      <c r="N657" s="522"/>
    </row>
    <row r="658">
      <c r="C658" s="522"/>
      <c r="D658" s="522"/>
      <c r="E658" s="522"/>
      <c r="F658" s="522"/>
      <c r="G658" s="522"/>
      <c r="H658" s="522"/>
      <c r="I658" s="522"/>
      <c r="J658" s="522"/>
      <c r="K658" s="522"/>
      <c r="L658" s="522"/>
      <c r="M658" s="522"/>
      <c r="N658" s="522"/>
    </row>
    <row r="659">
      <c r="C659" s="522"/>
      <c r="D659" s="522"/>
      <c r="E659" s="522"/>
      <c r="F659" s="522"/>
      <c r="G659" s="522"/>
      <c r="H659" s="522"/>
      <c r="I659" s="522"/>
      <c r="J659" s="522"/>
      <c r="K659" s="522"/>
      <c r="L659" s="522"/>
      <c r="M659" s="522"/>
      <c r="N659" s="522"/>
    </row>
    <row r="660">
      <c r="C660" s="522"/>
      <c r="D660" s="522"/>
      <c r="E660" s="522"/>
      <c r="F660" s="522"/>
      <c r="G660" s="522"/>
      <c r="H660" s="522"/>
      <c r="I660" s="522"/>
      <c r="J660" s="522"/>
      <c r="K660" s="522"/>
      <c r="L660" s="522"/>
      <c r="M660" s="522"/>
      <c r="N660" s="522"/>
    </row>
    <row r="661">
      <c r="C661" s="522"/>
      <c r="D661" s="522"/>
      <c r="E661" s="522"/>
      <c r="F661" s="522"/>
      <c r="G661" s="522"/>
      <c r="H661" s="522"/>
      <c r="I661" s="522"/>
      <c r="J661" s="522"/>
      <c r="K661" s="522"/>
      <c r="L661" s="522"/>
      <c r="M661" s="522"/>
      <c r="N661" s="522"/>
    </row>
    <row r="662">
      <c r="C662" s="522"/>
      <c r="D662" s="522"/>
      <c r="E662" s="522"/>
      <c r="F662" s="522"/>
      <c r="G662" s="522"/>
      <c r="H662" s="522"/>
      <c r="I662" s="522"/>
      <c r="J662" s="522"/>
      <c r="K662" s="522"/>
      <c r="L662" s="522"/>
      <c r="M662" s="522"/>
      <c r="N662" s="522"/>
    </row>
    <row r="663">
      <c r="C663" s="522"/>
      <c r="D663" s="522"/>
      <c r="E663" s="522"/>
      <c r="F663" s="522"/>
      <c r="G663" s="522"/>
      <c r="H663" s="522"/>
      <c r="I663" s="522"/>
      <c r="J663" s="522"/>
      <c r="K663" s="522"/>
      <c r="L663" s="522"/>
      <c r="M663" s="522"/>
      <c r="N663" s="522"/>
    </row>
    <row r="664">
      <c r="C664" s="522"/>
      <c r="D664" s="522"/>
      <c r="E664" s="522"/>
      <c r="F664" s="522"/>
      <c r="G664" s="522"/>
      <c r="H664" s="522"/>
      <c r="I664" s="522"/>
      <c r="J664" s="522"/>
      <c r="K664" s="522"/>
      <c r="L664" s="522"/>
      <c r="M664" s="522"/>
      <c r="N664" s="522"/>
    </row>
    <row r="665">
      <c r="C665" s="522"/>
      <c r="D665" s="522"/>
      <c r="E665" s="522"/>
      <c r="F665" s="522"/>
      <c r="G665" s="522"/>
      <c r="H665" s="522"/>
      <c r="I665" s="522"/>
      <c r="J665" s="522"/>
      <c r="K665" s="522"/>
      <c r="L665" s="522"/>
      <c r="M665" s="522"/>
      <c r="N665" s="522"/>
    </row>
    <row r="666">
      <c r="C666" s="522"/>
      <c r="D666" s="522"/>
      <c r="E666" s="522"/>
      <c r="F666" s="522"/>
      <c r="G666" s="522"/>
      <c r="H666" s="522"/>
      <c r="I666" s="522"/>
      <c r="J666" s="522"/>
      <c r="K666" s="522"/>
      <c r="L666" s="522"/>
      <c r="M666" s="522"/>
      <c r="N666" s="522"/>
    </row>
    <row r="667">
      <c r="C667" s="522"/>
      <c r="D667" s="522"/>
      <c r="E667" s="522"/>
      <c r="F667" s="522"/>
      <c r="G667" s="522"/>
      <c r="H667" s="522"/>
      <c r="I667" s="522"/>
      <c r="J667" s="522"/>
      <c r="K667" s="522"/>
      <c r="L667" s="522"/>
      <c r="M667" s="522"/>
      <c r="N667" s="522"/>
    </row>
    <row r="668">
      <c r="C668" s="522"/>
      <c r="D668" s="522"/>
      <c r="E668" s="522"/>
      <c r="F668" s="522"/>
      <c r="G668" s="522"/>
      <c r="H668" s="522"/>
      <c r="I668" s="522"/>
      <c r="J668" s="522"/>
      <c r="K668" s="522"/>
      <c r="L668" s="522"/>
      <c r="M668" s="522"/>
      <c r="N668" s="522"/>
    </row>
    <row r="669">
      <c r="C669" s="522"/>
      <c r="D669" s="522"/>
      <c r="E669" s="522"/>
      <c r="F669" s="522"/>
      <c r="G669" s="522"/>
      <c r="H669" s="522"/>
      <c r="I669" s="522"/>
      <c r="J669" s="522"/>
      <c r="K669" s="522"/>
      <c r="L669" s="522"/>
      <c r="M669" s="522"/>
      <c r="N669" s="522"/>
    </row>
    <row r="670">
      <c r="C670" s="522"/>
      <c r="D670" s="522"/>
      <c r="E670" s="522"/>
      <c r="F670" s="522"/>
      <c r="G670" s="522"/>
      <c r="H670" s="522"/>
      <c r="I670" s="522"/>
      <c r="J670" s="522"/>
      <c r="K670" s="522"/>
      <c r="L670" s="522"/>
      <c r="M670" s="522"/>
      <c r="N670" s="522"/>
    </row>
    <row r="671">
      <c r="C671" s="522"/>
      <c r="D671" s="522"/>
      <c r="E671" s="522"/>
      <c r="F671" s="522"/>
      <c r="G671" s="522"/>
      <c r="H671" s="522"/>
      <c r="I671" s="522"/>
      <c r="J671" s="522"/>
      <c r="K671" s="522"/>
      <c r="L671" s="522"/>
      <c r="M671" s="522"/>
      <c r="N671" s="522"/>
    </row>
    <row r="672">
      <c r="C672" s="522"/>
      <c r="D672" s="522"/>
      <c r="E672" s="522"/>
      <c r="F672" s="522"/>
      <c r="G672" s="522"/>
      <c r="H672" s="522"/>
      <c r="I672" s="522"/>
      <c r="J672" s="522"/>
      <c r="K672" s="522"/>
      <c r="L672" s="522"/>
      <c r="M672" s="522"/>
      <c r="N672" s="522"/>
    </row>
    <row r="673">
      <c r="C673" s="522"/>
      <c r="D673" s="522"/>
      <c r="E673" s="522"/>
      <c r="F673" s="522"/>
      <c r="G673" s="522"/>
      <c r="H673" s="522"/>
      <c r="I673" s="522"/>
      <c r="J673" s="522"/>
      <c r="K673" s="522"/>
      <c r="L673" s="522"/>
      <c r="M673" s="522"/>
      <c r="N673" s="522"/>
    </row>
    <row r="674">
      <c r="C674" s="522"/>
      <c r="D674" s="522"/>
      <c r="E674" s="522"/>
      <c r="F674" s="522"/>
      <c r="G674" s="522"/>
      <c r="H674" s="522"/>
      <c r="I674" s="522"/>
      <c r="J674" s="522"/>
      <c r="K674" s="522"/>
      <c r="L674" s="522"/>
      <c r="M674" s="522"/>
      <c r="N674" s="522"/>
    </row>
    <row r="675">
      <c r="C675" s="522"/>
      <c r="D675" s="522"/>
      <c r="E675" s="522"/>
      <c r="F675" s="522"/>
      <c r="G675" s="522"/>
      <c r="H675" s="522"/>
      <c r="I675" s="522"/>
      <c r="J675" s="522"/>
      <c r="K675" s="522"/>
      <c r="L675" s="522"/>
      <c r="M675" s="522"/>
      <c r="N675" s="522"/>
    </row>
    <row r="676">
      <c r="C676" s="522"/>
      <c r="D676" s="522"/>
      <c r="E676" s="522"/>
      <c r="F676" s="522"/>
      <c r="G676" s="522"/>
      <c r="H676" s="522"/>
      <c r="I676" s="522"/>
      <c r="J676" s="522"/>
      <c r="K676" s="522"/>
      <c r="L676" s="522"/>
      <c r="M676" s="522"/>
      <c r="N676" s="522"/>
    </row>
    <row r="677">
      <c r="C677" s="522"/>
      <c r="D677" s="522"/>
      <c r="E677" s="522"/>
      <c r="F677" s="522"/>
      <c r="G677" s="522"/>
      <c r="H677" s="522"/>
      <c r="I677" s="522"/>
      <c r="J677" s="522"/>
      <c r="K677" s="522"/>
      <c r="L677" s="522"/>
      <c r="M677" s="522"/>
      <c r="N677" s="522"/>
    </row>
    <row r="678">
      <c r="C678" s="522"/>
      <c r="D678" s="522"/>
      <c r="E678" s="522"/>
      <c r="F678" s="522"/>
      <c r="G678" s="522"/>
      <c r="H678" s="522"/>
      <c r="I678" s="522"/>
      <c r="J678" s="522"/>
      <c r="K678" s="522"/>
      <c r="L678" s="522"/>
      <c r="M678" s="522"/>
      <c r="N678" s="522"/>
    </row>
    <row r="679">
      <c r="C679" s="522"/>
      <c r="D679" s="522"/>
      <c r="E679" s="522"/>
      <c r="F679" s="522"/>
      <c r="G679" s="522"/>
      <c r="H679" s="522"/>
      <c r="I679" s="522"/>
      <c r="J679" s="522"/>
      <c r="K679" s="522"/>
      <c r="L679" s="522"/>
      <c r="M679" s="522"/>
      <c r="N679" s="522"/>
    </row>
    <row r="680">
      <c r="C680" s="522"/>
      <c r="D680" s="522"/>
      <c r="E680" s="522"/>
      <c r="F680" s="522"/>
      <c r="G680" s="522"/>
      <c r="H680" s="522"/>
      <c r="I680" s="522"/>
      <c r="J680" s="522"/>
      <c r="K680" s="522"/>
      <c r="L680" s="522"/>
      <c r="M680" s="522"/>
      <c r="N680" s="522"/>
    </row>
    <row r="681">
      <c r="C681" s="522"/>
      <c r="D681" s="522"/>
      <c r="E681" s="522"/>
      <c r="F681" s="522"/>
      <c r="G681" s="522"/>
      <c r="H681" s="522"/>
      <c r="I681" s="522"/>
      <c r="J681" s="522"/>
      <c r="K681" s="522"/>
      <c r="L681" s="522"/>
      <c r="M681" s="522"/>
      <c r="N681" s="522"/>
    </row>
    <row r="682">
      <c r="C682" s="522"/>
      <c r="D682" s="522"/>
      <c r="E682" s="522"/>
      <c r="F682" s="522"/>
      <c r="G682" s="522"/>
      <c r="H682" s="522"/>
      <c r="I682" s="522"/>
      <c r="J682" s="522"/>
      <c r="K682" s="522"/>
      <c r="L682" s="522"/>
      <c r="M682" s="522"/>
      <c r="N682" s="522"/>
    </row>
    <row r="683">
      <c r="C683" s="522"/>
      <c r="D683" s="522"/>
      <c r="E683" s="522"/>
      <c r="F683" s="522"/>
      <c r="G683" s="522"/>
      <c r="H683" s="522"/>
      <c r="I683" s="522"/>
      <c r="J683" s="522"/>
      <c r="K683" s="522"/>
      <c r="L683" s="522"/>
      <c r="M683" s="522"/>
      <c r="N683" s="522"/>
    </row>
    <row r="684">
      <c r="C684" s="522"/>
      <c r="D684" s="522"/>
      <c r="E684" s="522"/>
      <c r="F684" s="522"/>
      <c r="G684" s="522"/>
      <c r="H684" s="522"/>
      <c r="I684" s="522"/>
      <c r="J684" s="522"/>
      <c r="K684" s="522"/>
      <c r="L684" s="522"/>
      <c r="M684" s="522"/>
      <c r="N684" s="522"/>
    </row>
    <row r="685">
      <c r="C685" s="522"/>
      <c r="D685" s="522"/>
      <c r="E685" s="522"/>
      <c r="F685" s="522"/>
      <c r="G685" s="522"/>
      <c r="H685" s="522"/>
      <c r="I685" s="522"/>
      <c r="J685" s="522"/>
      <c r="K685" s="522"/>
      <c r="L685" s="522"/>
      <c r="M685" s="522"/>
      <c r="N685" s="522"/>
    </row>
    <row r="686">
      <c r="C686" s="522"/>
      <c r="D686" s="522"/>
      <c r="E686" s="522"/>
      <c r="F686" s="522"/>
      <c r="G686" s="522"/>
      <c r="H686" s="522"/>
      <c r="I686" s="522"/>
      <c r="J686" s="522"/>
      <c r="K686" s="522"/>
      <c r="L686" s="522"/>
      <c r="M686" s="522"/>
      <c r="N686" s="522"/>
    </row>
    <row r="687">
      <c r="C687" s="522"/>
      <c r="D687" s="522"/>
      <c r="E687" s="522"/>
      <c r="F687" s="522"/>
      <c r="G687" s="522"/>
      <c r="H687" s="522"/>
      <c r="I687" s="522"/>
      <c r="J687" s="522"/>
      <c r="K687" s="522"/>
      <c r="L687" s="522"/>
      <c r="M687" s="522"/>
      <c r="N687" s="522"/>
    </row>
    <row r="688">
      <c r="C688" s="522"/>
      <c r="D688" s="522"/>
      <c r="E688" s="522"/>
      <c r="F688" s="522"/>
      <c r="G688" s="522"/>
      <c r="H688" s="522"/>
      <c r="I688" s="522"/>
      <c r="J688" s="522"/>
      <c r="K688" s="522"/>
      <c r="L688" s="522"/>
      <c r="M688" s="522"/>
      <c r="N688" s="522"/>
    </row>
    <row r="689">
      <c r="C689" s="522"/>
      <c r="D689" s="522"/>
      <c r="E689" s="522"/>
      <c r="F689" s="522"/>
      <c r="G689" s="522"/>
      <c r="H689" s="522"/>
      <c r="I689" s="522"/>
      <c r="J689" s="522"/>
      <c r="K689" s="522"/>
      <c r="L689" s="522"/>
      <c r="M689" s="522"/>
      <c r="N689" s="522"/>
    </row>
    <row r="690">
      <c r="C690" s="522"/>
      <c r="D690" s="522"/>
      <c r="E690" s="522"/>
      <c r="F690" s="522"/>
      <c r="G690" s="522"/>
      <c r="H690" s="522"/>
      <c r="I690" s="522"/>
      <c r="J690" s="522"/>
      <c r="K690" s="522"/>
      <c r="L690" s="522"/>
      <c r="M690" s="522"/>
      <c r="N690" s="522"/>
    </row>
    <row r="691">
      <c r="C691" s="522"/>
      <c r="D691" s="522"/>
      <c r="E691" s="522"/>
      <c r="F691" s="522"/>
      <c r="G691" s="522"/>
      <c r="H691" s="522"/>
      <c r="I691" s="522"/>
      <c r="J691" s="522"/>
      <c r="K691" s="522"/>
      <c r="L691" s="522"/>
      <c r="M691" s="522"/>
      <c r="N691" s="522"/>
    </row>
    <row r="692">
      <c r="C692" s="522"/>
      <c r="D692" s="522"/>
      <c r="E692" s="522"/>
      <c r="F692" s="522"/>
      <c r="G692" s="522"/>
      <c r="H692" s="522"/>
      <c r="I692" s="522"/>
      <c r="J692" s="522"/>
      <c r="K692" s="522"/>
      <c r="L692" s="522"/>
      <c r="M692" s="522"/>
      <c r="N692" s="522"/>
    </row>
    <row r="693">
      <c r="C693" s="522"/>
      <c r="D693" s="522"/>
      <c r="E693" s="522"/>
      <c r="F693" s="522"/>
      <c r="G693" s="522"/>
      <c r="H693" s="522"/>
      <c r="I693" s="522"/>
      <c r="J693" s="522"/>
      <c r="K693" s="522"/>
      <c r="L693" s="522"/>
      <c r="M693" s="522"/>
      <c r="N693" s="522"/>
    </row>
    <row r="694">
      <c r="C694" s="522"/>
      <c r="D694" s="522"/>
      <c r="E694" s="522"/>
      <c r="F694" s="522"/>
      <c r="G694" s="522"/>
      <c r="H694" s="522"/>
      <c r="I694" s="522"/>
      <c r="J694" s="522"/>
      <c r="K694" s="522"/>
      <c r="L694" s="522"/>
      <c r="M694" s="522"/>
      <c r="N694" s="522"/>
    </row>
    <row r="695">
      <c r="C695" s="522"/>
      <c r="D695" s="522"/>
      <c r="E695" s="522"/>
      <c r="F695" s="522"/>
      <c r="G695" s="522"/>
      <c r="H695" s="522"/>
      <c r="I695" s="522"/>
      <c r="J695" s="522"/>
      <c r="K695" s="522"/>
      <c r="L695" s="522"/>
      <c r="M695" s="522"/>
      <c r="N695" s="522"/>
    </row>
    <row r="696">
      <c r="C696" s="522"/>
      <c r="D696" s="522"/>
      <c r="E696" s="522"/>
      <c r="F696" s="522"/>
      <c r="G696" s="522"/>
      <c r="H696" s="522"/>
      <c r="I696" s="522"/>
      <c r="J696" s="522"/>
      <c r="K696" s="522"/>
      <c r="L696" s="522"/>
      <c r="M696" s="522"/>
      <c r="N696" s="522"/>
    </row>
    <row r="697">
      <c r="C697" s="522"/>
      <c r="D697" s="522"/>
      <c r="E697" s="522"/>
      <c r="F697" s="522"/>
      <c r="G697" s="522"/>
      <c r="H697" s="522"/>
      <c r="I697" s="522"/>
      <c r="J697" s="522"/>
      <c r="K697" s="522"/>
      <c r="L697" s="522"/>
      <c r="M697" s="522"/>
      <c r="N697" s="522"/>
    </row>
    <row r="698">
      <c r="C698" s="522"/>
      <c r="D698" s="522"/>
      <c r="E698" s="522"/>
      <c r="F698" s="522"/>
      <c r="G698" s="522"/>
      <c r="H698" s="522"/>
      <c r="I698" s="522"/>
      <c r="J698" s="522"/>
      <c r="K698" s="522"/>
      <c r="L698" s="522"/>
      <c r="M698" s="522"/>
      <c r="N698" s="522"/>
    </row>
    <row r="699">
      <c r="C699" s="522"/>
      <c r="D699" s="522"/>
      <c r="E699" s="522"/>
      <c r="F699" s="522"/>
      <c r="G699" s="522"/>
      <c r="H699" s="522"/>
      <c r="I699" s="522"/>
      <c r="J699" s="522"/>
      <c r="K699" s="522"/>
      <c r="L699" s="522"/>
      <c r="M699" s="522"/>
      <c r="N699" s="522"/>
    </row>
    <row r="700">
      <c r="C700" s="522"/>
      <c r="D700" s="522"/>
      <c r="E700" s="522"/>
      <c r="F700" s="522"/>
      <c r="G700" s="522"/>
      <c r="H700" s="522"/>
      <c r="I700" s="522"/>
      <c r="J700" s="522"/>
      <c r="K700" s="522"/>
      <c r="L700" s="522"/>
      <c r="M700" s="522"/>
      <c r="N700" s="522"/>
    </row>
    <row r="701">
      <c r="C701" s="522"/>
      <c r="D701" s="522"/>
      <c r="E701" s="522"/>
      <c r="F701" s="522"/>
      <c r="G701" s="522"/>
      <c r="H701" s="522"/>
      <c r="I701" s="522"/>
      <c r="J701" s="522"/>
      <c r="K701" s="522"/>
      <c r="L701" s="522"/>
      <c r="M701" s="522"/>
      <c r="N701" s="522"/>
    </row>
    <row r="702">
      <c r="C702" s="522"/>
      <c r="D702" s="522"/>
      <c r="E702" s="522"/>
      <c r="F702" s="522"/>
      <c r="G702" s="522"/>
      <c r="H702" s="522"/>
      <c r="I702" s="522"/>
      <c r="J702" s="522"/>
      <c r="K702" s="522"/>
      <c r="L702" s="522"/>
      <c r="M702" s="522"/>
      <c r="N702" s="522"/>
    </row>
    <row r="703">
      <c r="C703" s="522"/>
      <c r="D703" s="522"/>
      <c r="E703" s="522"/>
      <c r="F703" s="522"/>
      <c r="G703" s="522"/>
      <c r="H703" s="522"/>
      <c r="I703" s="522"/>
      <c r="J703" s="522"/>
      <c r="K703" s="522"/>
      <c r="L703" s="522"/>
      <c r="M703" s="522"/>
      <c r="N703" s="522"/>
    </row>
    <row r="704">
      <c r="C704" s="522"/>
      <c r="D704" s="522"/>
      <c r="E704" s="522"/>
      <c r="F704" s="522"/>
      <c r="G704" s="522"/>
      <c r="H704" s="522"/>
      <c r="I704" s="522"/>
      <c r="J704" s="522"/>
      <c r="K704" s="522"/>
      <c r="L704" s="522"/>
      <c r="M704" s="522"/>
      <c r="N704" s="522"/>
    </row>
    <row r="705">
      <c r="C705" s="522"/>
      <c r="D705" s="522"/>
      <c r="E705" s="522"/>
      <c r="F705" s="522"/>
      <c r="G705" s="522"/>
      <c r="H705" s="522"/>
      <c r="I705" s="522"/>
      <c r="J705" s="522"/>
      <c r="K705" s="522"/>
      <c r="L705" s="522"/>
      <c r="M705" s="522"/>
      <c r="N705" s="522"/>
    </row>
    <row r="706">
      <c r="C706" s="522"/>
      <c r="D706" s="522"/>
      <c r="E706" s="522"/>
      <c r="F706" s="522"/>
      <c r="G706" s="522"/>
      <c r="H706" s="522"/>
      <c r="I706" s="522"/>
      <c r="J706" s="522"/>
      <c r="K706" s="522"/>
      <c r="L706" s="522"/>
      <c r="M706" s="522"/>
      <c r="N706" s="522"/>
    </row>
    <row r="707">
      <c r="C707" s="522"/>
      <c r="D707" s="522"/>
      <c r="E707" s="522"/>
      <c r="F707" s="522"/>
      <c r="G707" s="522"/>
      <c r="H707" s="522"/>
      <c r="I707" s="522"/>
      <c r="J707" s="522"/>
      <c r="K707" s="522"/>
      <c r="L707" s="522"/>
      <c r="M707" s="522"/>
      <c r="N707" s="522"/>
    </row>
    <row r="708">
      <c r="C708" s="522"/>
      <c r="D708" s="522"/>
      <c r="E708" s="522"/>
      <c r="F708" s="522"/>
      <c r="G708" s="522"/>
      <c r="H708" s="522"/>
      <c r="I708" s="522"/>
      <c r="J708" s="522"/>
      <c r="K708" s="522"/>
      <c r="L708" s="522"/>
      <c r="M708" s="522"/>
      <c r="N708" s="522"/>
    </row>
    <row r="709">
      <c r="C709" s="522"/>
      <c r="D709" s="522"/>
      <c r="E709" s="522"/>
      <c r="F709" s="522"/>
      <c r="G709" s="522"/>
      <c r="H709" s="522"/>
      <c r="I709" s="522"/>
      <c r="J709" s="522"/>
      <c r="K709" s="522"/>
      <c r="L709" s="522"/>
      <c r="M709" s="522"/>
      <c r="N709" s="522"/>
    </row>
    <row r="710">
      <c r="C710" s="522"/>
      <c r="D710" s="522"/>
      <c r="E710" s="522"/>
      <c r="F710" s="522"/>
      <c r="G710" s="522"/>
      <c r="H710" s="522"/>
      <c r="I710" s="522"/>
      <c r="J710" s="522"/>
      <c r="K710" s="522"/>
      <c r="L710" s="522"/>
      <c r="M710" s="522"/>
      <c r="N710" s="522"/>
    </row>
    <row r="711">
      <c r="C711" s="522"/>
      <c r="D711" s="522"/>
      <c r="E711" s="522"/>
      <c r="F711" s="522"/>
      <c r="G711" s="522"/>
      <c r="H711" s="522"/>
      <c r="I711" s="522"/>
      <c r="J711" s="522"/>
      <c r="K711" s="522"/>
      <c r="L711" s="522"/>
      <c r="M711" s="522"/>
      <c r="N711" s="522"/>
    </row>
    <row r="712">
      <c r="C712" s="522"/>
      <c r="D712" s="522"/>
      <c r="E712" s="522"/>
      <c r="F712" s="522"/>
      <c r="G712" s="522"/>
      <c r="H712" s="522"/>
      <c r="I712" s="522"/>
      <c r="J712" s="522"/>
      <c r="K712" s="522"/>
      <c r="L712" s="522"/>
      <c r="M712" s="522"/>
      <c r="N712" s="522"/>
    </row>
    <row r="713">
      <c r="C713" s="522"/>
      <c r="D713" s="522"/>
      <c r="E713" s="522"/>
      <c r="F713" s="522"/>
      <c r="G713" s="522"/>
      <c r="H713" s="522"/>
      <c r="I713" s="522"/>
      <c r="J713" s="522"/>
      <c r="K713" s="522"/>
      <c r="L713" s="522"/>
      <c r="M713" s="522"/>
      <c r="N713" s="522"/>
    </row>
    <row r="714">
      <c r="C714" s="522"/>
      <c r="D714" s="522"/>
      <c r="E714" s="522"/>
      <c r="F714" s="522"/>
      <c r="G714" s="522"/>
      <c r="H714" s="522"/>
      <c r="I714" s="522"/>
      <c r="J714" s="522"/>
      <c r="K714" s="522"/>
      <c r="L714" s="522"/>
      <c r="M714" s="522"/>
      <c r="N714" s="522"/>
    </row>
    <row r="715">
      <c r="C715" s="522"/>
      <c r="D715" s="522"/>
      <c r="E715" s="522"/>
      <c r="F715" s="522"/>
      <c r="G715" s="522"/>
      <c r="H715" s="522"/>
      <c r="I715" s="522"/>
      <c r="J715" s="522"/>
      <c r="K715" s="522"/>
      <c r="L715" s="522"/>
      <c r="M715" s="522"/>
      <c r="N715" s="522"/>
    </row>
    <row r="716">
      <c r="C716" s="522"/>
      <c r="D716" s="522"/>
      <c r="E716" s="522"/>
      <c r="F716" s="522"/>
      <c r="G716" s="522"/>
      <c r="H716" s="522"/>
      <c r="I716" s="522"/>
      <c r="J716" s="522"/>
      <c r="K716" s="522"/>
      <c r="L716" s="522"/>
      <c r="M716" s="522"/>
      <c r="N716" s="522"/>
    </row>
    <row r="717">
      <c r="C717" s="522"/>
      <c r="D717" s="522"/>
      <c r="E717" s="522"/>
      <c r="F717" s="522"/>
      <c r="G717" s="522"/>
      <c r="H717" s="522"/>
      <c r="I717" s="522"/>
      <c r="J717" s="522"/>
      <c r="K717" s="522"/>
      <c r="L717" s="522"/>
      <c r="M717" s="522"/>
      <c r="N717" s="522"/>
    </row>
    <row r="718">
      <c r="C718" s="522"/>
      <c r="D718" s="522"/>
      <c r="E718" s="522"/>
      <c r="F718" s="522"/>
      <c r="G718" s="522"/>
      <c r="H718" s="522"/>
      <c r="I718" s="522"/>
      <c r="J718" s="522"/>
      <c r="K718" s="522"/>
      <c r="L718" s="522"/>
      <c r="M718" s="522"/>
      <c r="N718" s="522"/>
    </row>
    <row r="719">
      <c r="C719" s="522"/>
      <c r="D719" s="522"/>
      <c r="E719" s="522"/>
      <c r="F719" s="522"/>
      <c r="G719" s="522"/>
      <c r="H719" s="522"/>
      <c r="I719" s="522"/>
      <c r="J719" s="522"/>
      <c r="K719" s="522"/>
      <c r="L719" s="522"/>
      <c r="M719" s="522"/>
      <c r="N719" s="522"/>
    </row>
    <row r="720">
      <c r="C720" s="522"/>
      <c r="D720" s="522"/>
      <c r="E720" s="522"/>
      <c r="F720" s="522"/>
      <c r="G720" s="522"/>
      <c r="H720" s="522"/>
      <c r="I720" s="522"/>
      <c r="J720" s="522"/>
      <c r="K720" s="522"/>
      <c r="L720" s="522"/>
      <c r="M720" s="522"/>
      <c r="N720" s="522"/>
    </row>
    <row r="721">
      <c r="C721" s="522"/>
      <c r="D721" s="522"/>
      <c r="E721" s="522"/>
      <c r="F721" s="522"/>
      <c r="G721" s="522"/>
      <c r="H721" s="522"/>
      <c r="I721" s="522"/>
      <c r="J721" s="522"/>
      <c r="K721" s="522"/>
      <c r="L721" s="522"/>
      <c r="M721" s="522"/>
      <c r="N721" s="522"/>
    </row>
    <row r="722">
      <c r="C722" s="522"/>
      <c r="D722" s="522"/>
      <c r="E722" s="522"/>
      <c r="F722" s="522"/>
      <c r="G722" s="522"/>
      <c r="H722" s="522"/>
      <c r="I722" s="522"/>
      <c r="J722" s="522"/>
      <c r="K722" s="522"/>
      <c r="L722" s="522"/>
      <c r="M722" s="522"/>
      <c r="N722" s="522"/>
    </row>
    <row r="723">
      <c r="C723" s="522"/>
      <c r="D723" s="522"/>
      <c r="E723" s="522"/>
      <c r="F723" s="522"/>
      <c r="G723" s="522"/>
      <c r="H723" s="522"/>
      <c r="I723" s="522"/>
      <c r="J723" s="522"/>
      <c r="K723" s="522"/>
      <c r="L723" s="522"/>
      <c r="M723" s="522"/>
      <c r="N723" s="522"/>
    </row>
    <row r="724">
      <c r="C724" s="522"/>
      <c r="D724" s="522"/>
      <c r="E724" s="522"/>
      <c r="F724" s="522"/>
      <c r="G724" s="522"/>
      <c r="H724" s="522"/>
      <c r="I724" s="522"/>
      <c r="J724" s="522"/>
      <c r="K724" s="522"/>
      <c r="L724" s="522"/>
      <c r="M724" s="522"/>
      <c r="N724" s="522"/>
    </row>
    <row r="725">
      <c r="C725" s="522"/>
      <c r="D725" s="522"/>
      <c r="E725" s="522"/>
      <c r="F725" s="522"/>
      <c r="G725" s="522"/>
      <c r="H725" s="522"/>
      <c r="I725" s="522"/>
      <c r="J725" s="522"/>
      <c r="K725" s="522"/>
      <c r="L725" s="522"/>
      <c r="M725" s="522"/>
      <c r="N725" s="522"/>
    </row>
    <row r="726">
      <c r="C726" s="522"/>
      <c r="D726" s="522"/>
      <c r="E726" s="522"/>
      <c r="F726" s="522"/>
      <c r="G726" s="522"/>
      <c r="H726" s="522"/>
      <c r="I726" s="522"/>
      <c r="J726" s="522"/>
      <c r="K726" s="522"/>
      <c r="L726" s="522"/>
      <c r="M726" s="522"/>
      <c r="N726" s="522"/>
    </row>
    <row r="727">
      <c r="C727" s="522"/>
      <c r="D727" s="522"/>
      <c r="E727" s="522"/>
      <c r="F727" s="522"/>
      <c r="G727" s="522"/>
      <c r="H727" s="522"/>
      <c r="I727" s="522"/>
      <c r="J727" s="522"/>
      <c r="K727" s="522"/>
      <c r="L727" s="522"/>
      <c r="M727" s="522"/>
      <c r="N727" s="522"/>
    </row>
    <row r="728">
      <c r="C728" s="522"/>
      <c r="D728" s="522"/>
      <c r="E728" s="522"/>
      <c r="F728" s="522"/>
      <c r="G728" s="522"/>
      <c r="H728" s="522"/>
      <c r="I728" s="522"/>
      <c r="J728" s="522"/>
      <c r="K728" s="522"/>
      <c r="L728" s="522"/>
      <c r="M728" s="522"/>
      <c r="N728" s="522"/>
    </row>
    <row r="729">
      <c r="C729" s="522"/>
      <c r="D729" s="522"/>
      <c r="E729" s="522"/>
      <c r="F729" s="522"/>
      <c r="G729" s="522"/>
      <c r="H729" s="522"/>
      <c r="I729" s="522"/>
      <c r="J729" s="522"/>
      <c r="K729" s="522"/>
      <c r="L729" s="522"/>
      <c r="M729" s="522"/>
      <c r="N729" s="522"/>
    </row>
    <row r="730">
      <c r="C730" s="522"/>
      <c r="D730" s="522"/>
      <c r="E730" s="522"/>
      <c r="F730" s="522"/>
      <c r="G730" s="522"/>
      <c r="H730" s="522"/>
      <c r="I730" s="522"/>
      <c r="J730" s="522"/>
      <c r="K730" s="522"/>
      <c r="L730" s="522"/>
      <c r="M730" s="522"/>
      <c r="N730" s="522"/>
    </row>
    <row r="731">
      <c r="C731" s="522"/>
      <c r="D731" s="522"/>
      <c r="E731" s="522"/>
      <c r="F731" s="522"/>
      <c r="G731" s="522"/>
      <c r="H731" s="522"/>
      <c r="I731" s="522"/>
      <c r="J731" s="522"/>
      <c r="K731" s="522"/>
      <c r="L731" s="522"/>
      <c r="M731" s="522"/>
      <c r="N731" s="522"/>
    </row>
    <row r="732">
      <c r="C732" s="522"/>
      <c r="D732" s="522"/>
      <c r="E732" s="522"/>
      <c r="F732" s="522"/>
      <c r="G732" s="522"/>
      <c r="H732" s="522"/>
      <c r="I732" s="522"/>
      <c r="J732" s="522"/>
      <c r="K732" s="522"/>
      <c r="L732" s="522"/>
      <c r="M732" s="522"/>
      <c r="N732" s="522"/>
    </row>
    <row r="733">
      <c r="C733" s="522"/>
      <c r="D733" s="522"/>
      <c r="E733" s="522"/>
      <c r="F733" s="522"/>
      <c r="G733" s="522"/>
      <c r="H733" s="522"/>
      <c r="I733" s="522"/>
      <c r="J733" s="522"/>
      <c r="K733" s="522"/>
      <c r="L733" s="522"/>
      <c r="M733" s="522"/>
      <c r="N733" s="522"/>
    </row>
    <row r="734">
      <c r="C734" s="522"/>
      <c r="D734" s="522"/>
      <c r="E734" s="522"/>
      <c r="F734" s="522"/>
      <c r="G734" s="522"/>
      <c r="H734" s="522"/>
      <c r="I734" s="522"/>
      <c r="J734" s="522"/>
      <c r="K734" s="522"/>
      <c r="L734" s="522"/>
      <c r="M734" s="522"/>
      <c r="N734" s="522"/>
    </row>
    <row r="735">
      <c r="C735" s="522"/>
      <c r="D735" s="522"/>
      <c r="E735" s="522"/>
      <c r="F735" s="522"/>
      <c r="G735" s="522"/>
      <c r="H735" s="522"/>
      <c r="I735" s="522"/>
      <c r="J735" s="522"/>
      <c r="K735" s="522"/>
      <c r="L735" s="522"/>
      <c r="M735" s="522"/>
      <c r="N735" s="522"/>
    </row>
    <row r="736">
      <c r="C736" s="522"/>
      <c r="D736" s="522"/>
      <c r="E736" s="522"/>
      <c r="F736" s="522"/>
      <c r="G736" s="522"/>
      <c r="H736" s="522"/>
      <c r="I736" s="522"/>
      <c r="J736" s="522"/>
      <c r="K736" s="522"/>
      <c r="L736" s="522"/>
      <c r="M736" s="522"/>
      <c r="N736" s="522"/>
    </row>
    <row r="737">
      <c r="C737" s="522"/>
      <c r="D737" s="522"/>
      <c r="E737" s="522"/>
      <c r="F737" s="522"/>
      <c r="G737" s="522"/>
      <c r="H737" s="522"/>
      <c r="I737" s="522"/>
      <c r="J737" s="522"/>
      <c r="K737" s="522"/>
      <c r="L737" s="522"/>
      <c r="M737" s="522"/>
      <c r="N737" s="522"/>
    </row>
    <row r="738">
      <c r="C738" s="522"/>
      <c r="D738" s="522"/>
      <c r="E738" s="522"/>
      <c r="F738" s="522"/>
      <c r="G738" s="522"/>
      <c r="H738" s="522"/>
      <c r="I738" s="522"/>
      <c r="J738" s="522"/>
      <c r="K738" s="522"/>
      <c r="L738" s="522"/>
      <c r="M738" s="522"/>
      <c r="N738" s="522"/>
    </row>
    <row r="739">
      <c r="C739" s="522"/>
      <c r="D739" s="522"/>
      <c r="E739" s="522"/>
      <c r="F739" s="522"/>
      <c r="G739" s="522"/>
      <c r="H739" s="522"/>
      <c r="I739" s="522"/>
      <c r="J739" s="522"/>
      <c r="K739" s="522"/>
      <c r="L739" s="522"/>
      <c r="M739" s="522"/>
      <c r="N739" s="522"/>
    </row>
    <row r="740">
      <c r="C740" s="522"/>
      <c r="D740" s="522"/>
      <c r="E740" s="522"/>
      <c r="F740" s="522"/>
      <c r="G740" s="522"/>
      <c r="H740" s="522"/>
      <c r="I740" s="522"/>
      <c r="J740" s="522"/>
      <c r="K740" s="522"/>
      <c r="L740" s="522"/>
      <c r="M740" s="522"/>
      <c r="N740" s="522"/>
    </row>
    <row r="741">
      <c r="C741" s="522"/>
      <c r="D741" s="522"/>
      <c r="E741" s="522"/>
      <c r="F741" s="522"/>
      <c r="G741" s="522"/>
      <c r="H741" s="522"/>
      <c r="I741" s="522"/>
      <c r="J741" s="522"/>
      <c r="K741" s="522"/>
      <c r="L741" s="522"/>
      <c r="M741" s="522"/>
      <c r="N741" s="522"/>
    </row>
    <row r="742">
      <c r="C742" s="522"/>
      <c r="D742" s="522"/>
      <c r="E742" s="522"/>
      <c r="F742" s="522"/>
      <c r="G742" s="522"/>
      <c r="H742" s="522"/>
      <c r="I742" s="522"/>
      <c r="J742" s="522"/>
      <c r="K742" s="522"/>
      <c r="L742" s="522"/>
      <c r="M742" s="522"/>
      <c r="N742" s="522"/>
    </row>
    <row r="743">
      <c r="C743" s="522"/>
      <c r="D743" s="522"/>
      <c r="E743" s="522"/>
      <c r="F743" s="522"/>
      <c r="G743" s="522"/>
      <c r="H743" s="522"/>
      <c r="I743" s="522"/>
      <c r="J743" s="522"/>
      <c r="K743" s="522"/>
      <c r="L743" s="522"/>
      <c r="M743" s="522"/>
      <c r="N743" s="522"/>
    </row>
    <row r="744">
      <c r="C744" s="522"/>
      <c r="D744" s="522"/>
      <c r="E744" s="522"/>
      <c r="F744" s="522"/>
      <c r="G744" s="522"/>
      <c r="H744" s="522"/>
      <c r="I744" s="522"/>
      <c r="J744" s="522"/>
      <c r="K744" s="522"/>
      <c r="L744" s="522"/>
      <c r="M744" s="522"/>
      <c r="N744" s="522"/>
    </row>
    <row r="745">
      <c r="C745" s="522"/>
      <c r="D745" s="522"/>
      <c r="E745" s="522"/>
      <c r="F745" s="522"/>
      <c r="G745" s="522"/>
      <c r="H745" s="522"/>
      <c r="I745" s="522"/>
      <c r="J745" s="522"/>
      <c r="K745" s="522"/>
      <c r="L745" s="522"/>
      <c r="M745" s="522"/>
      <c r="N745" s="522"/>
    </row>
    <row r="746">
      <c r="C746" s="522"/>
      <c r="D746" s="522"/>
      <c r="E746" s="522"/>
      <c r="F746" s="522"/>
      <c r="G746" s="522"/>
      <c r="H746" s="522"/>
      <c r="I746" s="522"/>
      <c r="J746" s="522"/>
      <c r="K746" s="522"/>
      <c r="L746" s="522"/>
      <c r="M746" s="522"/>
      <c r="N746" s="522"/>
    </row>
    <row r="747">
      <c r="C747" s="522"/>
      <c r="D747" s="522"/>
      <c r="E747" s="522"/>
      <c r="F747" s="522"/>
      <c r="G747" s="522"/>
      <c r="H747" s="522"/>
      <c r="I747" s="522"/>
      <c r="J747" s="522"/>
      <c r="K747" s="522"/>
      <c r="L747" s="522"/>
      <c r="M747" s="522"/>
      <c r="N747" s="522"/>
    </row>
    <row r="748">
      <c r="C748" s="522"/>
      <c r="D748" s="522"/>
      <c r="E748" s="522"/>
      <c r="F748" s="522"/>
      <c r="G748" s="522"/>
      <c r="H748" s="522"/>
      <c r="I748" s="522"/>
      <c r="J748" s="522"/>
      <c r="K748" s="522"/>
      <c r="L748" s="522"/>
      <c r="M748" s="522"/>
      <c r="N748" s="522"/>
    </row>
    <row r="749">
      <c r="C749" s="522"/>
      <c r="D749" s="522"/>
      <c r="E749" s="522"/>
      <c r="F749" s="522"/>
      <c r="G749" s="522"/>
      <c r="H749" s="522"/>
      <c r="I749" s="522"/>
      <c r="J749" s="522"/>
      <c r="K749" s="522"/>
      <c r="L749" s="522"/>
      <c r="M749" s="522"/>
      <c r="N749" s="522"/>
    </row>
    <row r="750">
      <c r="C750" s="522"/>
      <c r="D750" s="522"/>
      <c r="E750" s="522"/>
      <c r="F750" s="522"/>
      <c r="G750" s="522"/>
      <c r="H750" s="522"/>
      <c r="I750" s="522"/>
      <c r="J750" s="522"/>
      <c r="K750" s="522"/>
      <c r="L750" s="522"/>
      <c r="M750" s="522"/>
      <c r="N750" s="522"/>
    </row>
    <row r="751">
      <c r="C751" s="522"/>
      <c r="D751" s="522"/>
      <c r="E751" s="522"/>
      <c r="F751" s="522"/>
      <c r="G751" s="522"/>
      <c r="H751" s="522"/>
      <c r="I751" s="522"/>
      <c r="J751" s="522"/>
      <c r="K751" s="522"/>
      <c r="L751" s="522"/>
      <c r="M751" s="522"/>
      <c r="N751" s="522"/>
    </row>
    <row r="752">
      <c r="C752" s="522"/>
      <c r="D752" s="522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</row>
    <row r="753">
      <c r="C753" s="522"/>
      <c r="D753" s="522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</row>
    <row r="754">
      <c r="C754" s="522"/>
      <c r="D754" s="522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</row>
    <row r="755">
      <c r="C755" s="522"/>
      <c r="D755" s="522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</row>
    <row r="756">
      <c r="C756" s="522"/>
      <c r="D756" s="522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</row>
    <row r="757">
      <c r="C757" s="522"/>
      <c r="D757" s="522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</row>
    <row r="758">
      <c r="C758" s="522"/>
      <c r="D758" s="522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</row>
    <row r="759">
      <c r="C759" s="522"/>
      <c r="D759" s="522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</row>
    <row r="760">
      <c r="C760" s="522"/>
      <c r="D760" s="522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</row>
    <row r="761">
      <c r="C761" s="522"/>
      <c r="D761" s="522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</row>
    <row r="762">
      <c r="C762" s="522"/>
      <c r="D762" s="522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</row>
    <row r="763">
      <c r="C763" s="522"/>
      <c r="D763" s="522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</row>
    <row r="764">
      <c r="C764" s="522"/>
      <c r="D764" s="522"/>
      <c r="E764" s="522"/>
      <c r="F764" s="522"/>
      <c r="G764" s="522"/>
      <c r="H764" s="522"/>
      <c r="I764" s="522"/>
      <c r="J764" s="522"/>
      <c r="K764" s="522"/>
      <c r="L764" s="522"/>
      <c r="M764" s="522"/>
      <c r="N764" s="522"/>
    </row>
    <row r="765">
      <c r="C765" s="522"/>
      <c r="D765" s="522"/>
      <c r="E765" s="522"/>
      <c r="F765" s="522"/>
      <c r="G765" s="522"/>
      <c r="H765" s="522"/>
      <c r="I765" s="522"/>
      <c r="J765" s="522"/>
      <c r="K765" s="522"/>
      <c r="L765" s="522"/>
      <c r="M765" s="522"/>
      <c r="N765" s="522"/>
    </row>
    <row r="766">
      <c r="C766" s="522"/>
      <c r="D766" s="522"/>
      <c r="E766" s="522"/>
      <c r="F766" s="522"/>
      <c r="G766" s="522"/>
      <c r="H766" s="522"/>
      <c r="I766" s="522"/>
      <c r="J766" s="522"/>
      <c r="K766" s="522"/>
      <c r="L766" s="522"/>
      <c r="M766" s="522"/>
      <c r="N766" s="522"/>
    </row>
    <row r="767">
      <c r="C767" s="522"/>
      <c r="D767" s="522"/>
      <c r="E767" s="522"/>
      <c r="F767" s="522"/>
      <c r="G767" s="522"/>
      <c r="H767" s="522"/>
      <c r="I767" s="522"/>
      <c r="J767" s="522"/>
      <c r="K767" s="522"/>
      <c r="L767" s="522"/>
      <c r="M767" s="522"/>
      <c r="N767" s="522"/>
    </row>
    <row r="768">
      <c r="C768" s="522"/>
      <c r="D768" s="522"/>
      <c r="E768" s="522"/>
      <c r="F768" s="522"/>
      <c r="G768" s="522"/>
      <c r="H768" s="522"/>
      <c r="I768" s="522"/>
      <c r="J768" s="522"/>
      <c r="K768" s="522"/>
      <c r="L768" s="522"/>
      <c r="M768" s="522"/>
      <c r="N768" s="522"/>
    </row>
    <row r="769">
      <c r="C769" s="522"/>
      <c r="D769" s="522"/>
      <c r="E769" s="522"/>
      <c r="F769" s="522"/>
      <c r="G769" s="522"/>
      <c r="H769" s="522"/>
      <c r="I769" s="522"/>
      <c r="J769" s="522"/>
      <c r="K769" s="522"/>
      <c r="L769" s="522"/>
      <c r="M769" s="522"/>
      <c r="N769" s="522"/>
    </row>
    <row r="770">
      <c r="C770" s="522"/>
      <c r="D770" s="522"/>
      <c r="E770" s="522"/>
      <c r="F770" s="522"/>
      <c r="G770" s="522"/>
      <c r="H770" s="522"/>
      <c r="I770" s="522"/>
      <c r="J770" s="522"/>
      <c r="K770" s="522"/>
      <c r="L770" s="522"/>
      <c r="M770" s="522"/>
      <c r="N770" s="522"/>
    </row>
    <row r="771">
      <c r="C771" s="522"/>
      <c r="D771" s="522"/>
      <c r="E771" s="522"/>
      <c r="F771" s="522"/>
      <c r="G771" s="522"/>
      <c r="H771" s="522"/>
      <c r="I771" s="522"/>
      <c r="J771" s="522"/>
      <c r="K771" s="522"/>
      <c r="L771" s="522"/>
      <c r="M771" s="522"/>
      <c r="N771" s="522"/>
    </row>
    <row r="772">
      <c r="C772" s="522"/>
      <c r="D772" s="522"/>
      <c r="E772" s="522"/>
      <c r="F772" s="522"/>
      <c r="G772" s="522"/>
      <c r="H772" s="522"/>
      <c r="I772" s="522"/>
      <c r="J772" s="522"/>
      <c r="K772" s="522"/>
      <c r="L772" s="522"/>
      <c r="M772" s="522"/>
      <c r="N772" s="522"/>
    </row>
    <row r="773">
      <c r="C773" s="522"/>
      <c r="D773" s="522"/>
      <c r="E773" s="522"/>
      <c r="F773" s="522"/>
      <c r="G773" s="522"/>
      <c r="H773" s="522"/>
      <c r="I773" s="522"/>
      <c r="J773" s="522"/>
      <c r="K773" s="522"/>
      <c r="L773" s="522"/>
      <c r="M773" s="522"/>
      <c r="N773" s="522"/>
    </row>
    <row r="774">
      <c r="C774" s="522"/>
      <c r="D774" s="522"/>
      <c r="E774" s="522"/>
      <c r="F774" s="522"/>
      <c r="G774" s="522"/>
      <c r="H774" s="522"/>
      <c r="I774" s="522"/>
      <c r="J774" s="522"/>
      <c r="K774" s="522"/>
      <c r="L774" s="522"/>
      <c r="M774" s="522"/>
      <c r="N774" s="522"/>
    </row>
    <row r="775">
      <c r="C775" s="522"/>
      <c r="D775" s="522"/>
      <c r="E775" s="522"/>
      <c r="F775" s="522"/>
      <c r="G775" s="522"/>
      <c r="H775" s="522"/>
      <c r="I775" s="522"/>
      <c r="J775" s="522"/>
      <c r="K775" s="522"/>
      <c r="L775" s="522"/>
      <c r="M775" s="522"/>
      <c r="N775" s="522"/>
    </row>
    <row r="776">
      <c r="C776" s="522"/>
      <c r="D776" s="522"/>
      <c r="E776" s="522"/>
      <c r="F776" s="522"/>
      <c r="G776" s="522"/>
      <c r="H776" s="522"/>
      <c r="I776" s="522"/>
      <c r="J776" s="522"/>
      <c r="K776" s="522"/>
      <c r="L776" s="522"/>
      <c r="M776" s="522"/>
      <c r="N776" s="522"/>
    </row>
    <row r="777">
      <c r="C777" s="522"/>
      <c r="D777" s="522"/>
      <c r="E777" s="522"/>
      <c r="F777" s="522"/>
      <c r="G777" s="522"/>
      <c r="H777" s="522"/>
      <c r="I777" s="522"/>
      <c r="J777" s="522"/>
      <c r="K777" s="522"/>
      <c r="L777" s="522"/>
      <c r="M777" s="522"/>
      <c r="N777" s="522"/>
    </row>
    <row r="778">
      <c r="C778" s="522"/>
      <c r="D778" s="522"/>
      <c r="E778" s="522"/>
      <c r="F778" s="522"/>
      <c r="G778" s="522"/>
      <c r="H778" s="522"/>
      <c r="I778" s="522"/>
      <c r="J778" s="522"/>
      <c r="K778" s="522"/>
      <c r="L778" s="522"/>
      <c r="M778" s="522"/>
      <c r="N778" s="522"/>
    </row>
    <row r="779">
      <c r="C779" s="522"/>
      <c r="D779" s="522"/>
      <c r="E779" s="522"/>
      <c r="F779" s="522"/>
      <c r="G779" s="522"/>
      <c r="H779" s="522"/>
      <c r="I779" s="522"/>
      <c r="J779" s="522"/>
      <c r="K779" s="522"/>
      <c r="L779" s="522"/>
      <c r="M779" s="522"/>
      <c r="N779" s="522"/>
    </row>
    <row r="780">
      <c r="C780" s="522"/>
      <c r="D780" s="522"/>
      <c r="E780" s="522"/>
      <c r="F780" s="522"/>
      <c r="G780" s="522"/>
      <c r="H780" s="522"/>
      <c r="I780" s="522"/>
      <c r="J780" s="522"/>
      <c r="K780" s="522"/>
      <c r="L780" s="522"/>
      <c r="M780" s="522"/>
      <c r="N780" s="522"/>
    </row>
    <row r="781">
      <c r="C781" s="522"/>
      <c r="D781" s="522"/>
      <c r="E781" s="522"/>
      <c r="F781" s="522"/>
      <c r="G781" s="522"/>
      <c r="H781" s="522"/>
      <c r="I781" s="522"/>
      <c r="J781" s="522"/>
      <c r="K781" s="522"/>
      <c r="L781" s="522"/>
      <c r="M781" s="522"/>
      <c r="N781" s="522"/>
    </row>
    <row r="782">
      <c r="C782" s="522"/>
      <c r="D782" s="522"/>
      <c r="E782" s="522"/>
      <c r="F782" s="522"/>
      <c r="G782" s="522"/>
      <c r="H782" s="522"/>
      <c r="I782" s="522"/>
      <c r="J782" s="522"/>
      <c r="K782" s="522"/>
      <c r="L782" s="522"/>
      <c r="M782" s="522"/>
      <c r="N782" s="522"/>
    </row>
    <row r="783">
      <c r="C783" s="522"/>
      <c r="D783" s="522"/>
      <c r="E783" s="522"/>
      <c r="F783" s="522"/>
      <c r="G783" s="522"/>
      <c r="H783" s="522"/>
      <c r="I783" s="522"/>
      <c r="J783" s="522"/>
      <c r="K783" s="522"/>
      <c r="L783" s="522"/>
      <c r="M783" s="522"/>
      <c r="N783" s="522"/>
    </row>
    <row r="784">
      <c r="C784" s="522"/>
      <c r="D784" s="522"/>
      <c r="E784" s="522"/>
      <c r="F784" s="522"/>
      <c r="G784" s="522"/>
      <c r="H784" s="522"/>
      <c r="I784" s="522"/>
      <c r="J784" s="522"/>
      <c r="K784" s="522"/>
      <c r="L784" s="522"/>
      <c r="M784" s="522"/>
      <c r="N784" s="522"/>
    </row>
    <row r="785">
      <c r="C785" s="522"/>
      <c r="D785" s="522"/>
      <c r="E785" s="522"/>
      <c r="F785" s="522"/>
      <c r="G785" s="522"/>
      <c r="H785" s="522"/>
      <c r="I785" s="522"/>
      <c r="J785" s="522"/>
      <c r="K785" s="522"/>
      <c r="L785" s="522"/>
      <c r="M785" s="522"/>
      <c r="N785" s="522"/>
    </row>
    <row r="786">
      <c r="C786" s="522"/>
      <c r="D786" s="522"/>
      <c r="E786" s="522"/>
      <c r="F786" s="522"/>
      <c r="G786" s="522"/>
      <c r="H786" s="522"/>
      <c r="I786" s="522"/>
      <c r="J786" s="522"/>
      <c r="K786" s="522"/>
      <c r="L786" s="522"/>
      <c r="M786" s="522"/>
      <c r="N786" s="522"/>
    </row>
    <row r="787">
      <c r="C787" s="522"/>
      <c r="D787" s="522"/>
      <c r="E787" s="522"/>
      <c r="F787" s="522"/>
      <c r="G787" s="522"/>
      <c r="H787" s="522"/>
      <c r="I787" s="522"/>
      <c r="J787" s="522"/>
      <c r="K787" s="522"/>
      <c r="L787" s="522"/>
      <c r="M787" s="522"/>
      <c r="N787" s="522"/>
    </row>
    <row r="788">
      <c r="C788" s="522"/>
      <c r="D788" s="522"/>
      <c r="E788" s="522"/>
      <c r="F788" s="522"/>
      <c r="G788" s="522"/>
      <c r="H788" s="522"/>
      <c r="I788" s="522"/>
      <c r="J788" s="522"/>
      <c r="K788" s="522"/>
      <c r="L788" s="522"/>
      <c r="M788" s="522"/>
      <c r="N788" s="522"/>
    </row>
    <row r="789">
      <c r="C789" s="522"/>
      <c r="D789" s="522"/>
      <c r="E789" s="522"/>
      <c r="F789" s="522"/>
      <c r="G789" s="522"/>
      <c r="H789" s="522"/>
      <c r="I789" s="522"/>
      <c r="J789" s="522"/>
      <c r="K789" s="522"/>
      <c r="L789" s="522"/>
      <c r="M789" s="522"/>
      <c r="N789" s="522"/>
    </row>
    <row r="790">
      <c r="C790" s="522"/>
      <c r="D790" s="522"/>
      <c r="E790" s="522"/>
      <c r="F790" s="522"/>
      <c r="G790" s="522"/>
      <c r="H790" s="522"/>
      <c r="I790" s="522"/>
      <c r="J790" s="522"/>
      <c r="K790" s="522"/>
      <c r="L790" s="522"/>
      <c r="M790" s="522"/>
      <c r="N790" s="522"/>
    </row>
    <row r="791">
      <c r="C791" s="522"/>
      <c r="D791" s="522"/>
      <c r="E791" s="522"/>
      <c r="F791" s="522"/>
      <c r="G791" s="522"/>
      <c r="H791" s="522"/>
      <c r="I791" s="522"/>
      <c r="J791" s="522"/>
      <c r="K791" s="522"/>
      <c r="L791" s="522"/>
      <c r="M791" s="522"/>
      <c r="N791" s="522"/>
    </row>
    <row r="792">
      <c r="C792" s="522"/>
      <c r="D792" s="522"/>
      <c r="E792" s="522"/>
      <c r="F792" s="522"/>
      <c r="G792" s="522"/>
      <c r="H792" s="522"/>
      <c r="I792" s="522"/>
      <c r="J792" s="522"/>
      <c r="K792" s="522"/>
      <c r="L792" s="522"/>
      <c r="M792" s="522"/>
      <c r="N792" s="522"/>
    </row>
    <row r="793">
      <c r="C793" s="522"/>
      <c r="D793" s="522"/>
      <c r="E793" s="522"/>
      <c r="F793" s="522"/>
      <c r="G793" s="522"/>
      <c r="H793" s="522"/>
      <c r="I793" s="522"/>
      <c r="J793" s="522"/>
      <c r="K793" s="522"/>
      <c r="L793" s="522"/>
      <c r="M793" s="522"/>
      <c r="N793" s="522"/>
    </row>
    <row r="794">
      <c r="C794" s="522"/>
      <c r="D794" s="522"/>
      <c r="E794" s="522"/>
      <c r="F794" s="522"/>
      <c r="G794" s="522"/>
      <c r="H794" s="522"/>
      <c r="I794" s="522"/>
      <c r="J794" s="522"/>
      <c r="K794" s="522"/>
      <c r="L794" s="522"/>
      <c r="M794" s="522"/>
      <c r="N794" s="522"/>
    </row>
    <row r="795">
      <c r="C795" s="522"/>
      <c r="D795" s="522"/>
      <c r="E795" s="522"/>
      <c r="F795" s="522"/>
      <c r="G795" s="522"/>
      <c r="H795" s="522"/>
      <c r="I795" s="522"/>
      <c r="J795" s="522"/>
      <c r="K795" s="522"/>
      <c r="L795" s="522"/>
      <c r="M795" s="522"/>
      <c r="N795" s="522"/>
    </row>
    <row r="796">
      <c r="C796" s="522"/>
      <c r="D796" s="522"/>
      <c r="E796" s="522"/>
      <c r="F796" s="522"/>
      <c r="G796" s="522"/>
      <c r="H796" s="522"/>
      <c r="I796" s="522"/>
      <c r="J796" s="522"/>
      <c r="K796" s="522"/>
      <c r="L796" s="522"/>
      <c r="M796" s="522"/>
      <c r="N796" s="522"/>
    </row>
    <row r="797">
      <c r="C797" s="522"/>
      <c r="D797" s="522"/>
      <c r="E797" s="522"/>
      <c r="F797" s="522"/>
      <c r="G797" s="522"/>
      <c r="H797" s="522"/>
      <c r="I797" s="522"/>
      <c r="J797" s="522"/>
      <c r="K797" s="522"/>
      <c r="L797" s="522"/>
      <c r="M797" s="522"/>
      <c r="N797" s="522"/>
    </row>
    <row r="798">
      <c r="C798" s="522"/>
      <c r="D798" s="522"/>
      <c r="E798" s="522"/>
      <c r="F798" s="522"/>
      <c r="G798" s="522"/>
      <c r="H798" s="522"/>
      <c r="I798" s="522"/>
      <c r="J798" s="522"/>
      <c r="K798" s="522"/>
      <c r="L798" s="522"/>
      <c r="M798" s="522"/>
      <c r="N798" s="522"/>
    </row>
    <row r="799">
      <c r="C799" s="522"/>
      <c r="D799" s="522"/>
      <c r="E799" s="522"/>
      <c r="F799" s="522"/>
      <c r="G799" s="522"/>
      <c r="H799" s="522"/>
      <c r="I799" s="522"/>
      <c r="J799" s="522"/>
      <c r="K799" s="522"/>
      <c r="L799" s="522"/>
      <c r="M799" s="522"/>
      <c r="N799" s="522"/>
    </row>
    <row r="800">
      <c r="C800" s="522"/>
      <c r="D800" s="522"/>
      <c r="E800" s="522"/>
      <c r="F800" s="522"/>
      <c r="G800" s="522"/>
      <c r="H800" s="522"/>
      <c r="I800" s="522"/>
      <c r="J800" s="522"/>
      <c r="K800" s="522"/>
      <c r="L800" s="522"/>
      <c r="M800" s="522"/>
      <c r="N800" s="522"/>
    </row>
    <row r="801">
      <c r="C801" s="522"/>
      <c r="D801" s="522"/>
      <c r="E801" s="522"/>
      <c r="F801" s="522"/>
      <c r="G801" s="522"/>
      <c r="H801" s="522"/>
      <c r="I801" s="522"/>
      <c r="J801" s="522"/>
      <c r="K801" s="522"/>
      <c r="L801" s="522"/>
      <c r="M801" s="522"/>
      <c r="N801" s="522"/>
    </row>
    <row r="802">
      <c r="C802" s="522"/>
      <c r="D802" s="522"/>
      <c r="E802" s="522"/>
      <c r="F802" s="522"/>
      <c r="G802" s="522"/>
      <c r="H802" s="522"/>
      <c r="I802" s="522"/>
      <c r="J802" s="522"/>
      <c r="K802" s="522"/>
      <c r="L802" s="522"/>
      <c r="M802" s="522"/>
      <c r="N802" s="522"/>
    </row>
    <row r="803">
      <c r="C803" s="522"/>
      <c r="D803" s="522"/>
      <c r="E803" s="522"/>
      <c r="F803" s="522"/>
      <c r="G803" s="522"/>
      <c r="H803" s="522"/>
      <c r="I803" s="522"/>
      <c r="J803" s="522"/>
      <c r="K803" s="522"/>
      <c r="L803" s="522"/>
      <c r="M803" s="522"/>
      <c r="N803" s="522"/>
    </row>
    <row r="804">
      <c r="C804" s="522"/>
      <c r="D804" s="522"/>
      <c r="E804" s="522"/>
      <c r="F804" s="522"/>
      <c r="G804" s="522"/>
      <c r="H804" s="522"/>
      <c r="I804" s="522"/>
      <c r="J804" s="522"/>
      <c r="K804" s="522"/>
      <c r="L804" s="522"/>
      <c r="M804" s="522"/>
      <c r="N804" s="522"/>
    </row>
    <row r="805">
      <c r="C805" s="522"/>
      <c r="D805" s="522"/>
      <c r="E805" s="522"/>
      <c r="F805" s="522"/>
      <c r="G805" s="522"/>
      <c r="H805" s="522"/>
      <c r="I805" s="522"/>
      <c r="J805" s="522"/>
      <c r="K805" s="522"/>
      <c r="L805" s="522"/>
      <c r="M805" s="522"/>
      <c r="N805" s="522"/>
    </row>
    <row r="806">
      <c r="C806" s="522"/>
      <c r="D806" s="522"/>
      <c r="E806" s="522"/>
      <c r="F806" s="522"/>
      <c r="G806" s="522"/>
      <c r="H806" s="522"/>
      <c r="I806" s="522"/>
      <c r="J806" s="522"/>
      <c r="K806" s="522"/>
      <c r="L806" s="522"/>
      <c r="M806" s="522"/>
      <c r="N806" s="522"/>
    </row>
    <row r="807">
      <c r="C807" s="522"/>
      <c r="D807" s="522"/>
      <c r="E807" s="522"/>
      <c r="F807" s="522"/>
      <c r="G807" s="522"/>
      <c r="H807" s="522"/>
      <c r="I807" s="522"/>
      <c r="J807" s="522"/>
      <c r="K807" s="522"/>
      <c r="L807" s="522"/>
      <c r="M807" s="522"/>
      <c r="N807" s="522"/>
    </row>
    <row r="808">
      <c r="C808" s="522"/>
      <c r="D808" s="522"/>
      <c r="E808" s="522"/>
      <c r="F808" s="522"/>
      <c r="G808" s="522"/>
      <c r="H808" s="522"/>
      <c r="I808" s="522"/>
      <c r="J808" s="522"/>
      <c r="K808" s="522"/>
      <c r="L808" s="522"/>
      <c r="M808" s="522"/>
      <c r="N808" s="522"/>
    </row>
    <row r="809">
      <c r="C809" s="522"/>
      <c r="D809" s="522"/>
      <c r="E809" s="522"/>
      <c r="F809" s="522"/>
      <c r="G809" s="522"/>
      <c r="H809" s="522"/>
      <c r="I809" s="522"/>
      <c r="J809" s="522"/>
      <c r="K809" s="522"/>
      <c r="L809" s="522"/>
      <c r="M809" s="522"/>
      <c r="N809" s="522"/>
    </row>
    <row r="810">
      <c r="C810" s="522"/>
      <c r="D810" s="522"/>
      <c r="E810" s="522"/>
      <c r="F810" s="522"/>
      <c r="G810" s="522"/>
      <c r="H810" s="522"/>
      <c r="I810" s="522"/>
      <c r="J810" s="522"/>
      <c r="K810" s="522"/>
      <c r="L810" s="522"/>
      <c r="M810" s="522"/>
      <c r="N810" s="522"/>
    </row>
    <row r="811">
      <c r="C811" s="522"/>
      <c r="D811" s="522"/>
      <c r="E811" s="522"/>
      <c r="F811" s="522"/>
      <c r="G811" s="522"/>
      <c r="H811" s="522"/>
      <c r="I811" s="522"/>
      <c r="J811" s="522"/>
      <c r="K811" s="522"/>
      <c r="L811" s="522"/>
      <c r="M811" s="522"/>
      <c r="N811" s="522"/>
    </row>
    <row r="812">
      <c r="C812" s="522"/>
      <c r="D812" s="522"/>
      <c r="E812" s="522"/>
      <c r="F812" s="522"/>
      <c r="G812" s="522"/>
      <c r="H812" s="522"/>
      <c r="I812" s="522"/>
      <c r="J812" s="522"/>
      <c r="K812" s="522"/>
      <c r="L812" s="522"/>
      <c r="M812" s="522"/>
      <c r="N812" s="522"/>
    </row>
    <row r="813">
      <c r="C813" s="522"/>
      <c r="D813" s="522"/>
      <c r="E813" s="522"/>
      <c r="F813" s="522"/>
      <c r="G813" s="522"/>
      <c r="H813" s="522"/>
      <c r="I813" s="522"/>
      <c r="J813" s="522"/>
      <c r="K813" s="522"/>
      <c r="L813" s="522"/>
      <c r="M813" s="522"/>
      <c r="N813" s="522"/>
    </row>
    <row r="814">
      <c r="C814" s="522"/>
      <c r="D814" s="522"/>
      <c r="E814" s="522"/>
      <c r="F814" s="522"/>
      <c r="G814" s="522"/>
      <c r="H814" s="522"/>
      <c r="I814" s="522"/>
      <c r="J814" s="522"/>
      <c r="K814" s="522"/>
      <c r="L814" s="522"/>
      <c r="M814" s="522"/>
      <c r="N814" s="522"/>
    </row>
    <row r="815">
      <c r="C815" s="522"/>
      <c r="D815" s="522"/>
      <c r="E815" s="522"/>
      <c r="F815" s="522"/>
      <c r="G815" s="522"/>
      <c r="H815" s="522"/>
      <c r="I815" s="522"/>
      <c r="J815" s="522"/>
      <c r="K815" s="522"/>
      <c r="L815" s="522"/>
      <c r="M815" s="522"/>
      <c r="N815" s="522"/>
    </row>
    <row r="816">
      <c r="C816" s="522"/>
      <c r="D816" s="522"/>
      <c r="E816" s="522"/>
      <c r="F816" s="522"/>
      <c r="G816" s="522"/>
      <c r="H816" s="522"/>
      <c r="I816" s="522"/>
      <c r="J816" s="522"/>
      <c r="K816" s="522"/>
      <c r="L816" s="522"/>
      <c r="M816" s="522"/>
      <c r="N816" s="522"/>
    </row>
    <row r="817">
      <c r="C817" s="522"/>
      <c r="D817" s="522"/>
      <c r="E817" s="522"/>
      <c r="F817" s="522"/>
      <c r="G817" s="522"/>
      <c r="H817" s="522"/>
      <c r="I817" s="522"/>
      <c r="J817" s="522"/>
      <c r="K817" s="522"/>
      <c r="L817" s="522"/>
      <c r="M817" s="522"/>
      <c r="N817" s="522"/>
    </row>
    <row r="818">
      <c r="C818" s="522"/>
      <c r="D818" s="522"/>
      <c r="E818" s="522"/>
      <c r="F818" s="522"/>
      <c r="G818" s="522"/>
      <c r="H818" s="522"/>
      <c r="I818" s="522"/>
      <c r="J818" s="522"/>
      <c r="K818" s="522"/>
      <c r="L818" s="522"/>
      <c r="M818" s="522"/>
      <c r="N818" s="522"/>
    </row>
    <row r="819">
      <c r="C819" s="522"/>
      <c r="D819" s="522"/>
      <c r="E819" s="522"/>
      <c r="F819" s="522"/>
      <c r="G819" s="522"/>
      <c r="H819" s="522"/>
      <c r="I819" s="522"/>
      <c r="J819" s="522"/>
      <c r="K819" s="522"/>
      <c r="L819" s="522"/>
      <c r="M819" s="522"/>
      <c r="N819" s="522"/>
    </row>
    <row r="820">
      <c r="C820" s="522"/>
      <c r="D820" s="522"/>
      <c r="E820" s="522"/>
      <c r="F820" s="522"/>
      <c r="G820" s="522"/>
      <c r="H820" s="522"/>
      <c r="I820" s="522"/>
      <c r="J820" s="522"/>
      <c r="K820" s="522"/>
      <c r="L820" s="522"/>
      <c r="M820" s="522"/>
      <c r="N820" s="522"/>
    </row>
    <row r="821">
      <c r="C821" s="522"/>
      <c r="D821" s="522"/>
      <c r="E821" s="522"/>
      <c r="F821" s="522"/>
      <c r="G821" s="522"/>
      <c r="H821" s="522"/>
      <c r="I821" s="522"/>
      <c r="J821" s="522"/>
      <c r="K821" s="522"/>
      <c r="L821" s="522"/>
      <c r="M821" s="522"/>
      <c r="N821" s="522"/>
    </row>
    <row r="822">
      <c r="C822" s="522"/>
      <c r="D822" s="522"/>
      <c r="E822" s="522"/>
      <c r="F822" s="522"/>
      <c r="G822" s="522"/>
      <c r="H822" s="522"/>
      <c r="I822" s="522"/>
      <c r="J822" s="522"/>
      <c r="K822" s="522"/>
      <c r="L822" s="522"/>
      <c r="M822" s="522"/>
      <c r="N822" s="522"/>
    </row>
    <row r="823">
      <c r="C823" s="522"/>
      <c r="D823" s="522"/>
      <c r="E823" s="522"/>
      <c r="F823" s="522"/>
      <c r="G823" s="522"/>
      <c r="H823" s="522"/>
      <c r="I823" s="522"/>
      <c r="J823" s="522"/>
      <c r="K823" s="522"/>
      <c r="L823" s="522"/>
      <c r="M823" s="522"/>
      <c r="N823" s="522"/>
    </row>
    <row r="824">
      <c r="C824" s="522"/>
      <c r="D824" s="522"/>
      <c r="E824" s="522"/>
      <c r="F824" s="522"/>
      <c r="G824" s="522"/>
      <c r="H824" s="522"/>
      <c r="I824" s="522"/>
      <c r="J824" s="522"/>
      <c r="K824" s="522"/>
      <c r="L824" s="522"/>
      <c r="M824" s="522"/>
      <c r="N824" s="522"/>
    </row>
    <row r="825">
      <c r="C825" s="522"/>
      <c r="D825" s="522"/>
      <c r="E825" s="522"/>
      <c r="F825" s="522"/>
      <c r="G825" s="522"/>
      <c r="H825" s="522"/>
      <c r="I825" s="522"/>
      <c r="J825" s="522"/>
      <c r="K825" s="522"/>
      <c r="L825" s="522"/>
      <c r="M825" s="522"/>
      <c r="N825" s="522"/>
    </row>
    <row r="826">
      <c r="C826" s="522"/>
      <c r="D826" s="522"/>
      <c r="E826" s="522"/>
      <c r="F826" s="522"/>
      <c r="G826" s="522"/>
      <c r="H826" s="522"/>
      <c r="I826" s="522"/>
      <c r="J826" s="522"/>
      <c r="K826" s="522"/>
      <c r="L826" s="522"/>
      <c r="M826" s="522"/>
      <c r="N826" s="522"/>
    </row>
    <row r="827">
      <c r="C827" s="522"/>
      <c r="D827" s="522"/>
      <c r="E827" s="522"/>
      <c r="F827" s="522"/>
      <c r="G827" s="522"/>
      <c r="H827" s="522"/>
      <c r="I827" s="522"/>
      <c r="J827" s="522"/>
      <c r="K827" s="522"/>
      <c r="L827" s="522"/>
      <c r="M827" s="522"/>
      <c r="N827" s="522"/>
    </row>
    <row r="828">
      <c r="C828" s="522"/>
      <c r="D828" s="522"/>
      <c r="E828" s="522"/>
      <c r="F828" s="522"/>
      <c r="G828" s="522"/>
      <c r="H828" s="522"/>
      <c r="I828" s="522"/>
      <c r="J828" s="522"/>
      <c r="K828" s="522"/>
      <c r="L828" s="522"/>
      <c r="M828" s="522"/>
      <c r="N828" s="522"/>
    </row>
    <row r="829">
      <c r="C829" s="522"/>
      <c r="D829" s="522"/>
      <c r="E829" s="522"/>
      <c r="F829" s="522"/>
      <c r="G829" s="522"/>
      <c r="H829" s="522"/>
      <c r="I829" s="522"/>
      <c r="J829" s="522"/>
      <c r="K829" s="522"/>
      <c r="L829" s="522"/>
      <c r="M829" s="522"/>
      <c r="N829" s="522"/>
    </row>
    <row r="830">
      <c r="C830" s="522"/>
      <c r="D830" s="522"/>
      <c r="E830" s="522"/>
      <c r="F830" s="522"/>
      <c r="G830" s="522"/>
      <c r="H830" s="522"/>
      <c r="I830" s="522"/>
      <c r="J830" s="522"/>
      <c r="K830" s="522"/>
      <c r="L830" s="522"/>
      <c r="M830" s="522"/>
      <c r="N830" s="522"/>
    </row>
    <row r="831">
      <c r="C831" s="522"/>
      <c r="D831" s="522"/>
      <c r="E831" s="522"/>
      <c r="F831" s="522"/>
      <c r="G831" s="522"/>
      <c r="H831" s="522"/>
      <c r="I831" s="522"/>
      <c r="J831" s="522"/>
      <c r="K831" s="522"/>
      <c r="L831" s="522"/>
      <c r="M831" s="522"/>
      <c r="N831" s="522"/>
    </row>
    <row r="832">
      <c r="C832" s="522"/>
      <c r="D832" s="522"/>
      <c r="E832" s="522"/>
      <c r="F832" s="522"/>
      <c r="G832" s="522"/>
      <c r="H832" s="522"/>
      <c r="I832" s="522"/>
      <c r="J832" s="522"/>
      <c r="K832" s="522"/>
      <c r="L832" s="522"/>
      <c r="M832" s="522"/>
      <c r="N832" s="522"/>
    </row>
    <row r="833">
      <c r="C833" s="522"/>
      <c r="D833" s="522"/>
      <c r="E833" s="522"/>
      <c r="F833" s="522"/>
      <c r="G833" s="522"/>
      <c r="H833" s="522"/>
      <c r="I833" s="522"/>
      <c r="J833" s="522"/>
      <c r="K833" s="522"/>
      <c r="L833" s="522"/>
      <c r="M833" s="522"/>
      <c r="N833" s="522"/>
    </row>
    <row r="834">
      <c r="C834" s="522"/>
      <c r="D834" s="522"/>
      <c r="E834" s="522"/>
      <c r="F834" s="522"/>
      <c r="G834" s="522"/>
      <c r="H834" s="522"/>
      <c r="I834" s="522"/>
      <c r="J834" s="522"/>
      <c r="K834" s="522"/>
      <c r="L834" s="522"/>
      <c r="M834" s="522"/>
      <c r="N834" s="522"/>
    </row>
    <row r="835">
      <c r="C835" s="522"/>
      <c r="D835" s="522"/>
      <c r="E835" s="522"/>
      <c r="F835" s="522"/>
      <c r="G835" s="522"/>
      <c r="H835" s="522"/>
      <c r="I835" s="522"/>
      <c r="J835" s="522"/>
      <c r="K835" s="522"/>
      <c r="L835" s="522"/>
      <c r="M835" s="522"/>
      <c r="N835" s="522"/>
    </row>
    <row r="836">
      <c r="C836" s="522"/>
      <c r="D836" s="522"/>
      <c r="E836" s="522"/>
      <c r="F836" s="522"/>
      <c r="G836" s="522"/>
      <c r="H836" s="522"/>
      <c r="I836" s="522"/>
      <c r="J836" s="522"/>
      <c r="K836" s="522"/>
      <c r="L836" s="522"/>
      <c r="M836" s="522"/>
      <c r="N836" s="522"/>
    </row>
    <row r="837">
      <c r="C837" s="522"/>
      <c r="D837" s="522"/>
      <c r="E837" s="522"/>
      <c r="F837" s="522"/>
      <c r="G837" s="522"/>
      <c r="H837" s="522"/>
      <c r="I837" s="522"/>
      <c r="J837" s="522"/>
      <c r="K837" s="522"/>
      <c r="L837" s="522"/>
      <c r="M837" s="522"/>
      <c r="N837" s="522"/>
    </row>
    <row r="838">
      <c r="C838" s="522"/>
      <c r="D838" s="522"/>
      <c r="E838" s="522"/>
      <c r="F838" s="522"/>
      <c r="G838" s="522"/>
      <c r="H838" s="522"/>
      <c r="I838" s="522"/>
      <c r="J838" s="522"/>
      <c r="K838" s="522"/>
      <c r="L838" s="522"/>
      <c r="M838" s="522"/>
      <c r="N838" s="522"/>
    </row>
    <row r="839">
      <c r="C839" s="522"/>
      <c r="D839" s="522"/>
      <c r="E839" s="522"/>
      <c r="F839" s="522"/>
      <c r="G839" s="522"/>
      <c r="H839" s="522"/>
      <c r="I839" s="522"/>
      <c r="J839" s="522"/>
      <c r="K839" s="522"/>
      <c r="L839" s="522"/>
      <c r="M839" s="522"/>
      <c r="N839" s="522"/>
    </row>
    <row r="840">
      <c r="C840" s="522"/>
      <c r="D840" s="522"/>
      <c r="E840" s="522"/>
      <c r="F840" s="522"/>
      <c r="G840" s="522"/>
      <c r="H840" s="522"/>
      <c r="I840" s="522"/>
      <c r="J840" s="522"/>
      <c r="K840" s="522"/>
      <c r="L840" s="522"/>
      <c r="M840" s="522"/>
      <c r="N840" s="522"/>
    </row>
    <row r="841">
      <c r="C841" s="522"/>
      <c r="D841" s="522"/>
      <c r="E841" s="522"/>
      <c r="F841" s="522"/>
      <c r="G841" s="522"/>
      <c r="H841" s="522"/>
      <c r="I841" s="522"/>
      <c r="J841" s="522"/>
      <c r="K841" s="522"/>
      <c r="L841" s="522"/>
      <c r="M841" s="522"/>
      <c r="N841" s="522"/>
    </row>
    <row r="842">
      <c r="C842" s="522"/>
      <c r="D842" s="522"/>
      <c r="E842" s="522"/>
      <c r="F842" s="522"/>
      <c r="G842" s="522"/>
      <c r="H842" s="522"/>
      <c r="I842" s="522"/>
      <c r="J842" s="522"/>
      <c r="K842" s="522"/>
      <c r="L842" s="522"/>
      <c r="M842" s="522"/>
      <c r="N842" s="522"/>
    </row>
    <row r="843">
      <c r="C843" s="522"/>
      <c r="D843" s="522"/>
      <c r="E843" s="522"/>
      <c r="F843" s="522"/>
      <c r="G843" s="522"/>
      <c r="H843" s="522"/>
      <c r="I843" s="522"/>
      <c r="J843" s="522"/>
      <c r="K843" s="522"/>
      <c r="L843" s="522"/>
      <c r="M843" s="522"/>
      <c r="N843" s="522"/>
    </row>
    <row r="844">
      <c r="C844" s="522"/>
      <c r="D844" s="522"/>
      <c r="E844" s="522"/>
      <c r="F844" s="522"/>
      <c r="G844" s="522"/>
      <c r="H844" s="522"/>
      <c r="I844" s="522"/>
      <c r="J844" s="522"/>
      <c r="K844" s="522"/>
      <c r="L844" s="522"/>
      <c r="M844" s="522"/>
      <c r="N844" s="522"/>
    </row>
    <row r="845">
      <c r="C845" s="522"/>
      <c r="D845" s="522"/>
      <c r="E845" s="522"/>
      <c r="F845" s="522"/>
      <c r="G845" s="522"/>
      <c r="H845" s="522"/>
      <c r="I845" s="522"/>
      <c r="J845" s="522"/>
      <c r="K845" s="522"/>
      <c r="L845" s="522"/>
      <c r="M845" s="522"/>
      <c r="N845" s="522"/>
    </row>
    <row r="846">
      <c r="C846" s="522"/>
      <c r="D846" s="522"/>
      <c r="E846" s="522"/>
      <c r="F846" s="522"/>
      <c r="G846" s="522"/>
      <c r="H846" s="522"/>
      <c r="I846" s="522"/>
      <c r="J846" s="522"/>
      <c r="K846" s="522"/>
      <c r="L846" s="522"/>
      <c r="M846" s="522"/>
      <c r="N846" s="522"/>
    </row>
    <row r="847">
      <c r="C847" s="522"/>
      <c r="D847" s="522"/>
      <c r="E847" s="522"/>
      <c r="F847" s="522"/>
      <c r="G847" s="522"/>
      <c r="H847" s="522"/>
      <c r="I847" s="522"/>
      <c r="J847" s="522"/>
      <c r="K847" s="522"/>
      <c r="L847" s="522"/>
      <c r="M847" s="522"/>
      <c r="N847" s="522"/>
    </row>
    <row r="848">
      <c r="C848" s="522"/>
      <c r="D848" s="522"/>
      <c r="E848" s="522"/>
      <c r="F848" s="522"/>
      <c r="G848" s="522"/>
      <c r="H848" s="522"/>
      <c r="I848" s="522"/>
      <c r="J848" s="522"/>
      <c r="K848" s="522"/>
      <c r="L848" s="522"/>
      <c r="M848" s="522"/>
      <c r="N848" s="522"/>
    </row>
    <row r="849">
      <c r="C849" s="522"/>
      <c r="D849" s="522"/>
      <c r="E849" s="522"/>
      <c r="F849" s="522"/>
      <c r="G849" s="522"/>
      <c r="H849" s="522"/>
      <c r="I849" s="522"/>
      <c r="J849" s="522"/>
      <c r="K849" s="522"/>
      <c r="L849" s="522"/>
      <c r="M849" s="522"/>
      <c r="N849" s="522"/>
    </row>
    <row r="850">
      <c r="C850" s="522"/>
      <c r="D850" s="522"/>
      <c r="E850" s="522"/>
      <c r="F850" s="522"/>
      <c r="G850" s="522"/>
      <c r="H850" s="522"/>
      <c r="I850" s="522"/>
      <c r="J850" s="522"/>
      <c r="K850" s="522"/>
      <c r="L850" s="522"/>
      <c r="M850" s="522"/>
      <c r="N850" s="522"/>
    </row>
    <row r="851">
      <c r="C851" s="522"/>
      <c r="D851" s="522"/>
      <c r="E851" s="522"/>
      <c r="F851" s="522"/>
      <c r="G851" s="522"/>
      <c r="H851" s="522"/>
      <c r="I851" s="522"/>
      <c r="J851" s="522"/>
      <c r="K851" s="522"/>
      <c r="L851" s="522"/>
      <c r="M851" s="522"/>
      <c r="N851" s="522"/>
    </row>
    <row r="852">
      <c r="C852" s="522"/>
      <c r="D852" s="522"/>
      <c r="E852" s="522"/>
      <c r="F852" s="522"/>
      <c r="G852" s="522"/>
      <c r="H852" s="522"/>
      <c r="I852" s="522"/>
      <c r="J852" s="522"/>
      <c r="K852" s="522"/>
      <c r="L852" s="522"/>
      <c r="M852" s="522"/>
      <c r="N852" s="522"/>
    </row>
    <row r="853">
      <c r="C853" s="522"/>
      <c r="D853" s="522"/>
      <c r="E853" s="522"/>
      <c r="F853" s="522"/>
      <c r="G853" s="522"/>
      <c r="H853" s="522"/>
      <c r="I853" s="522"/>
      <c r="J853" s="522"/>
      <c r="K853" s="522"/>
      <c r="L853" s="522"/>
      <c r="M853" s="522"/>
      <c r="N853" s="522"/>
    </row>
    <row r="854">
      <c r="C854" s="522"/>
      <c r="D854" s="522"/>
      <c r="E854" s="522"/>
      <c r="F854" s="522"/>
      <c r="G854" s="522"/>
      <c r="H854" s="522"/>
      <c r="I854" s="522"/>
      <c r="J854" s="522"/>
      <c r="K854" s="522"/>
      <c r="L854" s="522"/>
      <c r="M854" s="522"/>
      <c r="N854" s="522"/>
    </row>
    <row r="855">
      <c r="C855" s="522"/>
      <c r="D855" s="522"/>
      <c r="E855" s="522"/>
      <c r="F855" s="522"/>
      <c r="G855" s="522"/>
      <c r="H855" s="522"/>
      <c r="I855" s="522"/>
      <c r="J855" s="522"/>
      <c r="K855" s="522"/>
      <c r="L855" s="522"/>
      <c r="M855" s="522"/>
      <c r="N855" s="522"/>
    </row>
    <row r="856">
      <c r="C856" s="522"/>
      <c r="D856" s="522"/>
      <c r="E856" s="522"/>
      <c r="F856" s="522"/>
      <c r="G856" s="522"/>
      <c r="H856" s="522"/>
      <c r="I856" s="522"/>
      <c r="J856" s="522"/>
      <c r="K856" s="522"/>
      <c r="L856" s="522"/>
      <c r="M856" s="522"/>
      <c r="N856" s="522"/>
    </row>
    <row r="857">
      <c r="C857" s="522"/>
      <c r="D857" s="522"/>
      <c r="E857" s="522"/>
      <c r="F857" s="522"/>
      <c r="G857" s="522"/>
      <c r="H857" s="522"/>
      <c r="I857" s="522"/>
      <c r="J857" s="522"/>
      <c r="K857" s="522"/>
      <c r="L857" s="522"/>
      <c r="M857" s="522"/>
      <c r="N857" s="522"/>
    </row>
    <row r="858">
      <c r="C858" s="522"/>
      <c r="D858" s="522"/>
      <c r="E858" s="522"/>
      <c r="F858" s="522"/>
      <c r="G858" s="522"/>
      <c r="H858" s="522"/>
      <c r="I858" s="522"/>
      <c r="J858" s="522"/>
      <c r="K858" s="522"/>
      <c r="L858" s="522"/>
      <c r="M858" s="522"/>
      <c r="N858" s="522"/>
    </row>
    <row r="859">
      <c r="C859" s="522"/>
      <c r="D859" s="522"/>
      <c r="E859" s="522"/>
      <c r="F859" s="522"/>
      <c r="G859" s="522"/>
      <c r="H859" s="522"/>
      <c r="I859" s="522"/>
      <c r="J859" s="522"/>
      <c r="K859" s="522"/>
      <c r="L859" s="522"/>
      <c r="M859" s="522"/>
      <c r="N859" s="522"/>
    </row>
    <row r="860">
      <c r="C860" s="522"/>
      <c r="D860" s="522"/>
      <c r="E860" s="522"/>
      <c r="F860" s="522"/>
      <c r="G860" s="522"/>
      <c r="H860" s="522"/>
      <c r="I860" s="522"/>
      <c r="J860" s="522"/>
      <c r="K860" s="522"/>
      <c r="L860" s="522"/>
      <c r="M860" s="522"/>
      <c r="N860" s="522"/>
    </row>
    <row r="861">
      <c r="C861" s="522"/>
      <c r="D861" s="522"/>
      <c r="E861" s="522"/>
      <c r="F861" s="522"/>
      <c r="G861" s="522"/>
      <c r="H861" s="522"/>
      <c r="I861" s="522"/>
      <c r="J861" s="522"/>
      <c r="K861" s="522"/>
      <c r="L861" s="522"/>
      <c r="M861" s="522"/>
      <c r="N861" s="522"/>
    </row>
    <row r="862">
      <c r="C862" s="522"/>
      <c r="D862" s="522"/>
      <c r="E862" s="522"/>
      <c r="F862" s="522"/>
      <c r="G862" s="522"/>
      <c r="H862" s="522"/>
      <c r="I862" s="522"/>
      <c r="J862" s="522"/>
      <c r="K862" s="522"/>
      <c r="L862" s="522"/>
      <c r="M862" s="522"/>
      <c r="N862" s="522"/>
    </row>
    <row r="863">
      <c r="C863" s="522"/>
      <c r="D863" s="522"/>
      <c r="E863" s="522"/>
      <c r="F863" s="522"/>
      <c r="G863" s="522"/>
      <c r="H863" s="522"/>
      <c r="I863" s="522"/>
      <c r="J863" s="522"/>
      <c r="K863" s="522"/>
      <c r="L863" s="522"/>
      <c r="M863" s="522"/>
      <c r="N863" s="522"/>
    </row>
    <row r="864">
      <c r="C864" s="522"/>
      <c r="D864" s="522"/>
      <c r="E864" s="522"/>
      <c r="F864" s="522"/>
      <c r="G864" s="522"/>
      <c r="H864" s="522"/>
      <c r="I864" s="522"/>
      <c r="J864" s="522"/>
      <c r="K864" s="522"/>
      <c r="L864" s="522"/>
      <c r="M864" s="522"/>
      <c r="N864" s="522"/>
    </row>
    <row r="865">
      <c r="C865" s="522"/>
      <c r="D865" s="522"/>
      <c r="E865" s="522"/>
      <c r="F865" s="522"/>
      <c r="G865" s="522"/>
      <c r="H865" s="522"/>
      <c r="I865" s="522"/>
      <c r="J865" s="522"/>
      <c r="K865" s="522"/>
      <c r="L865" s="522"/>
      <c r="M865" s="522"/>
      <c r="N865" s="522"/>
    </row>
    <row r="866">
      <c r="C866" s="522"/>
      <c r="D866" s="522"/>
      <c r="E866" s="522"/>
      <c r="F866" s="522"/>
      <c r="G866" s="522"/>
      <c r="H866" s="522"/>
      <c r="I866" s="522"/>
      <c r="J866" s="522"/>
      <c r="K866" s="522"/>
      <c r="L866" s="522"/>
      <c r="M866" s="522"/>
      <c r="N866" s="522"/>
    </row>
    <row r="867">
      <c r="C867" s="522"/>
      <c r="D867" s="522"/>
      <c r="E867" s="522"/>
      <c r="F867" s="522"/>
      <c r="G867" s="522"/>
      <c r="H867" s="522"/>
      <c r="I867" s="522"/>
      <c r="J867" s="522"/>
      <c r="K867" s="522"/>
      <c r="L867" s="522"/>
      <c r="M867" s="522"/>
      <c r="N867" s="522"/>
    </row>
    <row r="868">
      <c r="C868" s="522"/>
      <c r="D868" s="522"/>
      <c r="E868" s="522"/>
      <c r="F868" s="522"/>
      <c r="G868" s="522"/>
      <c r="H868" s="522"/>
      <c r="I868" s="522"/>
      <c r="J868" s="522"/>
      <c r="K868" s="522"/>
      <c r="L868" s="522"/>
      <c r="M868" s="522"/>
      <c r="N868" s="522"/>
    </row>
    <row r="869">
      <c r="C869" s="522"/>
      <c r="D869" s="522"/>
      <c r="E869" s="522"/>
      <c r="F869" s="522"/>
      <c r="G869" s="522"/>
      <c r="H869" s="522"/>
      <c r="I869" s="522"/>
      <c r="J869" s="522"/>
      <c r="K869" s="522"/>
      <c r="L869" s="522"/>
      <c r="M869" s="522"/>
      <c r="N869" s="522"/>
    </row>
    <row r="870">
      <c r="C870" s="522"/>
      <c r="D870" s="522"/>
      <c r="E870" s="522"/>
      <c r="F870" s="522"/>
      <c r="G870" s="522"/>
      <c r="H870" s="522"/>
      <c r="I870" s="522"/>
      <c r="J870" s="522"/>
      <c r="K870" s="522"/>
      <c r="L870" s="522"/>
      <c r="M870" s="522"/>
      <c r="N870" s="522"/>
    </row>
    <row r="871">
      <c r="C871" s="522"/>
      <c r="D871" s="522"/>
      <c r="E871" s="522"/>
      <c r="F871" s="522"/>
      <c r="G871" s="522"/>
      <c r="H871" s="522"/>
      <c r="I871" s="522"/>
      <c r="J871" s="522"/>
      <c r="K871" s="522"/>
      <c r="L871" s="522"/>
      <c r="M871" s="522"/>
      <c r="N871" s="522"/>
    </row>
    <row r="872">
      <c r="C872" s="522"/>
      <c r="D872" s="522"/>
      <c r="E872" s="522"/>
      <c r="F872" s="522"/>
      <c r="G872" s="522"/>
      <c r="H872" s="522"/>
      <c r="I872" s="522"/>
      <c r="J872" s="522"/>
      <c r="K872" s="522"/>
      <c r="L872" s="522"/>
      <c r="M872" s="522"/>
      <c r="N872" s="522"/>
    </row>
    <row r="873">
      <c r="C873" s="522"/>
      <c r="D873" s="522"/>
      <c r="E873" s="522"/>
      <c r="F873" s="522"/>
      <c r="G873" s="522"/>
      <c r="H873" s="522"/>
      <c r="I873" s="522"/>
      <c r="J873" s="522"/>
      <c r="K873" s="522"/>
      <c r="L873" s="522"/>
      <c r="M873" s="522"/>
      <c r="N873" s="522"/>
    </row>
    <row r="874">
      <c r="C874" s="522"/>
      <c r="D874" s="522"/>
      <c r="E874" s="522"/>
      <c r="F874" s="522"/>
      <c r="G874" s="522"/>
      <c r="H874" s="522"/>
      <c r="I874" s="522"/>
      <c r="J874" s="522"/>
      <c r="K874" s="522"/>
      <c r="L874" s="522"/>
      <c r="M874" s="522"/>
      <c r="N874" s="522"/>
    </row>
    <row r="875">
      <c r="C875" s="522"/>
      <c r="D875" s="522"/>
      <c r="E875" s="522"/>
      <c r="F875" s="522"/>
      <c r="G875" s="522"/>
      <c r="H875" s="522"/>
      <c r="I875" s="522"/>
      <c r="J875" s="522"/>
      <c r="K875" s="522"/>
      <c r="L875" s="522"/>
      <c r="M875" s="522"/>
      <c r="N875" s="522"/>
    </row>
    <row r="876">
      <c r="C876" s="522"/>
      <c r="D876" s="522"/>
      <c r="E876" s="522"/>
      <c r="F876" s="522"/>
      <c r="G876" s="522"/>
      <c r="H876" s="522"/>
      <c r="I876" s="522"/>
      <c r="J876" s="522"/>
      <c r="K876" s="522"/>
      <c r="L876" s="522"/>
      <c r="M876" s="522"/>
      <c r="N876" s="522"/>
    </row>
    <row r="877">
      <c r="C877" s="522"/>
      <c r="D877" s="522"/>
      <c r="E877" s="522"/>
      <c r="F877" s="522"/>
      <c r="G877" s="522"/>
      <c r="H877" s="522"/>
      <c r="I877" s="522"/>
      <c r="J877" s="522"/>
      <c r="K877" s="522"/>
      <c r="L877" s="522"/>
      <c r="M877" s="522"/>
      <c r="N877" s="522"/>
    </row>
    <row r="878">
      <c r="C878" s="522"/>
      <c r="D878" s="522"/>
      <c r="E878" s="522"/>
      <c r="F878" s="522"/>
      <c r="G878" s="522"/>
      <c r="H878" s="522"/>
      <c r="I878" s="522"/>
      <c r="J878" s="522"/>
      <c r="K878" s="522"/>
      <c r="L878" s="522"/>
      <c r="M878" s="522"/>
      <c r="N878" s="522"/>
    </row>
    <row r="879">
      <c r="C879" s="522"/>
      <c r="D879" s="522"/>
      <c r="E879" s="522"/>
      <c r="F879" s="522"/>
      <c r="G879" s="522"/>
      <c r="H879" s="522"/>
      <c r="I879" s="522"/>
      <c r="J879" s="522"/>
      <c r="K879" s="522"/>
      <c r="L879" s="522"/>
      <c r="M879" s="522"/>
      <c r="N879" s="522"/>
    </row>
    <row r="880">
      <c r="C880" s="522"/>
      <c r="D880" s="522"/>
      <c r="E880" s="522"/>
      <c r="F880" s="522"/>
      <c r="G880" s="522"/>
      <c r="H880" s="522"/>
      <c r="I880" s="522"/>
      <c r="J880" s="522"/>
      <c r="K880" s="522"/>
      <c r="L880" s="522"/>
      <c r="M880" s="522"/>
      <c r="N880" s="522"/>
    </row>
    <row r="881">
      <c r="C881" s="522"/>
      <c r="D881" s="522"/>
      <c r="E881" s="522"/>
      <c r="F881" s="522"/>
      <c r="G881" s="522"/>
      <c r="H881" s="522"/>
      <c r="I881" s="522"/>
      <c r="J881" s="522"/>
      <c r="K881" s="522"/>
      <c r="L881" s="522"/>
      <c r="M881" s="522"/>
      <c r="N881" s="522"/>
    </row>
    <row r="882">
      <c r="C882" s="522"/>
      <c r="D882" s="522"/>
      <c r="E882" s="522"/>
      <c r="F882" s="522"/>
      <c r="G882" s="522"/>
      <c r="H882" s="522"/>
      <c r="I882" s="522"/>
      <c r="J882" s="522"/>
      <c r="K882" s="522"/>
      <c r="L882" s="522"/>
      <c r="M882" s="522"/>
      <c r="N882" s="522"/>
    </row>
    <row r="883">
      <c r="C883" s="522"/>
      <c r="D883" s="522"/>
      <c r="E883" s="522"/>
      <c r="F883" s="522"/>
      <c r="G883" s="522"/>
      <c r="H883" s="522"/>
      <c r="I883" s="522"/>
      <c r="J883" s="522"/>
      <c r="K883" s="522"/>
      <c r="L883" s="522"/>
      <c r="M883" s="522"/>
      <c r="N883" s="522"/>
    </row>
    <row r="884">
      <c r="C884" s="522"/>
      <c r="D884" s="522"/>
      <c r="E884" s="522"/>
      <c r="F884" s="522"/>
      <c r="G884" s="522"/>
      <c r="H884" s="522"/>
      <c r="I884" s="522"/>
      <c r="J884" s="522"/>
      <c r="K884" s="522"/>
      <c r="L884" s="522"/>
      <c r="M884" s="522"/>
      <c r="N884" s="522"/>
    </row>
    <row r="885">
      <c r="C885" s="522"/>
      <c r="D885" s="522"/>
      <c r="E885" s="522"/>
      <c r="F885" s="522"/>
      <c r="G885" s="522"/>
      <c r="H885" s="522"/>
      <c r="I885" s="522"/>
      <c r="J885" s="522"/>
      <c r="K885" s="522"/>
      <c r="L885" s="522"/>
      <c r="M885" s="522"/>
      <c r="N885" s="522"/>
    </row>
    <row r="886">
      <c r="C886" s="522"/>
      <c r="D886" s="522"/>
      <c r="E886" s="522"/>
      <c r="F886" s="522"/>
      <c r="G886" s="522"/>
      <c r="H886" s="522"/>
      <c r="I886" s="522"/>
      <c r="J886" s="522"/>
      <c r="K886" s="522"/>
      <c r="L886" s="522"/>
      <c r="M886" s="522"/>
      <c r="N886" s="522"/>
    </row>
    <row r="887">
      <c r="C887" s="522"/>
      <c r="D887" s="522"/>
      <c r="E887" s="522"/>
      <c r="F887" s="522"/>
      <c r="G887" s="522"/>
      <c r="H887" s="522"/>
      <c r="I887" s="522"/>
      <c r="J887" s="522"/>
      <c r="K887" s="522"/>
      <c r="L887" s="522"/>
      <c r="M887" s="522"/>
      <c r="N887" s="522"/>
    </row>
    <row r="888">
      <c r="C888" s="522"/>
      <c r="D888" s="522"/>
      <c r="E888" s="522"/>
      <c r="F888" s="522"/>
      <c r="G888" s="522"/>
      <c r="H888" s="522"/>
      <c r="I888" s="522"/>
      <c r="J888" s="522"/>
      <c r="K888" s="522"/>
      <c r="L888" s="522"/>
      <c r="M888" s="522"/>
      <c r="N888" s="522"/>
    </row>
    <row r="889">
      <c r="C889" s="522"/>
      <c r="D889" s="522"/>
      <c r="E889" s="522"/>
      <c r="F889" s="522"/>
      <c r="G889" s="522"/>
      <c r="H889" s="522"/>
      <c r="I889" s="522"/>
      <c r="J889" s="522"/>
      <c r="K889" s="522"/>
      <c r="L889" s="522"/>
      <c r="M889" s="522"/>
      <c r="N889" s="522"/>
    </row>
    <row r="890">
      <c r="C890" s="522"/>
      <c r="D890" s="522"/>
      <c r="E890" s="522"/>
      <c r="F890" s="522"/>
      <c r="G890" s="522"/>
      <c r="H890" s="522"/>
      <c r="I890" s="522"/>
      <c r="J890" s="522"/>
      <c r="K890" s="522"/>
      <c r="L890" s="522"/>
      <c r="M890" s="522"/>
      <c r="N890" s="522"/>
    </row>
    <row r="891">
      <c r="C891" s="522"/>
      <c r="D891" s="522"/>
      <c r="E891" s="522"/>
      <c r="F891" s="522"/>
      <c r="G891" s="522"/>
      <c r="H891" s="522"/>
      <c r="I891" s="522"/>
      <c r="J891" s="522"/>
      <c r="K891" s="522"/>
      <c r="L891" s="522"/>
      <c r="M891" s="522"/>
      <c r="N891" s="522"/>
    </row>
    <row r="892">
      <c r="C892" s="522"/>
      <c r="D892" s="522"/>
      <c r="E892" s="522"/>
      <c r="F892" s="522"/>
      <c r="G892" s="522"/>
      <c r="H892" s="522"/>
      <c r="I892" s="522"/>
      <c r="J892" s="522"/>
      <c r="K892" s="522"/>
      <c r="L892" s="522"/>
      <c r="M892" s="522"/>
      <c r="N892" s="522"/>
    </row>
    <row r="893">
      <c r="C893" s="522"/>
      <c r="D893" s="522"/>
      <c r="E893" s="522"/>
      <c r="F893" s="522"/>
      <c r="G893" s="522"/>
      <c r="H893" s="522"/>
      <c r="I893" s="522"/>
      <c r="J893" s="522"/>
      <c r="K893" s="522"/>
      <c r="L893" s="522"/>
      <c r="M893" s="522"/>
      <c r="N893" s="522"/>
    </row>
    <row r="894">
      <c r="C894" s="522"/>
      <c r="D894" s="522"/>
      <c r="E894" s="522"/>
      <c r="F894" s="522"/>
      <c r="G894" s="522"/>
      <c r="H894" s="522"/>
      <c r="I894" s="522"/>
      <c r="J894" s="522"/>
      <c r="K894" s="522"/>
      <c r="L894" s="522"/>
      <c r="M894" s="522"/>
      <c r="N894" s="522"/>
    </row>
    <row r="895">
      <c r="C895" s="522"/>
      <c r="D895" s="522"/>
      <c r="E895" s="522"/>
      <c r="F895" s="522"/>
      <c r="G895" s="522"/>
      <c r="H895" s="522"/>
      <c r="I895" s="522"/>
      <c r="J895" s="522"/>
      <c r="K895" s="522"/>
      <c r="L895" s="522"/>
      <c r="M895" s="522"/>
      <c r="N895" s="522"/>
    </row>
    <row r="896">
      <c r="C896" s="522"/>
      <c r="D896" s="522"/>
      <c r="E896" s="522"/>
      <c r="F896" s="522"/>
      <c r="G896" s="522"/>
      <c r="H896" s="522"/>
      <c r="I896" s="522"/>
      <c r="J896" s="522"/>
      <c r="K896" s="522"/>
      <c r="L896" s="522"/>
      <c r="M896" s="522"/>
      <c r="N896" s="522"/>
    </row>
    <row r="897">
      <c r="C897" s="522"/>
      <c r="D897" s="522"/>
      <c r="E897" s="522"/>
      <c r="F897" s="522"/>
      <c r="G897" s="522"/>
      <c r="H897" s="522"/>
      <c r="I897" s="522"/>
      <c r="J897" s="522"/>
      <c r="K897" s="522"/>
      <c r="L897" s="522"/>
      <c r="M897" s="522"/>
      <c r="N897" s="522"/>
    </row>
    <row r="898">
      <c r="C898" s="522"/>
      <c r="D898" s="522"/>
      <c r="E898" s="522"/>
      <c r="F898" s="522"/>
      <c r="G898" s="522"/>
      <c r="H898" s="522"/>
      <c r="I898" s="522"/>
      <c r="J898" s="522"/>
      <c r="K898" s="522"/>
      <c r="L898" s="522"/>
      <c r="M898" s="522"/>
      <c r="N898" s="522"/>
    </row>
    <row r="899">
      <c r="C899" s="522"/>
      <c r="D899" s="522"/>
      <c r="E899" s="522"/>
      <c r="F899" s="522"/>
      <c r="G899" s="522"/>
      <c r="H899" s="522"/>
      <c r="I899" s="522"/>
      <c r="J899" s="522"/>
      <c r="K899" s="522"/>
      <c r="L899" s="522"/>
      <c r="M899" s="522"/>
      <c r="N899" s="522"/>
    </row>
    <row r="900">
      <c r="C900" s="522"/>
      <c r="D900" s="522"/>
      <c r="E900" s="522"/>
      <c r="F900" s="522"/>
      <c r="G900" s="522"/>
      <c r="H900" s="522"/>
      <c r="I900" s="522"/>
      <c r="J900" s="522"/>
      <c r="K900" s="522"/>
      <c r="L900" s="522"/>
      <c r="M900" s="522"/>
      <c r="N900" s="522"/>
    </row>
    <row r="901">
      <c r="C901" s="522"/>
      <c r="D901" s="522"/>
      <c r="E901" s="522"/>
      <c r="F901" s="522"/>
      <c r="G901" s="522"/>
      <c r="H901" s="522"/>
      <c r="I901" s="522"/>
      <c r="J901" s="522"/>
      <c r="K901" s="522"/>
      <c r="L901" s="522"/>
      <c r="M901" s="522"/>
      <c r="N901" s="522"/>
    </row>
    <row r="902">
      <c r="C902" s="522"/>
      <c r="D902" s="522"/>
      <c r="E902" s="522"/>
      <c r="F902" s="522"/>
      <c r="G902" s="522"/>
      <c r="H902" s="522"/>
      <c r="I902" s="522"/>
      <c r="J902" s="522"/>
      <c r="K902" s="522"/>
      <c r="L902" s="522"/>
      <c r="M902" s="522"/>
      <c r="N902" s="522"/>
    </row>
    <row r="903">
      <c r="C903" s="522"/>
      <c r="D903" s="522"/>
      <c r="E903" s="522"/>
      <c r="F903" s="522"/>
      <c r="G903" s="522"/>
      <c r="H903" s="522"/>
      <c r="I903" s="522"/>
      <c r="J903" s="522"/>
      <c r="K903" s="522"/>
      <c r="L903" s="522"/>
      <c r="M903" s="522"/>
      <c r="N903" s="522"/>
    </row>
    <row r="904">
      <c r="C904" s="522"/>
      <c r="D904" s="522"/>
      <c r="E904" s="522"/>
      <c r="F904" s="522"/>
      <c r="G904" s="522"/>
      <c r="H904" s="522"/>
      <c r="I904" s="522"/>
      <c r="J904" s="522"/>
      <c r="K904" s="522"/>
      <c r="L904" s="522"/>
      <c r="M904" s="522"/>
      <c r="N904" s="522"/>
    </row>
    <row r="905">
      <c r="C905" s="522"/>
      <c r="D905" s="522"/>
      <c r="E905" s="522"/>
      <c r="F905" s="522"/>
      <c r="G905" s="522"/>
      <c r="H905" s="522"/>
      <c r="I905" s="522"/>
      <c r="J905" s="522"/>
      <c r="K905" s="522"/>
      <c r="L905" s="522"/>
      <c r="M905" s="522"/>
      <c r="N905" s="522"/>
    </row>
    <row r="906">
      <c r="C906" s="522"/>
      <c r="D906" s="522"/>
      <c r="E906" s="522"/>
      <c r="F906" s="522"/>
      <c r="G906" s="522"/>
      <c r="H906" s="522"/>
      <c r="I906" s="522"/>
      <c r="J906" s="522"/>
      <c r="K906" s="522"/>
      <c r="L906" s="522"/>
      <c r="M906" s="522"/>
      <c r="N906" s="522"/>
    </row>
    <row r="907">
      <c r="C907" s="522"/>
      <c r="D907" s="522"/>
      <c r="E907" s="522"/>
      <c r="F907" s="522"/>
      <c r="G907" s="522"/>
      <c r="H907" s="522"/>
      <c r="I907" s="522"/>
      <c r="J907" s="522"/>
      <c r="K907" s="522"/>
      <c r="L907" s="522"/>
      <c r="M907" s="522"/>
      <c r="N907" s="522"/>
    </row>
    <row r="908">
      <c r="C908" s="522"/>
      <c r="D908" s="522"/>
      <c r="E908" s="522"/>
      <c r="F908" s="522"/>
      <c r="G908" s="522"/>
      <c r="H908" s="522"/>
      <c r="I908" s="522"/>
      <c r="J908" s="522"/>
      <c r="K908" s="522"/>
      <c r="L908" s="522"/>
      <c r="M908" s="522"/>
      <c r="N908" s="522"/>
    </row>
    <row r="909">
      <c r="C909" s="522"/>
      <c r="D909" s="522"/>
      <c r="E909" s="522"/>
      <c r="F909" s="522"/>
      <c r="G909" s="522"/>
      <c r="H909" s="522"/>
      <c r="I909" s="522"/>
      <c r="J909" s="522"/>
      <c r="K909" s="522"/>
      <c r="L909" s="522"/>
      <c r="M909" s="522"/>
      <c r="N909" s="522"/>
    </row>
    <row r="910">
      <c r="C910" s="522"/>
      <c r="D910" s="522"/>
      <c r="E910" s="522"/>
      <c r="F910" s="522"/>
      <c r="G910" s="522"/>
      <c r="H910" s="522"/>
      <c r="I910" s="522"/>
      <c r="J910" s="522"/>
      <c r="K910" s="522"/>
      <c r="L910" s="522"/>
      <c r="M910" s="522"/>
      <c r="N910" s="522"/>
    </row>
    <row r="911">
      <c r="C911" s="522"/>
      <c r="D911" s="522"/>
      <c r="E911" s="522"/>
      <c r="F911" s="522"/>
      <c r="G911" s="522"/>
      <c r="H911" s="522"/>
      <c r="I911" s="522"/>
      <c r="J911" s="522"/>
      <c r="K911" s="522"/>
      <c r="L911" s="522"/>
      <c r="M911" s="522"/>
      <c r="N911" s="522"/>
    </row>
    <row r="912">
      <c r="C912" s="522"/>
      <c r="D912" s="522"/>
      <c r="E912" s="522"/>
      <c r="F912" s="522"/>
      <c r="G912" s="522"/>
      <c r="H912" s="522"/>
      <c r="I912" s="522"/>
      <c r="J912" s="522"/>
      <c r="K912" s="522"/>
      <c r="L912" s="522"/>
      <c r="M912" s="522"/>
      <c r="N912" s="522"/>
    </row>
    <row r="913">
      <c r="C913" s="522"/>
      <c r="D913" s="522"/>
      <c r="E913" s="522"/>
      <c r="F913" s="522"/>
      <c r="G913" s="522"/>
      <c r="H913" s="522"/>
      <c r="I913" s="522"/>
      <c r="J913" s="522"/>
      <c r="K913" s="522"/>
      <c r="L913" s="522"/>
      <c r="M913" s="522"/>
      <c r="N913" s="522"/>
    </row>
    <row r="914">
      <c r="C914" s="522"/>
      <c r="D914" s="522"/>
      <c r="E914" s="522"/>
      <c r="F914" s="522"/>
      <c r="G914" s="522"/>
      <c r="H914" s="522"/>
      <c r="I914" s="522"/>
      <c r="J914" s="522"/>
      <c r="K914" s="522"/>
      <c r="L914" s="522"/>
      <c r="M914" s="522"/>
      <c r="N914" s="522"/>
    </row>
    <row r="915">
      <c r="C915" s="522"/>
      <c r="D915" s="522"/>
      <c r="E915" s="522"/>
      <c r="F915" s="522"/>
      <c r="G915" s="522"/>
      <c r="H915" s="522"/>
      <c r="I915" s="522"/>
      <c r="J915" s="522"/>
      <c r="K915" s="522"/>
      <c r="L915" s="522"/>
      <c r="M915" s="522"/>
      <c r="N915" s="522"/>
    </row>
    <row r="916">
      <c r="C916" s="522"/>
      <c r="D916" s="522"/>
      <c r="E916" s="522"/>
      <c r="F916" s="522"/>
      <c r="G916" s="522"/>
      <c r="H916" s="522"/>
      <c r="I916" s="522"/>
      <c r="J916" s="522"/>
      <c r="K916" s="522"/>
      <c r="L916" s="522"/>
      <c r="M916" s="522"/>
      <c r="N916" s="522"/>
    </row>
    <row r="917">
      <c r="C917" s="522"/>
      <c r="D917" s="522"/>
      <c r="E917" s="522"/>
      <c r="F917" s="522"/>
      <c r="G917" s="522"/>
      <c r="H917" s="522"/>
      <c r="I917" s="522"/>
      <c r="J917" s="522"/>
      <c r="K917" s="522"/>
      <c r="L917" s="522"/>
      <c r="M917" s="522"/>
      <c r="N917" s="522"/>
    </row>
    <row r="918">
      <c r="C918" s="522"/>
      <c r="D918" s="522"/>
      <c r="E918" s="522"/>
      <c r="F918" s="522"/>
      <c r="G918" s="522"/>
      <c r="H918" s="522"/>
      <c r="I918" s="522"/>
      <c r="J918" s="522"/>
      <c r="K918" s="522"/>
      <c r="L918" s="522"/>
      <c r="M918" s="522"/>
      <c r="N918" s="522"/>
    </row>
    <row r="919">
      <c r="C919" s="522"/>
      <c r="D919" s="522"/>
      <c r="E919" s="522"/>
      <c r="F919" s="522"/>
      <c r="G919" s="522"/>
      <c r="H919" s="522"/>
      <c r="I919" s="522"/>
      <c r="J919" s="522"/>
      <c r="K919" s="522"/>
      <c r="L919" s="522"/>
      <c r="M919" s="522"/>
      <c r="N919" s="522"/>
    </row>
    <row r="920">
      <c r="C920" s="522"/>
      <c r="D920" s="522"/>
      <c r="E920" s="522"/>
      <c r="F920" s="522"/>
      <c r="G920" s="522"/>
      <c r="H920" s="522"/>
      <c r="I920" s="522"/>
      <c r="J920" s="522"/>
      <c r="K920" s="522"/>
      <c r="L920" s="522"/>
      <c r="M920" s="522"/>
      <c r="N920" s="522"/>
    </row>
    <row r="921">
      <c r="C921" s="522"/>
      <c r="D921" s="522"/>
      <c r="E921" s="522"/>
      <c r="F921" s="522"/>
      <c r="G921" s="522"/>
      <c r="H921" s="522"/>
      <c r="I921" s="522"/>
      <c r="J921" s="522"/>
      <c r="K921" s="522"/>
      <c r="L921" s="522"/>
      <c r="M921" s="522"/>
      <c r="N921" s="522"/>
    </row>
    <row r="922">
      <c r="C922" s="522"/>
      <c r="D922" s="522"/>
      <c r="E922" s="522"/>
      <c r="F922" s="522"/>
      <c r="G922" s="522"/>
      <c r="H922" s="522"/>
      <c r="I922" s="522"/>
      <c r="J922" s="522"/>
      <c r="K922" s="522"/>
      <c r="L922" s="522"/>
      <c r="M922" s="522"/>
      <c r="N922" s="522"/>
    </row>
    <row r="923">
      <c r="C923" s="522"/>
      <c r="D923" s="522"/>
      <c r="E923" s="522"/>
      <c r="F923" s="522"/>
      <c r="G923" s="522"/>
      <c r="H923" s="522"/>
      <c r="I923" s="522"/>
      <c r="J923" s="522"/>
      <c r="K923" s="522"/>
      <c r="L923" s="522"/>
      <c r="M923" s="522"/>
      <c r="N923" s="522"/>
    </row>
    <row r="924">
      <c r="C924" s="522"/>
      <c r="D924" s="522"/>
      <c r="E924" s="522"/>
      <c r="F924" s="522"/>
      <c r="G924" s="522"/>
      <c r="H924" s="522"/>
      <c r="I924" s="522"/>
      <c r="J924" s="522"/>
      <c r="K924" s="522"/>
      <c r="L924" s="522"/>
      <c r="M924" s="522"/>
      <c r="N924" s="522"/>
    </row>
    <row r="925">
      <c r="C925" s="522"/>
      <c r="D925" s="522"/>
      <c r="E925" s="522"/>
      <c r="F925" s="522"/>
      <c r="G925" s="522"/>
      <c r="H925" s="522"/>
      <c r="I925" s="522"/>
      <c r="J925" s="522"/>
      <c r="K925" s="522"/>
      <c r="L925" s="522"/>
      <c r="M925" s="522"/>
      <c r="N925" s="522"/>
    </row>
    <row r="926">
      <c r="C926" s="522"/>
      <c r="D926" s="522"/>
      <c r="E926" s="522"/>
      <c r="F926" s="522"/>
      <c r="G926" s="522"/>
      <c r="H926" s="522"/>
      <c r="I926" s="522"/>
      <c r="J926" s="522"/>
      <c r="K926" s="522"/>
      <c r="L926" s="522"/>
      <c r="M926" s="522"/>
      <c r="N926" s="522"/>
    </row>
    <row r="927">
      <c r="C927" s="522"/>
      <c r="D927" s="522"/>
      <c r="E927" s="522"/>
      <c r="F927" s="522"/>
      <c r="G927" s="522"/>
      <c r="H927" s="522"/>
      <c r="I927" s="522"/>
      <c r="J927" s="522"/>
      <c r="K927" s="522"/>
      <c r="L927" s="522"/>
      <c r="M927" s="522"/>
      <c r="N927" s="522"/>
    </row>
    <row r="928">
      <c r="C928" s="522"/>
      <c r="D928" s="522"/>
      <c r="E928" s="522"/>
      <c r="F928" s="522"/>
      <c r="G928" s="522"/>
      <c r="H928" s="522"/>
      <c r="I928" s="522"/>
      <c r="J928" s="522"/>
      <c r="K928" s="522"/>
      <c r="L928" s="522"/>
      <c r="M928" s="522"/>
      <c r="N928" s="522"/>
    </row>
    <row r="929">
      <c r="C929" s="522"/>
      <c r="D929" s="522"/>
      <c r="E929" s="522"/>
      <c r="F929" s="522"/>
      <c r="G929" s="522"/>
      <c r="H929" s="522"/>
      <c r="I929" s="522"/>
      <c r="J929" s="522"/>
      <c r="K929" s="522"/>
      <c r="L929" s="522"/>
      <c r="M929" s="522"/>
      <c r="N929" s="522"/>
    </row>
    <row r="930">
      <c r="C930" s="522"/>
      <c r="D930" s="522"/>
      <c r="E930" s="522"/>
      <c r="F930" s="522"/>
      <c r="G930" s="522"/>
      <c r="H930" s="522"/>
      <c r="I930" s="522"/>
      <c r="J930" s="522"/>
      <c r="K930" s="522"/>
      <c r="L930" s="522"/>
      <c r="M930" s="522"/>
      <c r="N930" s="522"/>
    </row>
    <row r="931">
      <c r="C931" s="522"/>
      <c r="D931" s="522"/>
      <c r="E931" s="522"/>
      <c r="F931" s="522"/>
      <c r="G931" s="522"/>
      <c r="H931" s="522"/>
      <c r="I931" s="522"/>
      <c r="J931" s="522"/>
      <c r="K931" s="522"/>
      <c r="L931" s="522"/>
      <c r="M931" s="522"/>
      <c r="N931" s="522"/>
    </row>
    <row r="932">
      <c r="C932" s="522"/>
      <c r="D932" s="522"/>
      <c r="E932" s="522"/>
      <c r="F932" s="522"/>
      <c r="G932" s="522"/>
      <c r="H932" s="522"/>
      <c r="I932" s="522"/>
      <c r="J932" s="522"/>
      <c r="K932" s="522"/>
      <c r="L932" s="522"/>
      <c r="M932" s="522"/>
      <c r="N932" s="522"/>
    </row>
    <row r="933">
      <c r="C933" s="522"/>
      <c r="D933" s="522"/>
      <c r="E933" s="522"/>
      <c r="F933" s="522"/>
      <c r="G933" s="522"/>
      <c r="H933" s="522"/>
      <c r="I933" s="522"/>
      <c r="J933" s="522"/>
      <c r="K933" s="522"/>
      <c r="L933" s="522"/>
      <c r="M933" s="522"/>
      <c r="N933" s="522"/>
    </row>
    <row r="934">
      <c r="C934" s="522"/>
      <c r="D934" s="522"/>
      <c r="E934" s="522"/>
      <c r="F934" s="522"/>
      <c r="G934" s="522"/>
      <c r="H934" s="522"/>
      <c r="I934" s="522"/>
      <c r="J934" s="522"/>
      <c r="K934" s="522"/>
      <c r="L934" s="522"/>
      <c r="M934" s="522"/>
      <c r="N934" s="522"/>
    </row>
    <row r="935">
      <c r="C935" s="522"/>
      <c r="D935" s="522"/>
      <c r="E935" s="522"/>
      <c r="F935" s="522"/>
      <c r="G935" s="522"/>
      <c r="H935" s="522"/>
      <c r="I935" s="522"/>
      <c r="J935" s="522"/>
      <c r="K935" s="522"/>
      <c r="L935" s="522"/>
      <c r="M935" s="522"/>
      <c r="N935" s="522"/>
    </row>
    <row r="936">
      <c r="C936" s="522"/>
      <c r="D936" s="522"/>
      <c r="E936" s="522"/>
      <c r="F936" s="522"/>
      <c r="G936" s="522"/>
      <c r="H936" s="522"/>
      <c r="I936" s="522"/>
      <c r="J936" s="522"/>
      <c r="K936" s="522"/>
      <c r="L936" s="522"/>
      <c r="M936" s="522"/>
      <c r="N936" s="522"/>
    </row>
    <row r="937">
      <c r="C937" s="522"/>
      <c r="D937" s="522"/>
      <c r="E937" s="522"/>
      <c r="F937" s="522"/>
      <c r="G937" s="522"/>
      <c r="H937" s="522"/>
      <c r="I937" s="522"/>
      <c r="J937" s="522"/>
      <c r="K937" s="522"/>
      <c r="L937" s="522"/>
      <c r="M937" s="522"/>
      <c r="N937" s="522"/>
    </row>
    <row r="938">
      <c r="C938" s="522"/>
      <c r="D938" s="522"/>
      <c r="E938" s="522"/>
      <c r="F938" s="522"/>
      <c r="G938" s="522"/>
      <c r="H938" s="522"/>
      <c r="I938" s="522"/>
      <c r="J938" s="522"/>
      <c r="K938" s="522"/>
      <c r="L938" s="522"/>
      <c r="M938" s="522"/>
      <c r="N938" s="522"/>
    </row>
    <row r="939">
      <c r="C939" s="522"/>
      <c r="D939" s="522"/>
      <c r="E939" s="522"/>
      <c r="F939" s="522"/>
      <c r="G939" s="522"/>
      <c r="H939" s="522"/>
      <c r="I939" s="522"/>
      <c r="J939" s="522"/>
      <c r="K939" s="522"/>
      <c r="L939" s="522"/>
      <c r="M939" s="522"/>
      <c r="N939" s="522"/>
    </row>
    <row r="940">
      <c r="C940" s="522"/>
      <c r="D940" s="522"/>
      <c r="E940" s="522"/>
      <c r="F940" s="522"/>
      <c r="G940" s="522"/>
      <c r="H940" s="522"/>
      <c r="I940" s="522"/>
      <c r="J940" s="522"/>
      <c r="K940" s="522"/>
      <c r="L940" s="522"/>
      <c r="M940" s="522"/>
      <c r="N940" s="522"/>
    </row>
    <row r="941">
      <c r="C941" s="522"/>
      <c r="D941" s="522"/>
      <c r="E941" s="522"/>
      <c r="F941" s="522"/>
      <c r="G941" s="522"/>
      <c r="H941" s="522"/>
      <c r="I941" s="522"/>
      <c r="J941" s="522"/>
      <c r="K941" s="522"/>
      <c r="L941" s="522"/>
      <c r="M941" s="522"/>
      <c r="N941" s="522"/>
    </row>
    <row r="942">
      <c r="C942" s="522"/>
      <c r="D942" s="522"/>
      <c r="E942" s="522"/>
      <c r="F942" s="522"/>
      <c r="G942" s="522"/>
      <c r="H942" s="522"/>
      <c r="I942" s="522"/>
      <c r="J942" s="522"/>
      <c r="K942" s="522"/>
      <c r="L942" s="522"/>
      <c r="M942" s="522"/>
      <c r="N942" s="522"/>
    </row>
    <row r="943">
      <c r="C943" s="522"/>
      <c r="D943" s="522"/>
      <c r="E943" s="522"/>
      <c r="F943" s="522"/>
      <c r="G943" s="522"/>
      <c r="H943" s="522"/>
      <c r="I943" s="522"/>
      <c r="J943" s="522"/>
      <c r="K943" s="522"/>
      <c r="L943" s="522"/>
      <c r="M943" s="522"/>
      <c r="N943" s="522"/>
    </row>
    <row r="944">
      <c r="C944" s="522"/>
      <c r="D944" s="522"/>
      <c r="E944" s="522"/>
      <c r="F944" s="522"/>
      <c r="G944" s="522"/>
      <c r="H944" s="522"/>
      <c r="I944" s="522"/>
      <c r="J944" s="522"/>
      <c r="K944" s="522"/>
      <c r="L944" s="522"/>
      <c r="M944" s="522"/>
      <c r="N944" s="522"/>
    </row>
    <row r="945">
      <c r="C945" s="522"/>
      <c r="D945" s="522"/>
      <c r="E945" s="522"/>
      <c r="F945" s="522"/>
      <c r="G945" s="522"/>
      <c r="H945" s="522"/>
      <c r="I945" s="522"/>
      <c r="J945" s="522"/>
      <c r="K945" s="522"/>
      <c r="L945" s="522"/>
      <c r="M945" s="522"/>
      <c r="N945" s="522"/>
    </row>
    <row r="946">
      <c r="C946" s="522"/>
      <c r="D946" s="522"/>
      <c r="E946" s="522"/>
      <c r="F946" s="522"/>
      <c r="G946" s="522"/>
      <c r="H946" s="522"/>
      <c r="I946" s="522"/>
      <c r="J946" s="522"/>
      <c r="K946" s="522"/>
      <c r="L946" s="522"/>
      <c r="M946" s="522"/>
      <c r="N946" s="522"/>
    </row>
    <row r="947">
      <c r="C947" s="522"/>
      <c r="D947" s="522"/>
      <c r="E947" s="522"/>
      <c r="F947" s="522"/>
      <c r="G947" s="522"/>
      <c r="H947" s="522"/>
      <c r="I947" s="522"/>
      <c r="J947" s="522"/>
      <c r="K947" s="522"/>
      <c r="L947" s="522"/>
      <c r="M947" s="522"/>
      <c r="N947" s="522"/>
    </row>
    <row r="948">
      <c r="C948" s="522"/>
      <c r="D948" s="522"/>
      <c r="E948" s="522"/>
      <c r="F948" s="522"/>
      <c r="G948" s="522"/>
      <c r="H948" s="522"/>
      <c r="I948" s="522"/>
      <c r="J948" s="522"/>
      <c r="K948" s="522"/>
      <c r="L948" s="522"/>
      <c r="M948" s="522"/>
      <c r="N948" s="522"/>
    </row>
    <row r="949">
      <c r="C949" s="522"/>
      <c r="D949" s="522"/>
      <c r="E949" s="522"/>
      <c r="F949" s="522"/>
      <c r="G949" s="522"/>
      <c r="H949" s="522"/>
      <c r="I949" s="522"/>
      <c r="J949" s="522"/>
      <c r="K949" s="522"/>
      <c r="L949" s="522"/>
      <c r="M949" s="522"/>
      <c r="N949" s="522"/>
    </row>
    <row r="950">
      <c r="C950" s="522"/>
      <c r="D950" s="522"/>
      <c r="E950" s="522"/>
      <c r="F950" s="522"/>
      <c r="G950" s="522"/>
      <c r="H950" s="522"/>
      <c r="I950" s="522"/>
      <c r="J950" s="522"/>
      <c r="K950" s="522"/>
      <c r="L950" s="522"/>
      <c r="M950" s="522"/>
      <c r="N950" s="522"/>
    </row>
    <row r="951">
      <c r="C951" s="522"/>
      <c r="D951" s="522"/>
      <c r="E951" s="522"/>
      <c r="F951" s="522"/>
      <c r="G951" s="522"/>
      <c r="H951" s="522"/>
      <c r="I951" s="522"/>
      <c r="J951" s="522"/>
      <c r="K951" s="522"/>
      <c r="L951" s="522"/>
      <c r="M951" s="522"/>
      <c r="N951" s="522"/>
    </row>
    <row r="952">
      <c r="C952" s="522"/>
      <c r="D952" s="522"/>
      <c r="E952" s="522"/>
      <c r="F952" s="522"/>
      <c r="G952" s="522"/>
      <c r="H952" s="522"/>
      <c r="I952" s="522"/>
      <c r="J952" s="522"/>
      <c r="K952" s="522"/>
      <c r="L952" s="522"/>
      <c r="M952" s="522"/>
      <c r="N952" s="522"/>
    </row>
    <row r="953">
      <c r="C953" s="522"/>
      <c r="D953" s="522"/>
      <c r="E953" s="522"/>
      <c r="F953" s="522"/>
      <c r="G953" s="522"/>
      <c r="H953" s="522"/>
      <c r="I953" s="522"/>
      <c r="J953" s="522"/>
      <c r="K953" s="522"/>
      <c r="L953" s="522"/>
      <c r="M953" s="522"/>
      <c r="N953" s="522"/>
    </row>
    <row r="954">
      <c r="C954" s="522"/>
      <c r="D954" s="522"/>
      <c r="E954" s="522"/>
      <c r="F954" s="522"/>
      <c r="G954" s="522"/>
      <c r="H954" s="522"/>
      <c r="I954" s="522"/>
      <c r="J954" s="522"/>
      <c r="K954" s="522"/>
      <c r="L954" s="522"/>
      <c r="M954" s="522"/>
      <c r="N954" s="522"/>
    </row>
    <row r="955">
      <c r="C955" s="522"/>
      <c r="D955" s="522"/>
      <c r="E955" s="522"/>
      <c r="F955" s="522"/>
      <c r="G955" s="522"/>
      <c r="H955" s="522"/>
      <c r="I955" s="522"/>
      <c r="J955" s="522"/>
      <c r="K955" s="522"/>
      <c r="L955" s="522"/>
      <c r="M955" s="522"/>
      <c r="N955" s="522"/>
    </row>
    <row r="956">
      <c r="C956" s="522"/>
      <c r="D956" s="522"/>
      <c r="E956" s="522"/>
      <c r="F956" s="522"/>
      <c r="G956" s="522"/>
      <c r="H956" s="522"/>
      <c r="I956" s="522"/>
      <c r="J956" s="522"/>
      <c r="K956" s="522"/>
      <c r="L956" s="522"/>
      <c r="M956" s="522"/>
      <c r="N956" s="522"/>
    </row>
    <row r="957">
      <c r="C957" s="522"/>
      <c r="D957" s="522"/>
      <c r="E957" s="522"/>
      <c r="F957" s="522"/>
      <c r="G957" s="522"/>
      <c r="H957" s="522"/>
      <c r="I957" s="522"/>
      <c r="J957" s="522"/>
      <c r="K957" s="522"/>
      <c r="L957" s="522"/>
      <c r="M957" s="522"/>
      <c r="N957" s="522"/>
    </row>
    <row r="958">
      <c r="C958" s="522"/>
      <c r="D958" s="522"/>
      <c r="E958" s="522"/>
      <c r="F958" s="522"/>
      <c r="G958" s="522"/>
      <c r="H958" s="522"/>
      <c r="I958" s="522"/>
      <c r="J958" s="522"/>
      <c r="K958" s="522"/>
      <c r="L958" s="522"/>
      <c r="M958" s="522"/>
      <c r="N958" s="522"/>
    </row>
    <row r="959">
      <c r="C959" s="522"/>
      <c r="D959" s="522"/>
      <c r="E959" s="522"/>
      <c r="F959" s="522"/>
      <c r="G959" s="522"/>
      <c r="H959" s="522"/>
      <c r="I959" s="522"/>
      <c r="J959" s="522"/>
      <c r="K959" s="522"/>
      <c r="L959" s="522"/>
      <c r="M959" s="522"/>
      <c r="N959" s="522"/>
    </row>
    <row r="960">
      <c r="C960" s="522"/>
      <c r="D960" s="522"/>
      <c r="E960" s="522"/>
      <c r="F960" s="522"/>
      <c r="G960" s="522"/>
      <c r="H960" s="522"/>
      <c r="I960" s="522"/>
      <c r="J960" s="522"/>
      <c r="K960" s="522"/>
      <c r="L960" s="522"/>
      <c r="M960" s="522"/>
      <c r="N960" s="522"/>
    </row>
    <row r="961">
      <c r="C961" s="522"/>
      <c r="D961" s="522"/>
      <c r="E961" s="522"/>
      <c r="F961" s="522"/>
      <c r="G961" s="522"/>
      <c r="H961" s="522"/>
      <c r="I961" s="522"/>
      <c r="J961" s="522"/>
      <c r="K961" s="522"/>
      <c r="L961" s="522"/>
      <c r="M961" s="522"/>
      <c r="N961" s="522"/>
    </row>
    <row r="962">
      <c r="C962" s="522"/>
      <c r="D962" s="522"/>
      <c r="E962" s="522"/>
      <c r="F962" s="522"/>
      <c r="G962" s="522"/>
      <c r="H962" s="522"/>
      <c r="I962" s="522"/>
      <c r="J962" s="522"/>
      <c r="K962" s="522"/>
      <c r="L962" s="522"/>
      <c r="M962" s="522"/>
      <c r="N962" s="522"/>
    </row>
    <row r="963">
      <c r="C963" s="522"/>
      <c r="D963" s="522"/>
      <c r="E963" s="522"/>
      <c r="F963" s="522"/>
      <c r="G963" s="522"/>
      <c r="H963" s="522"/>
      <c r="I963" s="522"/>
      <c r="J963" s="522"/>
      <c r="K963" s="522"/>
      <c r="L963" s="522"/>
      <c r="M963" s="522"/>
      <c r="N963" s="522"/>
    </row>
    <row r="964">
      <c r="C964" s="522"/>
      <c r="D964" s="522"/>
      <c r="E964" s="522"/>
      <c r="F964" s="522"/>
      <c r="G964" s="522"/>
      <c r="H964" s="522"/>
      <c r="I964" s="522"/>
      <c r="J964" s="522"/>
      <c r="K964" s="522"/>
      <c r="L964" s="522"/>
      <c r="M964" s="522"/>
      <c r="N964" s="522"/>
    </row>
    <row r="965">
      <c r="C965" s="522"/>
      <c r="D965" s="522"/>
      <c r="E965" s="522"/>
      <c r="F965" s="522"/>
      <c r="G965" s="522"/>
      <c r="H965" s="522"/>
      <c r="I965" s="522"/>
      <c r="J965" s="522"/>
      <c r="K965" s="522"/>
      <c r="L965" s="522"/>
      <c r="M965" s="522"/>
      <c r="N965" s="522"/>
    </row>
    <row r="966">
      <c r="C966" s="522"/>
      <c r="D966" s="522"/>
      <c r="E966" s="522"/>
      <c r="F966" s="522"/>
      <c r="G966" s="522"/>
      <c r="H966" s="522"/>
      <c r="I966" s="522"/>
      <c r="J966" s="522"/>
      <c r="K966" s="522"/>
      <c r="L966" s="522"/>
      <c r="M966" s="522"/>
      <c r="N966" s="522"/>
    </row>
    <row r="967">
      <c r="C967" s="522"/>
      <c r="D967" s="522"/>
      <c r="E967" s="522"/>
      <c r="F967" s="522"/>
      <c r="G967" s="522"/>
      <c r="H967" s="522"/>
      <c r="I967" s="522"/>
      <c r="J967" s="522"/>
      <c r="K967" s="522"/>
      <c r="L967" s="522"/>
      <c r="M967" s="522"/>
      <c r="N967" s="522"/>
    </row>
    <row r="968">
      <c r="C968" s="522"/>
      <c r="D968" s="522"/>
      <c r="E968" s="522"/>
      <c r="F968" s="522"/>
      <c r="G968" s="522"/>
      <c r="H968" s="522"/>
      <c r="I968" s="522"/>
      <c r="J968" s="522"/>
      <c r="K968" s="522"/>
      <c r="L968" s="522"/>
      <c r="M968" s="522"/>
      <c r="N968" s="522"/>
    </row>
    <row r="969">
      <c r="C969" s="522"/>
      <c r="D969" s="522"/>
      <c r="E969" s="522"/>
      <c r="F969" s="522"/>
      <c r="G969" s="522"/>
      <c r="H969" s="522"/>
      <c r="I969" s="522"/>
      <c r="J969" s="522"/>
      <c r="K969" s="522"/>
      <c r="L969" s="522"/>
      <c r="M969" s="522"/>
      <c r="N969" s="522"/>
    </row>
    <row r="970">
      <c r="C970" s="522"/>
      <c r="D970" s="522"/>
      <c r="E970" s="522"/>
      <c r="F970" s="522"/>
      <c r="G970" s="522"/>
      <c r="H970" s="522"/>
      <c r="I970" s="522"/>
      <c r="J970" s="522"/>
      <c r="K970" s="522"/>
      <c r="L970" s="522"/>
      <c r="M970" s="522"/>
      <c r="N970" s="522"/>
    </row>
    <row r="971">
      <c r="C971" s="522"/>
      <c r="D971" s="522"/>
      <c r="E971" s="522"/>
      <c r="F971" s="522"/>
      <c r="G971" s="522"/>
      <c r="H971" s="522"/>
      <c r="I971" s="522"/>
      <c r="J971" s="522"/>
      <c r="K971" s="522"/>
      <c r="L971" s="522"/>
      <c r="M971" s="522"/>
      <c r="N971" s="522"/>
    </row>
    <row r="972">
      <c r="C972" s="522"/>
      <c r="D972" s="522"/>
      <c r="E972" s="522"/>
      <c r="F972" s="522"/>
      <c r="G972" s="522"/>
      <c r="H972" s="522"/>
      <c r="I972" s="522"/>
      <c r="J972" s="522"/>
      <c r="K972" s="522"/>
      <c r="L972" s="522"/>
      <c r="M972" s="522"/>
      <c r="N972" s="522"/>
    </row>
    <row r="973">
      <c r="C973" s="522"/>
      <c r="D973" s="522"/>
      <c r="E973" s="522"/>
      <c r="F973" s="522"/>
      <c r="G973" s="522"/>
      <c r="H973" s="522"/>
      <c r="I973" s="522"/>
      <c r="J973" s="522"/>
      <c r="K973" s="522"/>
      <c r="L973" s="522"/>
      <c r="M973" s="522"/>
      <c r="N973" s="522"/>
    </row>
    <row r="974">
      <c r="C974" s="522"/>
      <c r="D974" s="522"/>
      <c r="E974" s="522"/>
      <c r="F974" s="522"/>
      <c r="G974" s="522"/>
      <c r="H974" s="522"/>
      <c r="I974" s="522"/>
      <c r="J974" s="522"/>
      <c r="K974" s="522"/>
      <c r="L974" s="522"/>
      <c r="M974" s="522"/>
      <c r="N974" s="522"/>
    </row>
    <row r="975">
      <c r="C975" s="522"/>
      <c r="D975" s="522"/>
      <c r="E975" s="522"/>
      <c r="F975" s="522"/>
      <c r="G975" s="522"/>
      <c r="H975" s="522"/>
      <c r="I975" s="522"/>
      <c r="J975" s="522"/>
      <c r="K975" s="522"/>
      <c r="L975" s="522"/>
      <c r="M975" s="522"/>
      <c r="N975" s="522"/>
    </row>
    <row r="976">
      <c r="C976" s="522"/>
      <c r="D976" s="522"/>
      <c r="E976" s="522"/>
      <c r="F976" s="522"/>
      <c r="G976" s="522"/>
      <c r="H976" s="522"/>
      <c r="I976" s="522"/>
      <c r="J976" s="522"/>
      <c r="K976" s="522"/>
      <c r="L976" s="522"/>
      <c r="M976" s="522"/>
      <c r="N976" s="522"/>
    </row>
    <row r="977">
      <c r="C977" s="522"/>
      <c r="D977" s="522"/>
      <c r="E977" s="522"/>
      <c r="F977" s="522"/>
      <c r="G977" s="522"/>
      <c r="H977" s="522"/>
      <c r="I977" s="522"/>
      <c r="J977" s="522"/>
      <c r="K977" s="522"/>
      <c r="L977" s="522"/>
      <c r="M977" s="522"/>
      <c r="N977" s="522"/>
    </row>
    <row r="978">
      <c r="C978" s="522"/>
      <c r="D978" s="522"/>
      <c r="E978" s="522"/>
      <c r="F978" s="522"/>
      <c r="G978" s="522"/>
      <c r="H978" s="522"/>
      <c r="I978" s="522"/>
      <c r="J978" s="522"/>
      <c r="K978" s="522"/>
      <c r="L978" s="522"/>
      <c r="M978" s="522"/>
      <c r="N978" s="522"/>
    </row>
    <row r="979">
      <c r="C979" s="522"/>
      <c r="D979" s="522"/>
      <c r="E979" s="522"/>
      <c r="F979" s="522"/>
      <c r="G979" s="522"/>
      <c r="H979" s="522"/>
      <c r="I979" s="522"/>
      <c r="J979" s="522"/>
      <c r="K979" s="522"/>
      <c r="L979" s="522"/>
      <c r="M979" s="522"/>
      <c r="N979" s="522"/>
    </row>
    <row r="980">
      <c r="C980" s="522"/>
      <c r="D980" s="522"/>
      <c r="E980" s="522"/>
      <c r="F980" s="522"/>
      <c r="G980" s="522"/>
      <c r="H980" s="522"/>
      <c r="I980" s="522"/>
      <c r="J980" s="522"/>
      <c r="K980" s="522"/>
      <c r="L980" s="522"/>
      <c r="M980" s="522"/>
      <c r="N980" s="522"/>
    </row>
    <row r="981">
      <c r="C981" s="522"/>
      <c r="D981" s="522"/>
      <c r="E981" s="522"/>
      <c r="F981" s="522"/>
      <c r="G981" s="522"/>
      <c r="H981" s="522"/>
      <c r="I981" s="522"/>
      <c r="J981" s="522"/>
      <c r="K981" s="522"/>
      <c r="L981" s="522"/>
      <c r="M981" s="522"/>
      <c r="N981" s="522"/>
    </row>
    <row r="982">
      <c r="C982" s="522"/>
      <c r="D982" s="522"/>
      <c r="E982" s="522"/>
      <c r="F982" s="522"/>
      <c r="G982" s="522"/>
      <c r="H982" s="522"/>
      <c r="I982" s="522"/>
      <c r="J982" s="522"/>
      <c r="K982" s="522"/>
      <c r="L982" s="522"/>
      <c r="M982" s="522"/>
      <c r="N982" s="522"/>
    </row>
    <row r="983">
      <c r="C983" s="522"/>
      <c r="D983" s="522"/>
      <c r="E983" s="522"/>
      <c r="F983" s="522"/>
      <c r="G983" s="522"/>
      <c r="H983" s="522"/>
      <c r="I983" s="522"/>
      <c r="J983" s="522"/>
      <c r="K983" s="522"/>
      <c r="L983" s="522"/>
      <c r="M983" s="522"/>
      <c r="N983" s="522"/>
    </row>
    <row r="984">
      <c r="C984" s="522"/>
      <c r="D984" s="522"/>
      <c r="E984" s="522"/>
      <c r="F984" s="522"/>
      <c r="G984" s="522"/>
      <c r="H984" s="522"/>
      <c r="I984" s="522"/>
      <c r="J984" s="522"/>
      <c r="K984" s="522"/>
      <c r="L984" s="522"/>
      <c r="M984" s="522"/>
      <c r="N984" s="522"/>
    </row>
    <row r="985">
      <c r="C985" s="522"/>
      <c r="D985" s="522"/>
      <c r="E985" s="522"/>
      <c r="F985" s="522"/>
      <c r="G985" s="522"/>
      <c r="H985" s="522"/>
      <c r="I985" s="522"/>
      <c r="J985" s="522"/>
      <c r="K985" s="522"/>
      <c r="L985" s="522"/>
      <c r="M985" s="522"/>
      <c r="N985" s="522"/>
    </row>
    <row r="986">
      <c r="C986" s="522"/>
      <c r="D986" s="522"/>
      <c r="E986" s="522"/>
      <c r="F986" s="522"/>
      <c r="G986" s="522"/>
      <c r="H986" s="522"/>
      <c r="I986" s="522"/>
      <c r="J986" s="522"/>
      <c r="K986" s="522"/>
      <c r="L986" s="522"/>
      <c r="M986" s="522"/>
      <c r="N986" s="522"/>
    </row>
    <row r="987">
      <c r="C987" s="522"/>
      <c r="D987" s="522"/>
      <c r="E987" s="522"/>
      <c r="F987" s="522"/>
      <c r="G987" s="522"/>
      <c r="H987" s="522"/>
      <c r="I987" s="522"/>
      <c r="J987" s="522"/>
      <c r="K987" s="522"/>
      <c r="L987" s="522"/>
      <c r="M987" s="522"/>
      <c r="N987" s="522"/>
    </row>
    <row r="988">
      <c r="C988" s="522"/>
      <c r="D988" s="522"/>
      <c r="E988" s="522"/>
      <c r="F988" s="522"/>
      <c r="G988" s="522"/>
      <c r="H988" s="522"/>
      <c r="I988" s="522"/>
      <c r="J988" s="522"/>
      <c r="K988" s="522"/>
      <c r="L988" s="522"/>
      <c r="M988" s="522"/>
      <c r="N988" s="522"/>
    </row>
    <row r="989">
      <c r="C989" s="522"/>
      <c r="D989" s="522"/>
      <c r="E989" s="522"/>
      <c r="F989" s="522"/>
      <c r="G989" s="522"/>
      <c r="H989" s="522"/>
      <c r="I989" s="522"/>
      <c r="J989" s="522"/>
      <c r="K989" s="522"/>
      <c r="L989" s="522"/>
      <c r="M989" s="522"/>
      <c r="N989" s="522"/>
    </row>
    <row r="990">
      <c r="C990" s="522"/>
      <c r="D990" s="522"/>
      <c r="E990" s="522"/>
      <c r="F990" s="522"/>
      <c r="G990" s="522"/>
      <c r="H990" s="522"/>
      <c r="I990" s="522"/>
      <c r="J990" s="522"/>
      <c r="K990" s="522"/>
      <c r="L990" s="522"/>
      <c r="M990" s="522"/>
      <c r="N990" s="522"/>
    </row>
    <row r="991">
      <c r="C991" s="522"/>
      <c r="D991" s="522"/>
      <c r="E991" s="522"/>
      <c r="F991" s="522"/>
      <c r="G991" s="522"/>
      <c r="H991" s="522"/>
      <c r="I991" s="522"/>
      <c r="J991" s="522"/>
      <c r="K991" s="522"/>
      <c r="L991" s="522"/>
      <c r="M991" s="522"/>
      <c r="N991" s="522"/>
    </row>
    <row r="992">
      <c r="C992" s="522"/>
      <c r="D992" s="522"/>
      <c r="E992" s="522"/>
      <c r="F992" s="522"/>
      <c r="G992" s="522"/>
      <c r="H992" s="522"/>
      <c r="I992" s="522"/>
      <c r="J992" s="522"/>
      <c r="K992" s="522"/>
      <c r="L992" s="522"/>
      <c r="M992" s="522"/>
      <c r="N992" s="522"/>
    </row>
    <row r="993">
      <c r="C993" s="522"/>
      <c r="D993" s="522"/>
      <c r="E993" s="522"/>
      <c r="F993" s="522"/>
      <c r="G993" s="522"/>
      <c r="H993" s="522"/>
      <c r="I993" s="522"/>
      <c r="J993" s="522"/>
      <c r="K993" s="522"/>
      <c r="L993" s="522"/>
      <c r="M993" s="522"/>
      <c r="N993" s="522"/>
    </row>
    <row r="994">
      <c r="C994" s="522"/>
      <c r="D994" s="522"/>
      <c r="E994" s="522"/>
      <c r="F994" s="522"/>
      <c r="G994" s="522"/>
      <c r="H994" s="522"/>
      <c r="I994" s="522"/>
      <c r="J994" s="522"/>
      <c r="K994" s="522"/>
      <c r="L994" s="522"/>
      <c r="M994" s="522"/>
      <c r="N994" s="522"/>
    </row>
    <row r="995">
      <c r="C995" s="522"/>
      <c r="D995" s="522"/>
      <c r="E995" s="522"/>
      <c r="F995" s="522"/>
      <c r="G995" s="522"/>
      <c r="H995" s="522"/>
      <c r="I995" s="522"/>
      <c r="J995" s="522"/>
      <c r="K995" s="522"/>
      <c r="L995" s="522"/>
      <c r="M995" s="522"/>
      <c r="N995" s="522"/>
    </row>
    <row r="996">
      <c r="C996" s="522"/>
      <c r="D996" s="522"/>
      <c r="E996" s="522"/>
      <c r="F996" s="522"/>
      <c r="G996" s="522"/>
      <c r="H996" s="522"/>
      <c r="I996" s="522"/>
      <c r="J996" s="522"/>
      <c r="K996" s="522"/>
      <c r="L996" s="522"/>
      <c r="M996" s="522"/>
      <c r="N996" s="522"/>
    </row>
    <row r="997">
      <c r="C997" s="522"/>
      <c r="D997" s="522"/>
      <c r="E997" s="522"/>
      <c r="F997" s="522"/>
      <c r="G997" s="522"/>
      <c r="H997" s="522"/>
      <c r="I997" s="522"/>
      <c r="J997" s="522"/>
      <c r="K997" s="522"/>
      <c r="L997" s="522"/>
      <c r="M997" s="522"/>
      <c r="N997" s="522"/>
    </row>
    <row r="998">
      <c r="C998" s="522"/>
      <c r="D998" s="522"/>
      <c r="E998" s="522"/>
      <c r="F998" s="522"/>
      <c r="G998" s="522"/>
      <c r="H998" s="522"/>
      <c r="I998" s="522"/>
      <c r="J998" s="522"/>
      <c r="K998" s="522"/>
      <c r="L998" s="522"/>
      <c r="M998" s="522"/>
      <c r="N998" s="522"/>
    </row>
    <row r="999">
      <c r="C999" s="522"/>
      <c r="D999" s="522"/>
      <c r="E999" s="522"/>
      <c r="F999" s="522"/>
      <c r="G999" s="522"/>
      <c r="H999" s="522"/>
      <c r="I999" s="522"/>
      <c r="J999" s="522"/>
      <c r="K999" s="522"/>
      <c r="L999" s="522"/>
      <c r="M999" s="522"/>
      <c r="N999" s="522"/>
    </row>
    <row r="1000">
      <c r="C1000" s="522"/>
      <c r="D1000" s="522"/>
      <c r="E1000" s="522"/>
      <c r="F1000" s="522"/>
      <c r="G1000" s="522"/>
      <c r="H1000" s="522"/>
      <c r="I1000" s="522"/>
      <c r="J1000" s="522"/>
      <c r="K1000" s="522"/>
      <c r="L1000" s="522"/>
      <c r="M1000" s="522"/>
      <c r="N1000" s="522"/>
    </row>
    <row r="1001">
      <c r="C1001" s="522"/>
      <c r="D1001" s="522"/>
      <c r="E1001" s="522"/>
      <c r="F1001" s="522"/>
      <c r="G1001" s="522"/>
      <c r="H1001" s="522"/>
      <c r="I1001" s="522"/>
      <c r="J1001" s="522"/>
      <c r="K1001" s="522"/>
      <c r="L1001" s="522"/>
      <c r="M1001" s="522"/>
      <c r="N1001" s="522"/>
    </row>
    <row r="1002">
      <c r="C1002" s="522"/>
      <c r="D1002" s="522"/>
      <c r="E1002" s="522"/>
      <c r="F1002" s="522"/>
      <c r="G1002" s="522"/>
      <c r="H1002" s="522"/>
      <c r="I1002" s="522"/>
      <c r="J1002" s="522"/>
      <c r="K1002" s="522"/>
      <c r="L1002" s="522"/>
      <c r="M1002" s="522"/>
      <c r="N1002" s="522"/>
    </row>
    <row r="1003">
      <c r="C1003" s="522"/>
      <c r="D1003" s="522"/>
      <c r="E1003" s="522"/>
      <c r="F1003" s="522"/>
      <c r="G1003" s="522"/>
      <c r="H1003" s="522"/>
      <c r="I1003" s="522"/>
      <c r="J1003" s="522"/>
      <c r="K1003" s="522"/>
      <c r="L1003" s="522"/>
      <c r="M1003" s="522"/>
      <c r="N1003" s="522"/>
    </row>
    <row r="1004">
      <c r="C1004" s="522"/>
      <c r="D1004" s="522"/>
      <c r="E1004" s="522"/>
      <c r="F1004" s="522"/>
      <c r="G1004" s="522"/>
      <c r="H1004" s="522"/>
      <c r="I1004" s="522"/>
      <c r="J1004" s="522"/>
      <c r="K1004" s="522"/>
      <c r="L1004" s="522"/>
      <c r="M1004" s="522"/>
      <c r="N1004" s="522"/>
    </row>
    <row r="1005">
      <c r="C1005" s="522"/>
      <c r="D1005" s="522"/>
      <c r="E1005" s="522"/>
      <c r="F1005" s="522"/>
      <c r="G1005" s="522"/>
      <c r="H1005" s="522"/>
      <c r="I1005" s="522"/>
      <c r="J1005" s="522"/>
      <c r="K1005" s="522"/>
      <c r="L1005" s="522"/>
      <c r="M1005" s="522"/>
      <c r="N1005" s="522"/>
    </row>
    <row r="1006">
      <c r="C1006" s="522"/>
      <c r="D1006" s="522"/>
      <c r="E1006" s="522"/>
      <c r="F1006" s="522"/>
      <c r="G1006" s="522"/>
      <c r="H1006" s="522"/>
      <c r="I1006" s="522"/>
      <c r="J1006" s="522"/>
      <c r="K1006" s="522"/>
      <c r="L1006" s="522"/>
      <c r="M1006" s="522"/>
      <c r="N1006" s="522"/>
    </row>
    <row r="1007">
      <c r="C1007" s="522"/>
      <c r="D1007" s="522"/>
      <c r="E1007" s="522"/>
      <c r="F1007" s="522"/>
      <c r="G1007" s="522"/>
      <c r="H1007" s="522"/>
      <c r="I1007" s="522"/>
      <c r="J1007" s="522"/>
      <c r="K1007" s="522"/>
      <c r="L1007" s="522"/>
      <c r="M1007" s="522"/>
      <c r="N1007" s="522"/>
    </row>
  </sheetData>
  <mergeCells count="10">
    <mergeCell ref="F15:H15"/>
    <mergeCell ref="I15:K15"/>
    <mergeCell ref="B2:O2"/>
    <mergeCell ref="C7:E7"/>
    <mergeCell ref="F7:H7"/>
    <mergeCell ref="I7:K7"/>
    <mergeCell ref="L7:N7"/>
    <mergeCell ref="B10:O10"/>
    <mergeCell ref="C15:E15"/>
    <mergeCell ref="L15:N15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5.13" defaultRowHeight="15.0"/>
  <cols>
    <col customWidth="1" min="1" max="1" width="1.25"/>
    <col customWidth="1" min="2" max="2" width="19.5"/>
    <col customWidth="1" min="3" max="3" width="10.63"/>
    <col customWidth="1" min="4" max="4" width="36.88"/>
    <col customWidth="1" min="5" max="5" width="10.63"/>
    <col customWidth="1" min="6" max="6" width="33.5"/>
    <col customWidth="1" min="7" max="7" width="10.63"/>
    <col customWidth="1" min="8" max="8" width="12.38"/>
    <col customWidth="1" min="9" max="14" width="10.63"/>
    <col customWidth="1" min="15" max="18" width="2.0"/>
  </cols>
  <sheetData>
    <row r="1" ht="11.25" customHeight="1">
      <c r="A1" s="551"/>
      <c r="B1" s="551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</row>
    <row r="2" ht="18.0" customHeight="1">
      <c r="A2" s="551"/>
      <c r="B2" s="553"/>
      <c r="C2" s="554" t="s">
        <v>102</v>
      </c>
      <c r="D2" s="554" t="s">
        <v>103</v>
      </c>
      <c r="E2" s="554" t="s">
        <v>104</v>
      </c>
      <c r="F2" s="554" t="s">
        <v>105</v>
      </c>
      <c r="G2" s="554" t="s">
        <v>106</v>
      </c>
      <c r="H2" s="554" t="s">
        <v>107</v>
      </c>
      <c r="I2" s="554" t="s">
        <v>108</v>
      </c>
      <c r="J2" s="554" t="s">
        <v>109</v>
      </c>
      <c r="K2" s="554" t="s">
        <v>110</v>
      </c>
      <c r="L2" s="554" t="s">
        <v>111</v>
      </c>
      <c r="M2" s="554" t="s">
        <v>112</v>
      </c>
      <c r="N2" s="554" t="s">
        <v>101</v>
      </c>
      <c r="O2" s="552"/>
      <c r="P2" s="552"/>
      <c r="Q2" s="552"/>
      <c r="R2" s="552"/>
    </row>
    <row r="3" ht="18.0" customHeight="1">
      <c r="A3" s="551"/>
      <c r="B3" s="553" t="s">
        <v>487</v>
      </c>
      <c r="C3" s="555"/>
      <c r="D3" s="556"/>
      <c r="E3" s="557"/>
      <c r="F3" s="557"/>
      <c r="G3" s="557"/>
      <c r="H3" s="557"/>
      <c r="I3" s="557"/>
      <c r="J3" s="555"/>
      <c r="K3" s="555"/>
      <c r="L3" s="555"/>
      <c r="M3" s="555"/>
      <c r="N3" s="555"/>
      <c r="O3" s="558"/>
      <c r="P3" s="558"/>
      <c r="Q3" s="558"/>
      <c r="R3" s="558"/>
    </row>
    <row r="4" ht="18.0" customHeight="1">
      <c r="A4" s="551"/>
      <c r="B4" s="553" t="s">
        <v>488</v>
      </c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9"/>
      <c r="P4" s="559"/>
      <c r="Q4" s="559"/>
      <c r="R4" s="559"/>
    </row>
    <row r="5" ht="18.0" customHeight="1">
      <c r="A5" s="551"/>
      <c r="B5" s="553" t="s">
        <v>489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8"/>
      <c r="P5" s="558"/>
      <c r="Q5" s="558"/>
      <c r="R5" s="558"/>
    </row>
    <row r="6" ht="18.0" customHeight="1">
      <c r="A6" s="551"/>
      <c r="B6" s="553" t="s">
        <v>490</v>
      </c>
      <c r="C6" s="555"/>
      <c r="D6" s="555"/>
      <c r="E6" s="555"/>
      <c r="F6" s="555"/>
      <c r="G6" s="555"/>
      <c r="H6" s="555"/>
      <c r="I6" s="555"/>
      <c r="J6" s="555"/>
      <c r="K6" s="555"/>
      <c r="L6" s="555"/>
      <c r="M6" s="555"/>
      <c r="N6" s="555"/>
      <c r="O6" s="558"/>
      <c r="P6" s="558"/>
      <c r="Q6" s="558"/>
      <c r="R6" s="558"/>
    </row>
    <row r="7">
      <c r="A7" s="560"/>
      <c r="B7" s="560"/>
      <c r="C7" s="561"/>
      <c r="D7" s="561"/>
      <c r="E7" s="561"/>
      <c r="F7" s="561"/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</row>
    <row r="8">
      <c r="A8" s="551"/>
      <c r="B8" s="562" t="s">
        <v>491</v>
      </c>
      <c r="J8" s="561"/>
      <c r="K8" s="561"/>
      <c r="L8" s="561"/>
      <c r="M8" s="561"/>
      <c r="N8" s="561"/>
      <c r="O8" s="561"/>
      <c r="P8" s="561"/>
      <c r="Q8" s="561"/>
      <c r="R8" s="561"/>
    </row>
    <row r="9">
      <c r="A9" s="551"/>
      <c r="B9" s="563" t="s">
        <v>492</v>
      </c>
      <c r="C9" s="564" t="s">
        <v>493</v>
      </c>
      <c r="D9" s="564" t="s">
        <v>494</v>
      </c>
      <c r="E9" s="564" t="s">
        <v>495</v>
      </c>
      <c r="F9" s="564" t="s">
        <v>496</v>
      </c>
      <c r="G9" s="564" t="s">
        <v>497</v>
      </c>
      <c r="H9" s="564" t="s">
        <v>498</v>
      </c>
      <c r="I9" s="564" t="s">
        <v>499</v>
      </c>
      <c r="J9" s="561"/>
      <c r="K9" s="561"/>
      <c r="L9" s="561"/>
      <c r="M9" s="561"/>
      <c r="N9" s="561"/>
      <c r="O9" s="561"/>
      <c r="P9" s="561"/>
      <c r="Q9" s="561"/>
      <c r="R9" s="561"/>
    </row>
    <row r="10">
      <c r="A10" s="551"/>
      <c r="B10" s="565" t="s">
        <v>500</v>
      </c>
      <c r="C10" s="566" t="s">
        <v>102</v>
      </c>
      <c r="D10" s="567" t="s">
        <v>501</v>
      </c>
      <c r="E10" s="566" t="s">
        <v>502</v>
      </c>
      <c r="F10" s="566" t="s">
        <v>503</v>
      </c>
      <c r="G10" s="568">
        <v>200.0</v>
      </c>
      <c r="H10" s="566" t="s">
        <v>504</v>
      </c>
      <c r="I10" s="569"/>
      <c r="J10" s="561"/>
      <c r="K10" s="561"/>
      <c r="L10" s="561"/>
      <c r="M10" s="561"/>
      <c r="N10" s="561"/>
      <c r="O10" s="561"/>
      <c r="P10" s="561"/>
      <c r="Q10" s="561"/>
      <c r="R10" s="561"/>
    </row>
    <row r="11">
      <c r="A11" s="551"/>
      <c r="B11" s="565" t="s">
        <v>177</v>
      </c>
      <c r="C11" s="566" t="s">
        <v>103</v>
      </c>
      <c r="D11" s="567" t="s">
        <v>505</v>
      </c>
      <c r="E11" s="566" t="s">
        <v>506</v>
      </c>
      <c r="F11" s="566" t="s">
        <v>507</v>
      </c>
      <c r="G11" s="568">
        <v>200.0</v>
      </c>
      <c r="H11" s="570" t="s">
        <v>508</v>
      </c>
      <c r="I11" s="569"/>
      <c r="J11" s="561"/>
      <c r="K11" s="561"/>
      <c r="L11" s="561"/>
      <c r="M11" s="561"/>
      <c r="N11" s="561"/>
      <c r="O11" s="561"/>
      <c r="P11" s="561"/>
      <c r="Q11" s="561"/>
      <c r="R11" s="561"/>
    </row>
    <row r="12">
      <c r="A12" s="551"/>
      <c r="B12" s="571" t="s">
        <v>509</v>
      </c>
      <c r="C12" s="572" t="s">
        <v>102</v>
      </c>
      <c r="D12" s="573" t="s">
        <v>510</v>
      </c>
      <c r="E12" s="572" t="s">
        <v>511</v>
      </c>
      <c r="F12" s="572" t="s">
        <v>512</v>
      </c>
      <c r="G12" s="574">
        <v>100.0</v>
      </c>
      <c r="H12" s="572" t="s">
        <v>508</v>
      </c>
      <c r="I12" s="575"/>
      <c r="J12" s="561"/>
      <c r="K12" s="561"/>
      <c r="L12" s="561"/>
      <c r="M12" s="561"/>
      <c r="N12" s="561"/>
      <c r="O12" s="561"/>
      <c r="P12" s="561"/>
      <c r="Q12" s="561"/>
      <c r="R12" s="561"/>
    </row>
    <row r="13">
      <c r="A13" s="551"/>
      <c r="B13" s="571" t="s">
        <v>509</v>
      </c>
      <c r="C13" s="572" t="s">
        <v>102</v>
      </c>
      <c r="D13" s="573" t="s">
        <v>513</v>
      </c>
      <c r="E13" s="572" t="s">
        <v>514</v>
      </c>
      <c r="F13" s="572" t="s">
        <v>515</v>
      </c>
      <c r="G13" s="574">
        <v>50.0</v>
      </c>
      <c r="H13" s="572" t="s">
        <v>508</v>
      </c>
      <c r="I13" s="575"/>
      <c r="J13" s="561"/>
      <c r="K13" s="561"/>
      <c r="L13" s="561"/>
      <c r="M13" s="561"/>
      <c r="N13" s="561"/>
      <c r="O13" s="561"/>
      <c r="P13" s="561"/>
      <c r="Q13" s="561"/>
      <c r="R13" s="561"/>
    </row>
    <row r="14">
      <c r="A14" s="551"/>
      <c r="B14" s="571" t="s">
        <v>509</v>
      </c>
      <c r="C14" s="574" t="s">
        <v>103</v>
      </c>
      <c r="D14" s="573" t="s">
        <v>516</v>
      </c>
      <c r="E14" s="572" t="s">
        <v>517</v>
      </c>
      <c r="F14" s="574" t="s">
        <v>518</v>
      </c>
      <c r="G14" s="574">
        <v>50.0</v>
      </c>
      <c r="H14" s="574" t="s">
        <v>508</v>
      </c>
      <c r="I14" s="575"/>
      <c r="J14" s="561"/>
      <c r="K14" s="561"/>
      <c r="L14" s="561"/>
      <c r="M14" s="561"/>
      <c r="N14" s="561"/>
      <c r="O14" s="561"/>
      <c r="P14" s="561"/>
      <c r="Q14" s="561"/>
      <c r="R14" s="561"/>
    </row>
    <row r="15">
      <c r="A15" s="551"/>
      <c r="B15" s="576" t="s">
        <v>509</v>
      </c>
      <c r="C15" s="577" t="s">
        <v>104</v>
      </c>
      <c r="D15" s="578" t="s">
        <v>516</v>
      </c>
      <c r="E15" s="579" t="s">
        <v>519</v>
      </c>
      <c r="F15" s="577" t="s">
        <v>520</v>
      </c>
      <c r="G15" s="577">
        <v>50.0</v>
      </c>
      <c r="H15" s="577" t="s">
        <v>508</v>
      </c>
      <c r="I15" s="569"/>
      <c r="J15" s="561"/>
      <c r="K15" s="561"/>
      <c r="L15" s="561"/>
      <c r="M15" s="561"/>
      <c r="N15" s="561"/>
      <c r="O15" s="561"/>
      <c r="P15" s="561"/>
      <c r="Q15" s="561"/>
      <c r="R15" s="561"/>
    </row>
    <row r="16">
      <c r="A16" s="551"/>
      <c r="B16" s="576" t="s">
        <v>521</v>
      </c>
      <c r="C16" s="577" t="s">
        <v>104</v>
      </c>
      <c r="D16" s="578" t="s">
        <v>516</v>
      </c>
      <c r="E16" s="579" t="s">
        <v>522</v>
      </c>
      <c r="F16" s="577" t="s">
        <v>523</v>
      </c>
      <c r="G16" s="577">
        <v>50.0</v>
      </c>
      <c r="H16" s="577" t="s">
        <v>508</v>
      </c>
      <c r="I16" s="569"/>
      <c r="J16" s="561"/>
      <c r="K16" s="561"/>
      <c r="L16" s="561"/>
      <c r="M16" s="561"/>
      <c r="N16" s="561"/>
      <c r="O16" s="561"/>
      <c r="P16" s="561"/>
      <c r="Q16" s="561"/>
      <c r="R16" s="561"/>
    </row>
    <row r="17">
      <c r="A17" s="551"/>
      <c r="B17" s="576" t="s">
        <v>509</v>
      </c>
      <c r="C17" s="577" t="s">
        <v>104</v>
      </c>
      <c r="D17" s="578" t="s">
        <v>516</v>
      </c>
      <c r="E17" s="579" t="s">
        <v>522</v>
      </c>
      <c r="F17" s="577" t="s">
        <v>523</v>
      </c>
      <c r="G17" s="577">
        <v>50.0</v>
      </c>
      <c r="H17" s="577" t="s">
        <v>508</v>
      </c>
      <c r="I17" s="569"/>
      <c r="J17" s="561"/>
      <c r="K17" s="561"/>
      <c r="L17" s="561"/>
      <c r="M17" s="561"/>
      <c r="N17" s="561"/>
      <c r="O17" s="561"/>
      <c r="P17" s="561"/>
      <c r="Q17" s="561"/>
      <c r="R17" s="561"/>
    </row>
    <row r="18">
      <c r="A18" s="551"/>
      <c r="B18" s="576" t="s">
        <v>509</v>
      </c>
      <c r="C18" s="577" t="s">
        <v>107</v>
      </c>
      <c r="D18" s="580" t="s">
        <v>513</v>
      </c>
      <c r="E18" s="577" t="s">
        <v>524</v>
      </c>
      <c r="F18" s="569"/>
      <c r="G18" s="577">
        <v>50.0</v>
      </c>
      <c r="H18" s="577" t="s">
        <v>525</v>
      </c>
      <c r="I18" s="569"/>
      <c r="J18" s="561"/>
      <c r="K18" s="561"/>
      <c r="L18" s="561"/>
      <c r="M18" s="561"/>
      <c r="N18" s="561"/>
      <c r="O18" s="561"/>
      <c r="P18" s="561"/>
      <c r="Q18" s="561"/>
      <c r="R18" s="561"/>
    </row>
    <row r="19">
      <c r="A19" s="551"/>
      <c r="B19" s="576" t="s">
        <v>526</v>
      </c>
      <c r="C19" s="577" t="s">
        <v>107</v>
      </c>
      <c r="D19" s="580" t="s">
        <v>527</v>
      </c>
      <c r="E19" s="577" t="s">
        <v>528</v>
      </c>
      <c r="F19" s="569"/>
      <c r="G19" s="577">
        <v>50.0</v>
      </c>
      <c r="H19" s="577" t="s">
        <v>525</v>
      </c>
      <c r="I19" s="569"/>
      <c r="J19" s="561"/>
      <c r="K19" s="561"/>
      <c r="L19" s="561"/>
      <c r="M19" s="561"/>
      <c r="N19" s="561"/>
      <c r="O19" s="561"/>
      <c r="P19" s="561"/>
      <c r="Q19" s="561"/>
      <c r="R19" s="561"/>
    </row>
    <row r="20">
      <c r="A20" s="551"/>
      <c r="B20" s="576" t="s">
        <v>509</v>
      </c>
      <c r="C20" s="577" t="s">
        <v>529</v>
      </c>
      <c r="D20" s="580" t="s">
        <v>530</v>
      </c>
      <c r="E20" s="577" t="s">
        <v>531</v>
      </c>
      <c r="F20" s="569"/>
      <c r="G20" s="577">
        <v>50.0</v>
      </c>
      <c r="H20" s="577" t="s">
        <v>525</v>
      </c>
      <c r="I20" s="569"/>
      <c r="J20" s="561"/>
      <c r="K20" s="561"/>
      <c r="L20" s="561"/>
      <c r="M20" s="561"/>
      <c r="N20" s="561"/>
      <c r="O20" s="561"/>
      <c r="P20" s="561"/>
      <c r="Q20" s="561"/>
      <c r="R20" s="561"/>
    </row>
    <row r="21">
      <c r="A21" s="551"/>
      <c r="B21" s="576" t="s">
        <v>509</v>
      </c>
      <c r="C21" s="577" t="s">
        <v>529</v>
      </c>
      <c r="D21" s="580" t="s">
        <v>530</v>
      </c>
      <c r="E21" s="577" t="s">
        <v>531</v>
      </c>
      <c r="F21" s="569"/>
      <c r="G21" s="577">
        <v>50.0</v>
      </c>
      <c r="H21" s="577" t="s">
        <v>525</v>
      </c>
      <c r="I21" s="569"/>
      <c r="J21" s="561"/>
      <c r="K21" s="561"/>
      <c r="L21" s="561"/>
      <c r="M21" s="561"/>
      <c r="N21" s="561"/>
      <c r="O21" s="561"/>
      <c r="P21" s="561"/>
      <c r="Q21" s="561"/>
      <c r="R21" s="561"/>
    </row>
    <row r="22">
      <c r="A22" s="551"/>
      <c r="B22" s="576" t="s">
        <v>532</v>
      </c>
      <c r="C22" s="577" t="s">
        <v>529</v>
      </c>
      <c r="D22" s="580" t="s">
        <v>527</v>
      </c>
      <c r="E22" s="577" t="s">
        <v>533</v>
      </c>
      <c r="F22" s="577" t="s">
        <v>534</v>
      </c>
      <c r="G22" s="577">
        <v>50.0</v>
      </c>
      <c r="H22" s="577" t="s">
        <v>508</v>
      </c>
      <c r="I22" s="569"/>
      <c r="J22" s="561"/>
      <c r="K22" s="561"/>
      <c r="L22" s="561"/>
      <c r="M22" s="561"/>
      <c r="N22" s="561"/>
      <c r="O22" s="561"/>
      <c r="P22" s="561"/>
      <c r="Q22" s="561"/>
      <c r="R22" s="561"/>
    </row>
    <row r="23">
      <c r="A23" s="551"/>
      <c r="B23" s="576" t="s">
        <v>535</v>
      </c>
      <c r="C23" s="577" t="s">
        <v>536</v>
      </c>
      <c r="D23" s="580" t="s">
        <v>527</v>
      </c>
      <c r="E23" s="577" t="s">
        <v>537</v>
      </c>
      <c r="F23" s="569"/>
      <c r="G23" s="577">
        <v>50.0</v>
      </c>
      <c r="H23" s="577" t="s">
        <v>525</v>
      </c>
      <c r="I23" s="569"/>
      <c r="J23" s="561"/>
      <c r="K23" s="561"/>
      <c r="L23" s="561"/>
      <c r="M23" s="561"/>
      <c r="N23" s="561"/>
      <c r="O23" s="561"/>
      <c r="P23" s="561"/>
      <c r="Q23" s="561"/>
      <c r="R23" s="561"/>
    </row>
    <row r="24">
      <c r="A24" s="551"/>
      <c r="B24" s="576" t="s">
        <v>535</v>
      </c>
      <c r="C24" s="577" t="s">
        <v>536</v>
      </c>
      <c r="D24" s="580" t="s">
        <v>527</v>
      </c>
      <c r="E24" s="577" t="s">
        <v>537</v>
      </c>
      <c r="F24" s="569"/>
      <c r="G24" s="577">
        <v>50.0</v>
      </c>
      <c r="H24" s="577" t="s">
        <v>525</v>
      </c>
      <c r="I24" s="569"/>
      <c r="J24" s="561"/>
      <c r="K24" s="561"/>
      <c r="L24" s="561"/>
      <c r="M24" s="561"/>
      <c r="N24" s="561"/>
      <c r="O24" s="561"/>
      <c r="P24" s="561"/>
      <c r="Q24" s="561"/>
      <c r="R24" s="561"/>
    </row>
    <row r="25">
      <c r="A25" s="551"/>
      <c r="B25" s="576" t="s">
        <v>535</v>
      </c>
      <c r="C25" s="577" t="s">
        <v>536</v>
      </c>
      <c r="D25" s="580" t="s">
        <v>527</v>
      </c>
      <c r="E25" s="577" t="s">
        <v>537</v>
      </c>
      <c r="F25" s="569"/>
      <c r="G25" s="577">
        <v>50.0</v>
      </c>
      <c r="H25" s="577" t="s">
        <v>525</v>
      </c>
      <c r="I25" s="569"/>
      <c r="J25" s="561"/>
      <c r="K25" s="561"/>
      <c r="L25" s="561"/>
      <c r="M25" s="561"/>
      <c r="N25" s="561"/>
      <c r="O25" s="561"/>
      <c r="P25" s="561"/>
      <c r="Q25" s="561"/>
      <c r="R25" s="561"/>
    </row>
    <row r="26">
      <c r="A26" s="551"/>
      <c r="B26" s="576" t="s">
        <v>535</v>
      </c>
      <c r="C26" s="577" t="s">
        <v>536</v>
      </c>
      <c r="D26" s="580" t="s">
        <v>527</v>
      </c>
      <c r="E26" s="577" t="s">
        <v>537</v>
      </c>
      <c r="F26" s="569"/>
      <c r="G26" s="577">
        <v>50.0</v>
      </c>
      <c r="H26" s="577" t="s">
        <v>525</v>
      </c>
      <c r="I26" s="569"/>
      <c r="J26" s="561"/>
      <c r="K26" s="561"/>
      <c r="L26" s="561"/>
      <c r="M26" s="561"/>
      <c r="N26" s="561"/>
      <c r="O26" s="561"/>
      <c r="P26" s="561"/>
      <c r="Q26" s="561"/>
      <c r="R26" s="561"/>
    </row>
    <row r="27">
      <c r="A27" s="551"/>
      <c r="B27" s="581" t="s">
        <v>538</v>
      </c>
      <c r="C27" s="582" t="s">
        <v>536</v>
      </c>
      <c r="D27" s="583" t="s">
        <v>539</v>
      </c>
      <c r="E27" s="582" t="s">
        <v>540</v>
      </c>
      <c r="F27" s="582" t="s">
        <v>541</v>
      </c>
      <c r="G27" s="582">
        <v>100.0</v>
      </c>
      <c r="H27" s="582" t="s">
        <v>525</v>
      </c>
      <c r="I27" s="584"/>
      <c r="J27" s="561"/>
      <c r="K27" s="561"/>
      <c r="L27" s="561"/>
      <c r="M27" s="561"/>
      <c r="N27" s="561"/>
      <c r="O27" s="561"/>
      <c r="P27" s="561"/>
      <c r="Q27" s="561"/>
      <c r="R27" s="561"/>
    </row>
    <row r="28">
      <c r="A28" s="551"/>
      <c r="B28" s="581" t="s">
        <v>542</v>
      </c>
      <c r="C28" s="582" t="s">
        <v>536</v>
      </c>
      <c r="D28" s="583" t="s">
        <v>543</v>
      </c>
      <c r="E28" s="582" t="s">
        <v>544</v>
      </c>
      <c r="F28" s="582" t="s">
        <v>545</v>
      </c>
      <c r="G28" s="582">
        <v>50.0</v>
      </c>
      <c r="H28" s="582" t="s">
        <v>525</v>
      </c>
      <c r="I28" s="584"/>
      <c r="J28" s="561"/>
      <c r="K28" s="561"/>
      <c r="L28" s="561"/>
      <c r="M28" s="561"/>
      <c r="N28" s="561"/>
      <c r="O28" s="561"/>
      <c r="P28" s="561"/>
      <c r="Q28" s="561"/>
      <c r="R28" s="561"/>
    </row>
    <row r="29">
      <c r="A29" s="551"/>
      <c r="B29" s="581" t="s">
        <v>177</v>
      </c>
      <c r="C29" s="582" t="s">
        <v>536</v>
      </c>
      <c r="D29" s="583" t="s">
        <v>546</v>
      </c>
      <c r="E29" s="583" t="s">
        <v>547</v>
      </c>
      <c r="F29" s="582" t="s">
        <v>548</v>
      </c>
      <c r="G29" s="582">
        <v>50.0</v>
      </c>
      <c r="H29" s="582" t="s">
        <v>525</v>
      </c>
      <c r="I29" s="584"/>
      <c r="J29" s="561"/>
      <c r="K29" s="561"/>
      <c r="L29" s="561"/>
      <c r="M29" s="561"/>
      <c r="N29" s="561"/>
      <c r="O29" s="561"/>
      <c r="P29" s="561"/>
      <c r="Q29" s="561"/>
      <c r="R29" s="561"/>
    </row>
    <row r="30">
      <c r="A30" s="551"/>
      <c r="B30" s="581" t="s">
        <v>177</v>
      </c>
      <c r="C30" s="582" t="s">
        <v>536</v>
      </c>
      <c r="D30" s="583" t="s">
        <v>543</v>
      </c>
      <c r="E30" s="583" t="s">
        <v>549</v>
      </c>
      <c r="F30" s="582" t="s">
        <v>550</v>
      </c>
      <c r="G30" s="582">
        <v>50.0</v>
      </c>
      <c r="H30" s="582" t="s">
        <v>525</v>
      </c>
      <c r="I30" s="584"/>
      <c r="J30" s="561"/>
      <c r="K30" s="561"/>
      <c r="L30" s="561"/>
      <c r="M30" s="561"/>
      <c r="N30" s="561"/>
      <c r="O30" s="561"/>
      <c r="P30" s="561"/>
      <c r="Q30" s="561"/>
      <c r="R30" s="561"/>
    </row>
    <row r="31">
      <c r="A31" s="551"/>
      <c r="B31" s="581" t="s">
        <v>182</v>
      </c>
      <c r="C31" s="582" t="s">
        <v>536</v>
      </c>
      <c r="D31" s="583" t="s">
        <v>551</v>
      </c>
      <c r="E31" s="583" t="s">
        <v>552</v>
      </c>
      <c r="F31" s="582" t="s">
        <v>553</v>
      </c>
      <c r="G31" s="582">
        <v>50.0</v>
      </c>
      <c r="H31" s="582" t="s">
        <v>525</v>
      </c>
      <c r="I31" s="584"/>
      <c r="J31" s="561"/>
      <c r="K31" s="561"/>
      <c r="L31" s="561"/>
      <c r="M31" s="561"/>
      <c r="N31" s="561"/>
      <c r="O31" s="561"/>
      <c r="P31" s="561"/>
      <c r="Q31" s="561"/>
      <c r="R31" s="561"/>
    </row>
    <row r="32">
      <c r="A32" s="551"/>
      <c r="B32" s="573" t="s">
        <v>542</v>
      </c>
      <c r="C32" s="585">
        <v>42383.0</v>
      </c>
      <c r="D32" s="573" t="s">
        <v>554</v>
      </c>
      <c r="E32" s="573" t="s">
        <v>555</v>
      </c>
      <c r="F32" s="573" t="s">
        <v>556</v>
      </c>
      <c r="G32" s="573">
        <v>50.0</v>
      </c>
      <c r="H32" s="573" t="s">
        <v>508</v>
      </c>
      <c r="I32" s="573" t="s">
        <v>508</v>
      </c>
      <c r="J32" s="561"/>
      <c r="K32" s="561"/>
      <c r="L32" s="561"/>
      <c r="M32" s="561"/>
      <c r="N32" s="561"/>
      <c r="O32" s="561"/>
      <c r="P32" s="561"/>
      <c r="Q32" s="561"/>
      <c r="R32" s="561"/>
    </row>
    <row r="33">
      <c r="A33" s="551"/>
      <c r="B33" s="573" t="s">
        <v>526</v>
      </c>
      <c r="C33" s="585">
        <v>42384.0</v>
      </c>
      <c r="D33" s="573" t="s">
        <v>557</v>
      </c>
      <c r="E33" s="573" t="s">
        <v>558</v>
      </c>
      <c r="F33" s="573" t="s">
        <v>556</v>
      </c>
      <c r="G33" s="573">
        <v>30.0</v>
      </c>
      <c r="H33" s="573" t="s">
        <v>508</v>
      </c>
      <c r="I33" s="573" t="s">
        <v>508</v>
      </c>
      <c r="J33" s="561"/>
      <c r="K33" s="561"/>
      <c r="L33" s="561"/>
      <c r="M33" s="561"/>
      <c r="N33" s="561"/>
      <c r="O33" s="561"/>
      <c r="P33" s="561"/>
      <c r="Q33" s="561"/>
      <c r="R33" s="561"/>
    </row>
    <row r="34">
      <c r="A34" s="551"/>
      <c r="B34" s="573" t="s">
        <v>526</v>
      </c>
      <c r="C34" s="585">
        <v>42391.0</v>
      </c>
      <c r="D34" s="573" t="s">
        <v>557</v>
      </c>
      <c r="E34" s="573" t="s">
        <v>559</v>
      </c>
      <c r="F34" s="573" t="s">
        <v>556</v>
      </c>
      <c r="G34" s="573">
        <v>30.0</v>
      </c>
      <c r="H34" s="573" t="s">
        <v>508</v>
      </c>
      <c r="I34" s="573" t="s">
        <v>508</v>
      </c>
      <c r="J34" s="561"/>
      <c r="K34" s="561"/>
      <c r="L34" s="561"/>
      <c r="M34" s="561"/>
      <c r="N34" s="561"/>
      <c r="O34" s="561"/>
      <c r="P34" s="561"/>
      <c r="Q34" s="561"/>
      <c r="R34" s="561"/>
    </row>
    <row r="35">
      <c r="A35" s="551"/>
      <c r="B35" s="573" t="s">
        <v>560</v>
      </c>
      <c r="C35" s="585">
        <v>42403.0</v>
      </c>
      <c r="D35" s="573" t="s">
        <v>561</v>
      </c>
      <c r="E35" s="573" t="s">
        <v>562</v>
      </c>
      <c r="F35" s="573" t="s">
        <v>556</v>
      </c>
      <c r="G35" s="573">
        <v>30.0</v>
      </c>
      <c r="H35" s="573" t="s">
        <v>508</v>
      </c>
      <c r="I35" s="573" t="s">
        <v>508</v>
      </c>
      <c r="J35" s="561"/>
      <c r="K35" s="561"/>
      <c r="L35" s="561"/>
      <c r="M35" s="561"/>
      <c r="N35" s="561"/>
      <c r="O35" s="561"/>
      <c r="P35" s="561"/>
      <c r="Q35" s="561"/>
      <c r="R35" s="561"/>
    </row>
    <row r="36">
      <c r="A36" s="551"/>
      <c r="B36" s="573" t="s">
        <v>268</v>
      </c>
      <c r="C36" s="585">
        <v>42404.0</v>
      </c>
      <c r="D36" s="573" t="s">
        <v>561</v>
      </c>
      <c r="E36" s="573" t="s">
        <v>563</v>
      </c>
      <c r="F36" s="573" t="s">
        <v>556</v>
      </c>
      <c r="G36" s="573">
        <v>30.0</v>
      </c>
      <c r="H36" s="573" t="s">
        <v>508</v>
      </c>
      <c r="I36" s="573" t="s">
        <v>508</v>
      </c>
      <c r="J36" s="561"/>
      <c r="K36" s="561"/>
      <c r="L36" s="561"/>
      <c r="M36" s="561"/>
      <c r="N36" s="561"/>
      <c r="O36" s="561"/>
      <c r="P36" s="561"/>
      <c r="Q36" s="561"/>
      <c r="R36" s="561"/>
    </row>
    <row r="37">
      <c r="A37" s="551"/>
      <c r="B37" s="573" t="s">
        <v>526</v>
      </c>
      <c r="C37" s="585">
        <v>42419.0</v>
      </c>
      <c r="D37" s="573" t="s">
        <v>564</v>
      </c>
      <c r="E37" s="573" t="s">
        <v>565</v>
      </c>
      <c r="F37" s="573" t="s">
        <v>556</v>
      </c>
      <c r="G37" s="573">
        <v>30.0</v>
      </c>
      <c r="H37" s="573" t="s">
        <v>508</v>
      </c>
      <c r="I37" s="573" t="s">
        <v>508</v>
      </c>
      <c r="J37" s="561"/>
      <c r="K37" s="561"/>
      <c r="L37" s="561"/>
      <c r="M37" s="561"/>
      <c r="N37" s="561"/>
      <c r="O37" s="561"/>
      <c r="P37" s="561"/>
      <c r="Q37" s="561"/>
      <c r="R37" s="561"/>
    </row>
    <row r="38" ht="56.25" customHeight="1">
      <c r="A38" s="551"/>
      <c r="B38" s="573" t="s">
        <v>566</v>
      </c>
      <c r="C38" s="585">
        <v>42423.0</v>
      </c>
      <c r="D38" s="573" t="s">
        <v>567</v>
      </c>
      <c r="E38" s="573" t="s">
        <v>568</v>
      </c>
      <c r="F38" s="573" t="s">
        <v>556</v>
      </c>
      <c r="G38" s="573">
        <v>30.0</v>
      </c>
      <c r="H38" s="573" t="s">
        <v>508</v>
      </c>
      <c r="I38" s="573" t="s">
        <v>508</v>
      </c>
      <c r="J38" s="561"/>
      <c r="K38" s="561"/>
      <c r="L38" s="561"/>
      <c r="M38" s="561"/>
      <c r="N38" s="561"/>
      <c r="O38" s="561"/>
      <c r="P38" s="561"/>
      <c r="Q38" s="561"/>
      <c r="R38" s="561"/>
    </row>
    <row r="39">
      <c r="A39" s="551"/>
      <c r="B39" s="573" t="s">
        <v>566</v>
      </c>
      <c r="C39" s="585">
        <v>42431.0</v>
      </c>
      <c r="D39" s="573" t="s">
        <v>569</v>
      </c>
      <c r="E39" s="573" t="s">
        <v>570</v>
      </c>
      <c r="F39" s="573" t="s">
        <v>556</v>
      </c>
      <c r="G39" s="573">
        <v>30.0</v>
      </c>
      <c r="H39" s="573" t="s">
        <v>508</v>
      </c>
      <c r="I39" s="573" t="s">
        <v>508</v>
      </c>
      <c r="J39" s="561"/>
      <c r="K39" s="561"/>
      <c r="L39" s="561"/>
      <c r="M39" s="561"/>
      <c r="N39" s="561"/>
      <c r="O39" s="561"/>
      <c r="P39" s="561"/>
      <c r="Q39" s="561"/>
      <c r="R39" s="561"/>
    </row>
    <row r="40">
      <c r="A40" s="551"/>
      <c r="B40" s="573" t="s">
        <v>526</v>
      </c>
      <c r="C40" s="585">
        <v>42457.0</v>
      </c>
      <c r="D40" s="573" t="s">
        <v>571</v>
      </c>
      <c r="E40" s="573" t="s">
        <v>572</v>
      </c>
      <c r="F40" s="573" t="s">
        <v>556</v>
      </c>
      <c r="G40" s="573">
        <v>30.0</v>
      </c>
      <c r="H40" s="573" t="s">
        <v>508</v>
      </c>
      <c r="I40" s="573" t="s">
        <v>508</v>
      </c>
      <c r="J40" s="561"/>
      <c r="K40" s="561"/>
      <c r="L40" s="561"/>
      <c r="M40" s="561"/>
      <c r="N40" s="561"/>
      <c r="O40" s="561"/>
      <c r="P40" s="561"/>
      <c r="Q40" s="561"/>
      <c r="R40" s="561"/>
    </row>
    <row r="41">
      <c r="A41" s="551"/>
      <c r="B41" s="573" t="s">
        <v>268</v>
      </c>
      <c r="C41" s="585">
        <v>42478.0</v>
      </c>
      <c r="D41" s="573" t="s">
        <v>573</v>
      </c>
      <c r="E41" s="573" t="s">
        <v>574</v>
      </c>
      <c r="F41" s="573" t="s">
        <v>556</v>
      </c>
      <c r="G41" s="573">
        <v>30.0</v>
      </c>
      <c r="H41" s="573" t="s">
        <v>508</v>
      </c>
      <c r="I41" s="573" t="s">
        <v>508</v>
      </c>
      <c r="J41" s="561"/>
      <c r="K41" s="561"/>
      <c r="L41" s="561"/>
      <c r="M41" s="561"/>
      <c r="N41" s="561"/>
      <c r="O41" s="561"/>
      <c r="P41" s="561"/>
      <c r="Q41" s="561"/>
      <c r="R41" s="561"/>
    </row>
    <row r="42">
      <c r="A42" s="551"/>
      <c r="B42" s="573" t="s">
        <v>575</v>
      </c>
      <c r="C42" s="585">
        <v>42482.0</v>
      </c>
      <c r="D42" s="573" t="s">
        <v>573</v>
      </c>
      <c r="E42" s="573" t="s">
        <v>576</v>
      </c>
      <c r="F42" s="573" t="s">
        <v>556</v>
      </c>
      <c r="G42" s="573">
        <v>50.0</v>
      </c>
      <c r="H42" s="573" t="s">
        <v>508</v>
      </c>
      <c r="I42" s="573" t="s">
        <v>508</v>
      </c>
      <c r="J42" s="561"/>
      <c r="K42" s="561"/>
      <c r="L42" s="561"/>
      <c r="M42" s="561"/>
      <c r="N42" s="561"/>
      <c r="O42" s="561"/>
      <c r="P42" s="561"/>
      <c r="Q42" s="561"/>
      <c r="R42" s="561"/>
    </row>
    <row r="43">
      <c r="A43" s="551"/>
      <c r="B43" s="586" t="s">
        <v>560</v>
      </c>
      <c r="C43" s="587">
        <v>42509.0</v>
      </c>
      <c r="D43" s="588" t="s">
        <v>577</v>
      </c>
      <c r="E43" s="589" t="s">
        <v>578</v>
      </c>
      <c r="F43" s="588" t="s">
        <v>556</v>
      </c>
      <c r="G43" s="588">
        <v>30.0</v>
      </c>
      <c r="H43" s="588" t="s">
        <v>525</v>
      </c>
      <c r="I43" s="588" t="s">
        <v>579</v>
      </c>
      <c r="J43" s="561"/>
      <c r="K43" s="561"/>
      <c r="L43" s="561"/>
      <c r="M43" s="561"/>
      <c r="N43" s="561"/>
      <c r="O43" s="561"/>
      <c r="P43" s="561"/>
      <c r="Q43" s="561"/>
      <c r="R43" s="561"/>
    </row>
    <row r="44">
      <c r="A44" s="551"/>
      <c r="B44" s="590" t="s">
        <v>268</v>
      </c>
      <c r="C44" s="591">
        <v>42539.0</v>
      </c>
      <c r="D44" s="592">
        <v>6.29774261E8</v>
      </c>
      <c r="E44" s="593" t="s">
        <v>580</v>
      </c>
      <c r="F44" s="577" t="s">
        <v>581</v>
      </c>
      <c r="G44" s="577">
        <v>50.0</v>
      </c>
      <c r="H44" s="577" t="s">
        <v>525</v>
      </c>
      <c r="I44" s="569"/>
      <c r="J44" s="561"/>
      <c r="K44" s="561"/>
      <c r="L44" s="561"/>
      <c r="M44" s="561"/>
      <c r="N44" s="561"/>
      <c r="O44" s="561"/>
      <c r="P44" s="561"/>
      <c r="Q44" s="561"/>
      <c r="R44" s="561"/>
    </row>
    <row r="45">
      <c r="A45" s="551"/>
      <c r="B45" s="590" t="s">
        <v>582</v>
      </c>
      <c r="C45" s="591">
        <v>42549.0</v>
      </c>
      <c r="D45" s="592">
        <v>6.1816592E8</v>
      </c>
      <c r="E45" s="593" t="s">
        <v>583</v>
      </c>
      <c r="F45" s="577" t="s">
        <v>584</v>
      </c>
      <c r="G45" s="577">
        <v>50.0</v>
      </c>
      <c r="H45" s="577" t="s">
        <v>525</v>
      </c>
      <c r="I45" s="569"/>
      <c r="J45" s="561"/>
      <c r="K45" s="561"/>
      <c r="L45" s="561"/>
      <c r="M45" s="561"/>
      <c r="N45" s="561"/>
      <c r="O45" s="561"/>
      <c r="P45" s="561"/>
      <c r="Q45" s="561"/>
      <c r="R45" s="561"/>
    </row>
    <row r="46">
      <c r="A46" s="551"/>
      <c r="B46" s="590" t="s">
        <v>585</v>
      </c>
      <c r="C46" s="591">
        <v>42541.0</v>
      </c>
      <c r="D46" s="592">
        <v>6.08207658E8</v>
      </c>
      <c r="E46" s="593" t="s">
        <v>586</v>
      </c>
      <c r="F46" s="577" t="s">
        <v>587</v>
      </c>
      <c r="G46" s="577">
        <v>30.0</v>
      </c>
      <c r="H46" s="577" t="s">
        <v>525</v>
      </c>
      <c r="I46" s="569"/>
      <c r="J46" s="561"/>
      <c r="K46" s="561"/>
      <c r="L46" s="561"/>
      <c r="M46" s="561"/>
      <c r="N46" s="561"/>
      <c r="O46" s="561"/>
      <c r="P46" s="561"/>
      <c r="Q46" s="561"/>
      <c r="R46" s="561"/>
    </row>
    <row r="47">
      <c r="A47" s="551"/>
      <c r="B47" s="590" t="s">
        <v>585</v>
      </c>
      <c r="C47" s="591">
        <v>42531.0</v>
      </c>
      <c r="D47" s="592">
        <v>6.4669504E8</v>
      </c>
      <c r="E47" s="593" t="s">
        <v>588</v>
      </c>
      <c r="F47" s="577" t="s">
        <v>587</v>
      </c>
      <c r="G47" s="577">
        <v>30.0</v>
      </c>
      <c r="H47" s="577" t="s">
        <v>525</v>
      </c>
      <c r="I47" s="569"/>
      <c r="J47" s="561"/>
      <c r="K47" s="561"/>
      <c r="L47" s="561"/>
      <c r="M47" s="561"/>
      <c r="N47" s="561"/>
      <c r="O47" s="561"/>
      <c r="P47" s="561"/>
      <c r="Q47" s="561"/>
      <c r="R47" s="561"/>
    </row>
    <row r="48">
      <c r="A48" s="551"/>
      <c r="B48" s="590" t="s">
        <v>582</v>
      </c>
      <c r="C48" s="591">
        <v>42528.0</v>
      </c>
      <c r="D48" s="592">
        <v>6.20013874E8</v>
      </c>
      <c r="E48" s="593" t="s">
        <v>589</v>
      </c>
      <c r="F48" s="577" t="s">
        <v>590</v>
      </c>
      <c r="G48" s="577">
        <v>50.0</v>
      </c>
      <c r="H48" s="577" t="s">
        <v>525</v>
      </c>
      <c r="I48" s="569"/>
      <c r="J48" s="561"/>
      <c r="K48" s="561"/>
      <c r="L48" s="561"/>
      <c r="M48" s="561"/>
      <c r="N48" s="561"/>
      <c r="O48" s="561"/>
      <c r="P48" s="561"/>
      <c r="Q48" s="561"/>
      <c r="R48" s="561"/>
    </row>
    <row r="49">
      <c r="A49" s="551"/>
      <c r="B49" s="590" t="s">
        <v>582</v>
      </c>
      <c r="C49" s="591">
        <v>42544.0</v>
      </c>
      <c r="D49" s="592">
        <v>6.46252377E8</v>
      </c>
      <c r="E49" s="593" t="s">
        <v>591</v>
      </c>
      <c r="F49" s="577" t="s">
        <v>590</v>
      </c>
      <c r="G49" s="577">
        <v>50.0</v>
      </c>
      <c r="H49" s="577" t="s">
        <v>525</v>
      </c>
      <c r="I49" s="569"/>
      <c r="J49" s="561"/>
      <c r="K49" s="561"/>
      <c r="L49" s="561"/>
      <c r="M49" s="561"/>
      <c r="N49" s="561"/>
      <c r="O49" s="561"/>
      <c r="P49" s="561"/>
      <c r="Q49" s="561"/>
      <c r="R49" s="561"/>
    </row>
    <row r="50">
      <c r="A50" s="551"/>
      <c r="B50" s="594" t="s">
        <v>526</v>
      </c>
      <c r="C50" s="595" t="s">
        <v>102</v>
      </c>
      <c r="D50" s="596" t="s">
        <v>592</v>
      </c>
      <c r="E50" s="595" t="s">
        <v>593</v>
      </c>
      <c r="F50" s="595" t="s">
        <v>594</v>
      </c>
      <c r="G50" s="575">
        <v>200.0</v>
      </c>
      <c r="H50" s="595" t="s">
        <v>595</v>
      </c>
      <c r="I50" s="595"/>
      <c r="J50" s="561"/>
      <c r="K50" s="561"/>
      <c r="L50" s="561"/>
      <c r="M50" s="561"/>
      <c r="N50" s="561"/>
      <c r="O50" s="561"/>
      <c r="P50" s="561"/>
      <c r="Q50" s="561"/>
      <c r="R50" s="561"/>
    </row>
    <row r="51">
      <c r="A51" s="551"/>
      <c r="B51" s="590" t="s">
        <v>596</v>
      </c>
      <c r="C51" s="591">
        <v>42522.0</v>
      </c>
      <c r="D51" s="592">
        <v>6.06230569E8</v>
      </c>
      <c r="E51" s="593" t="s">
        <v>597</v>
      </c>
      <c r="F51" s="577" t="s">
        <v>598</v>
      </c>
      <c r="G51" s="577">
        <v>50.0</v>
      </c>
      <c r="H51" s="577" t="s">
        <v>599</v>
      </c>
      <c r="I51" s="569"/>
      <c r="J51" s="561"/>
      <c r="K51" s="561"/>
      <c r="L51" s="561"/>
      <c r="M51" s="561"/>
      <c r="N51" s="561"/>
      <c r="O51" s="561"/>
      <c r="P51" s="561"/>
      <c r="Q51" s="561"/>
      <c r="R51" s="561"/>
    </row>
    <row r="52">
      <c r="A52" s="551"/>
      <c r="B52" s="594" t="s">
        <v>163</v>
      </c>
      <c r="C52" s="595" t="s">
        <v>102</v>
      </c>
      <c r="D52" s="596" t="s">
        <v>600</v>
      </c>
      <c r="E52" s="595"/>
      <c r="F52" s="595"/>
      <c r="G52" s="575">
        <v>256.5</v>
      </c>
      <c r="H52" s="597" t="s">
        <v>601</v>
      </c>
      <c r="I52" s="597" t="s">
        <v>525</v>
      </c>
      <c r="J52" s="561"/>
      <c r="K52" s="561"/>
      <c r="L52" s="561"/>
      <c r="M52" s="561"/>
      <c r="N52" s="561"/>
      <c r="O52" s="561"/>
      <c r="P52" s="561"/>
      <c r="Q52" s="561"/>
      <c r="R52" s="561"/>
    </row>
    <row r="53">
      <c r="A53" s="551"/>
      <c r="B53" s="594" t="s">
        <v>526</v>
      </c>
      <c r="C53" s="595" t="s">
        <v>102</v>
      </c>
      <c r="D53" s="596" t="s">
        <v>602</v>
      </c>
      <c r="E53" s="595" t="s">
        <v>603</v>
      </c>
      <c r="F53" s="595" t="s">
        <v>604</v>
      </c>
      <c r="G53" s="575">
        <v>50.0</v>
      </c>
      <c r="H53" s="595" t="s">
        <v>601</v>
      </c>
      <c r="I53" s="595" t="s">
        <v>525</v>
      </c>
      <c r="J53" s="561"/>
      <c r="K53" s="561"/>
      <c r="L53" s="561"/>
      <c r="M53" s="561"/>
      <c r="N53" s="561"/>
      <c r="O53" s="561"/>
      <c r="P53" s="561"/>
      <c r="Q53" s="561"/>
      <c r="R53" s="561"/>
    </row>
    <row r="54">
      <c r="A54" s="551"/>
      <c r="B54" s="594" t="s">
        <v>161</v>
      </c>
      <c r="C54" s="595" t="s">
        <v>104</v>
      </c>
      <c r="D54" s="596" t="s">
        <v>605</v>
      </c>
      <c r="E54" s="595"/>
      <c r="F54" s="595"/>
      <c r="G54" s="575">
        <v>252.0</v>
      </c>
      <c r="H54" s="595" t="s">
        <v>606</v>
      </c>
      <c r="I54" s="597" t="s">
        <v>525</v>
      </c>
      <c r="J54" s="561"/>
      <c r="K54" s="561"/>
      <c r="L54" s="561"/>
      <c r="M54" s="561"/>
      <c r="N54" s="561"/>
      <c r="O54" s="561"/>
      <c r="P54" s="561"/>
      <c r="Q54" s="561"/>
      <c r="R54" s="561"/>
    </row>
    <row r="55">
      <c r="A55" s="551"/>
      <c r="B55" s="565" t="s">
        <v>500</v>
      </c>
      <c r="C55" s="566" t="s">
        <v>102</v>
      </c>
      <c r="D55" s="567" t="s">
        <v>607</v>
      </c>
      <c r="E55" s="598" t="s">
        <v>608</v>
      </c>
      <c r="F55" s="567" t="s">
        <v>609</v>
      </c>
      <c r="G55" s="568">
        <v>50.0</v>
      </c>
      <c r="H55" s="570" t="s">
        <v>606</v>
      </c>
      <c r="I55" s="569"/>
      <c r="J55" s="561"/>
      <c r="K55" s="561"/>
      <c r="L55" s="561"/>
      <c r="M55" s="561"/>
      <c r="N55" s="561"/>
      <c r="O55" s="561"/>
      <c r="P55" s="561"/>
      <c r="Q55" s="561"/>
      <c r="R55" s="561"/>
    </row>
    <row r="56">
      <c r="A56" s="551"/>
      <c r="B56" s="599" t="s">
        <v>610</v>
      </c>
      <c r="C56" s="597" t="s">
        <v>101</v>
      </c>
      <c r="D56" s="600" t="s">
        <v>527</v>
      </c>
      <c r="E56" s="572" t="s">
        <v>611</v>
      </c>
      <c r="F56" s="597" t="s">
        <v>612</v>
      </c>
      <c r="G56" s="601">
        <v>50.0</v>
      </c>
      <c r="H56" s="597" t="s">
        <v>606</v>
      </c>
      <c r="I56" s="574" t="s">
        <v>508</v>
      </c>
      <c r="J56" s="561"/>
      <c r="K56" s="561"/>
      <c r="L56" s="561"/>
      <c r="M56" s="561"/>
      <c r="N56" s="561"/>
      <c r="O56" s="561"/>
      <c r="P56" s="561"/>
      <c r="Q56" s="561"/>
      <c r="R56" s="561"/>
    </row>
    <row r="57">
      <c r="A57" s="551"/>
      <c r="B57" s="571" t="s">
        <v>526</v>
      </c>
      <c r="C57" s="572" t="s">
        <v>102</v>
      </c>
      <c r="D57" s="573" t="s">
        <v>613</v>
      </c>
      <c r="E57" s="572" t="s">
        <v>603</v>
      </c>
      <c r="F57" s="572" t="s">
        <v>604</v>
      </c>
      <c r="G57" s="574">
        <v>200.0</v>
      </c>
      <c r="H57" s="572" t="s">
        <v>606</v>
      </c>
      <c r="I57" s="574" t="s">
        <v>508</v>
      </c>
      <c r="J57" s="561"/>
      <c r="K57" s="561"/>
      <c r="L57" s="561"/>
      <c r="M57" s="561"/>
      <c r="N57" s="561"/>
      <c r="O57" s="561"/>
      <c r="P57" s="561"/>
      <c r="Q57" s="561"/>
      <c r="R57" s="561"/>
    </row>
    <row r="58">
      <c r="A58" s="551"/>
      <c r="B58" s="571" t="s">
        <v>526</v>
      </c>
      <c r="C58" s="572" t="s">
        <v>101</v>
      </c>
      <c r="D58" s="573" t="s">
        <v>614</v>
      </c>
      <c r="E58" s="572" t="s">
        <v>615</v>
      </c>
      <c r="F58" s="572" t="s">
        <v>616</v>
      </c>
      <c r="G58" s="574">
        <v>50.0</v>
      </c>
      <c r="H58" s="572" t="s">
        <v>606</v>
      </c>
      <c r="I58" s="574" t="s">
        <v>508</v>
      </c>
      <c r="J58" s="561"/>
      <c r="K58" s="561"/>
      <c r="L58" s="561"/>
      <c r="M58" s="561"/>
      <c r="N58" s="561"/>
      <c r="O58" s="561"/>
      <c r="P58" s="561"/>
      <c r="Q58" s="561"/>
      <c r="R58" s="561"/>
    </row>
    <row r="59">
      <c r="A59" s="551"/>
      <c r="B59" s="571" t="s">
        <v>526</v>
      </c>
      <c r="C59" s="572" t="s">
        <v>103</v>
      </c>
      <c r="D59" s="573" t="s">
        <v>617</v>
      </c>
      <c r="E59" s="572" t="s">
        <v>618</v>
      </c>
      <c r="F59" s="572" t="s">
        <v>619</v>
      </c>
      <c r="G59" s="574">
        <v>200.0</v>
      </c>
      <c r="H59" s="572" t="s">
        <v>606</v>
      </c>
      <c r="I59" s="574" t="s">
        <v>508</v>
      </c>
      <c r="J59" s="561"/>
      <c r="K59" s="561"/>
      <c r="L59" s="561"/>
      <c r="M59" s="561"/>
      <c r="N59" s="561"/>
      <c r="O59" s="561"/>
      <c r="P59" s="561"/>
      <c r="Q59" s="561"/>
      <c r="R59" s="561"/>
    </row>
    <row r="60">
      <c r="A60" s="551"/>
      <c r="B60" s="571" t="s">
        <v>526</v>
      </c>
      <c r="C60" s="574" t="s">
        <v>103</v>
      </c>
      <c r="D60" s="573" t="s">
        <v>551</v>
      </c>
      <c r="E60" s="572" t="s">
        <v>620</v>
      </c>
      <c r="F60" s="574" t="s">
        <v>621</v>
      </c>
      <c r="G60" s="574">
        <v>50.0</v>
      </c>
      <c r="H60" s="572" t="s">
        <v>601</v>
      </c>
      <c r="I60" s="574" t="s">
        <v>508</v>
      </c>
      <c r="J60" s="561"/>
      <c r="K60" s="561"/>
      <c r="L60" s="561"/>
      <c r="M60" s="561"/>
      <c r="N60" s="561"/>
      <c r="O60" s="561"/>
      <c r="P60" s="561"/>
      <c r="Q60" s="561"/>
      <c r="R60" s="561"/>
    </row>
    <row r="61">
      <c r="A61" s="551"/>
      <c r="B61" s="571" t="s">
        <v>610</v>
      </c>
      <c r="C61" s="574" t="s">
        <v>105</v>
      </c>
      <c r="D61" s="573" t="s">
        <v>622</v>
      </c>
      <c r="E61" s="572" t="s">
        <v>623</v>
      </c>
      <c r="F61" s="574" t="s">
        <v>624</v>
      </c>
      <c r="G61" s="574">
        <v>50.0</v>
      </c>
      <c r="H61" s="574" t="s">
        <v>625</v>
      </c>
      <c r="I61" s="575"/>
      <c r="J61" s="561"/>
      <c r="K61" s="561"/>
      <c r="L61" s="561"/>
      <c r="M61" s="561"/>
      <c r="N61" s="561"/>
      <c r="O61" s="561"/>
      <c r="P61" s="561"/>
      <c r="Q61" s="561"/>
      <c r="R61" s="561"/>
    </row>
    <row r="62">
      <c r="A62" s="551"/>
      <c r="B62" s="571" t="s">
        <v>560</v>
      </c>
      <c r="C62" s="574" t="s">
        <v>626</v>
      </c>
      <c r="D62" s="573" t="s">
        <v>627</v>
      </c>
      <c r="E62" s="574" t="s">
        <v>628</v>
      </c>
      <c r="F62" s="575"/>
      <c r="G62" s="574">
        <v>50.0</v>
      </c>
      <c r="H62" s="574" t="s">
        <v>625</v>
      </c>
      <c r="I62" s="574" t="s">
        <v>508</v>
      </c>
      <c r="J62" s="561"/>
      <c r="K62" s="561"/>
      <c r="L62" s="561"/>
      <c r="M62" s="561"/>
      <c r="N62" s="561"/>
      <c r="O62" s="561"/>
      <c r="P62" s="561"/>
      <c r="Q62" s="561"/>
      <c r="R62" s="561"/>
    </row>
    <row r="63">
      <c r="A63" s="551"/>
      <c r="B63" s="571" t="s">
        <v>560</v>
      </c>
      <c r="C63" s="574" t="s">
        <v>626</v>
      </c>
      <c r="D63" s="573" t="s">
        <v>627</v>
      </c>
      <c r="E63" s="574" t="s">
        <v>628</v>
      </c>
      <c r="F63" s="575"/>
      <c r="G63" s="574">
        <v>50.0</v>
      </c>
      <c r="H63" s="574" t="s">
        <v>625</v>
      </c>
      <c r="I63" s="574" t="s">
        <v>508</v>
      </c>
      <c r="J63" s="561"/>
      <c r="K63" s="561"/>
      <c r="L63" s="561"/>
      <c r="M63" s="561"/>
      <c r="N63" s="561"/>
      <c r="O63" s="561"/>
      <c r="P63" s="561"/>
      <c r="Q63" s="561"/>
      <c r="R63" s="561"/>
    </row>
    <row r="64">
      <c r="A64" s="551"/>
      <c r="B64" s="571" t="s">
        <v>629</v>
      </c>
      <c r="C64" s="574" t="s">
        <v>107</v>
      </c>
      <c r="D64" s="573" t="s">
        <v>513</v>
      </c>
      <c r="E64" s="574" t="s">
        <v>630</v>
      </c>
      <c r="F64" s="575"/>
      <c r="G64" s="574">
        <v>50.0</v>
      </c>
      <c r="H64" s="574" t="s">
        <v>601</v>
      </c>
      <c r="I64" s="574" t="s">
        <v>525</v>
      </c>
      <c r="J64" s="561"/>
      <c r="K64" s="561"/>
      <c r="L64" s="561"/>
      <c r="M64" s="561"/>
      <c r="N64" s="561"/>
      <c r="O64" s="561"/>
      <c r="P64" s="561"/>
      <c r="Q64" s="561"/>
      <c r="R64" s="561"/>
    </row>
    <row r="65">
      <c r="A65" s="551"/>
      <c r="B65" s="571" t="s">
        <v>526</v>
      </c>
      <c r="C65" s="574" t="s">
        <v>108</v>
      </c>
      <c r="D65" s="573" t="s">
        <v>631</v>
      </c>
      <c r="E65" s="574" t="s">
        <v>632</v>
      </c>
      <c r="F65" s="575"/>
      <c r="G65" s="574">
        <v>200.0</v>
      </c>
      <c r="H65" s="574" t="s">
        <v>625</v>
      </c>
      <c r="I65" s="574" t="s">
        <v>508</v>
      </c>
      <c r="J65" s="561"/>
      <c r="K65" s="561"/>
      <c r="L65" s="561"/>
      <c r="M65" s="561"/>
      <c r="N65" s="561"/>
      <c r="O65" s="561"/>
      <c r="P65" s="561"/>
      <c r="Q65" s="561"/>
      <c r="R65" s="561"/>
    </row>
    <row r="66">
      <c r="A66" s="551"/>
      <c r="B66" s="581" t="s">
        <v>633</v>
      </c>
      <c r="C66" s="582" t="s">
        <v>536</v>
      </c>
      <c r="D66" s="583" t="s">
        <v>631</v>
      </c>
      <c r="E66" s="582" t="s">
        <v>634</v>
      </c>
      <c r="F66" s="582" t="s">
        <v>635</v>
      </c>
      <c r="G66" s="582">
        <v>200.0</v>
      </c>
      <c r="H66" s="582" t="s">
        <v>625</v>
      </c>
      <c r="I66" s="582" t="s">
        <v>525</v>
      </c>
      <c r="J66" s="561"/>
      <c r="K66" s="561"/>
      <c r="L66" s="561"/>
      <c r="M66" s="561"/>
      <c r="N66" s="561"/>
      <c r="O66" s="561"/>
      <c r="P66" s="561"/>
      <c r="Q66" s="561"/>
      <c r="R66" s="561"/>
    </row>
    <row r="67">
      <c r="A67" s="551"/>
      <c r="B67" s="571" t="s">
        <v>636</v>
      </c>
      <c r="C67" s="574" t="s">
        <v>637</v>
      </c>
      <c r="D67" s="573" t="s">
        <v>638</v>
      </c>
      <c r="E67" s="575"/>
      <c r="F67" s="574" t="s">
        <v>639</v>
      </c>
      <c r="G67" s="574">
        <v>138.98</v>
      </c>
      <c r="H67" s="574" t="s">
        <v>625</v>
      </c>
      <c r="I67" s="574" t="s">
        <v>508</v>
      </c>
      <c r="J67" s="561"/>
      <c r="K67" s="561"/>
      <c r="L67" s="561"/>
      <c r="M67" s="561"/>
      <c r="N67" s="561"/>
      <c r="O67" s="561"/>
      <c r="P67" s="561"/>
      <c r="Q67" s="561"/>
      <c r="R67" s="561"/>
    </row>
    <row r="68">
      <c r="A68" s="551"/>
      <c r="B68" s="571" t="s">
        <v>640</v>
      </c>
      <c r="C68" s="574" t="s">
        <v>637</v>
      </c>
      <c r="D68" s="573" t="s">
        <v>638</v>
      </c>
      <c r="E68" s="575"/>
      <c r="F68" s="574" t="s">
        <v>641</v>
      </c>
      <c r="G68" s="574">
        <v>62.06</v>
      </c>
      <c r="H68" s="574" t="s">
        <v>625</v>
      </c>
      <c r="I68" s="574" t="s">
        <v>508</v>
      </c>
      <c r="J68" s="561"/>
      <c r="K68" s="561"/>
      <c r="L68" s="561"/>
      <c r="M68" s="561"/>
      <c r="N68" s="561"/>
      <c r="O68" s="561"/>
      <c r="P68" s="561"/>
      <c r="Q68" s="561"/>
      <c r="R68" s="561"/>
    </row>
    <row r="69">
      <c r="A69" s="551"/>
      <c r="B69" s="581" t="s">
        <v>535</v>
      </c>
      <c r="C69" s="582" t="s">
        <v>536</v>
      </c>
      <c r="D69" s="583" t="s">
        <v>543</v>
      </c>
      <c r="E69" s="583" t="s">
        <v>642</v>
      </c>
      <c r="F69" s="582" t="s">
        <v>643</v>
      </c>
      <c r="G69" s="582">
        <v>50.0</v>
      </c>
      <c r="H69" s="582" t="s">
        <v>625</v>
      </c>
      <c r="I69" s="584"/>
      <c r="J69" s="561"/>
      <c r="K69" s="561"/>
      <c r="L69" s="561"/>
      <c r="M69" s="561"/>
      <c r="N69" s="561"/>
      <c r="O69" s="561"/>
      <c r="P69" s="561"/>
      <c r="Q69" s="561"/>
      <c r="R69" s="561"/>
    </row>
    <row r="70">
      <c r="A70" s="551"/>
      <c r="B70" s="576" t="s">
        <v>644</v>
      </c>
      <c r="C70" s="577" t="s">
        <v>318</v>
      </c>
      <c r="D70" s="593" t="s">
        <v>645</v>
      </c>
      <c r="E70" s="593" t="s">
        <v>514</v>
      </c>
      <c r="F70" s="577" t="s">
        <v>646</v>
      </c>
      <c r="G70" s="577">
        <v>100.0</v>
      </c>
      <c r="H70" s="577" t="s">
        <v>625</v>
      </c>
      <c r="I70" s="569"/>
      <c r="J70" s="561"/>
      <c r="K70" s="561"/>
      <c r="L70" s="561"/>
      <c r="M70" s="561"/>
      <c r="N70" s="561"/>
      <c r="O70" s="561"/>
      <c r="P70" s="561"/>
      <c r="Q70" s="561"/>
      <c r="R70" s="561"/>
    </row>
    <row r="71">
      <c r="A71" s="551"/>
      <c r="B71" s="586" t="s">
        <v>647</v>
      </c>
      <c r="C71" s="587">
        <v>42506.0</v>
      </c>
      <c r="D71" s="588" t="s">
        <v>648</v>
      </c>
      <c r="E71" s="589" t="s">
        <v>649</v>
      </c>
      <c r="F71" s="588" t="s">
        <v>556</v>
      </c>
      <c r="G71" s="588">
        <v>50.0</v>
      </c>
      <c r="H71" s="588" t="s">
        <v>601</v>
      </c>
      <c r="I71" s="588" t="s">
        <v>508</v>
      </c>
      <c r="J71" s="561"/>
      <c r="K71" s="561"/>
      <c r="L71" s="561"/>
      <c r="M71" s="561"/>
      <c r="N71" s="561"/>
      <c r="O71" s="561"/>
      <c r="P71" s="561"/>
      <c r="Q71" s="561"/>
      <c r="R71" s="561"/>
    </row>
    <row r="72">
      <c r="A72" s="551"/>
      <c r="B72" s="590" t="s">
        <v>647</v>
      </c>
      <c r="C72" s="591">
        <v>42522.0</v>
      </c>
      <c r="D72" s="592">
        <v>6.06108174E8</v>
      </c>
      <c r="E72" s="593" t="s">
        <v>650</v>
      </c>
      <c r="F72" s="577" t="s">
        <v>651</v>
      </c>
      <c r="G72" s="577">
        <v>50.0</v>
      </c>
      <c r="H72" s="577" t="s">
        <v>601</v>
      </c>
      <c r="I72" s="569"/>
      <c r="J72" s="561"/>
      <c r="K72" s="561"/>
      <c r="L72" s="561"/>
      <c r="M72" s="561"/>
      <c r="N72" s="561"/>
      <c r="O72" s="561"/>
      <c r="P72" s="561"/>
      <c r="Q72" s="561"/>
      <c r="R72" s="561"/>
    </row>
    <row r="73">
      <c r="A73" s="551"/>
      <c r="B73" s="576" t="s">
        <v>509</v>
      </c>
      <c r="C73" s="577" t="s">
        <v>104</v>
      </c>
      <c r="D73" s="578" t="s">
        <v>516</v>
      </c>
      <c r="E73" s="579" t="s">
        <v>652</v>
      </c>
      <c r="F73" s="577" t="s">
        <v>653</v>
      </c>
      <c r="G73" s="577">
        <v>50.0</v>
      </c>
      <c r="H73" s="577" t="s">
        <v>601</v>
      </c>
      <c r="I73" s="577" t="s">
        <v>601</v>
      </c>
      <c r="J73" s="561"/>
      <c r="K73" s="561"/>
      <c r="L73" s="561"/>
      <c r="M73" s="561"/>
      <c r="N73" s="561"/>
      <c r="O73" s="561"/>
      <c r="P73" s="561"/>
      <c r="Q73" s="561"/>
      <c r="R73" s="561"/>
    </row>
    <row r="74">
      <c r="A74" s="551"/>
      <c r="B74" s="590" t="s">
        <v>644</v>
      </c>
      <c r="C74" s="591">
        <v>42541.0</v>
      </c>
      <c r="D74" s="593" t="s">
        <v>516</v>
      </c>
      <c r="E74" s="593" t="s">
        <v>654</v>
      </c>
      <c r="F74" s="577" t="s">
        <v>655</v>
      </c>
      <c r="G74" s="577">
        <v>50.0</v>
      </c>
      <c r="H74" s="577" t="s">
        <v>525</v>
      </c>
      <c r="I74" s="569"/>
      <c r="J74" s="561"/>
      <c r="K74" s="561"/>
      <c r="L74" s="561"/>
      <c r="M74" s="561"/>
      <c r="N74" s="561"/>
      <c r="O74" s="561"/>
      <c r="P74" s="561"/>
      <c r="Q74" s="561"/>
      <c r="R74" s="561"/>
    </row>
    <row r="75">
      <c r="A75" s="551"/>
      <c r="B75" s="590" t="s">
        <v>644</v>
      </c>
      <c r="C75" s="591">
        <v>42543.0</v>
      </c>
      <c r="D75" s="593" t="s">
        <v>516</v>
      </c>
      <c r="E75" s="593" t="s">
        <v>656</v>
      </c>
      <c r="F75" s="577" t="s">
        <v>657</v>
      </c>
      <c r="G75" s="577">
        <v>50.0</v>
      </c>
      <c r="H75" s="577" t="s">
        <v>525</v>
      </c>
      <c r="I75" s="569"/>
      <c r="J75" s="561"/>
      <c r="K75" s="561"/>
      <c r="L75" s="561"/>
      <c r="M75" s="561"/>
      <c r="N75" s="561"/>
      <c r="O75" s="561"/>
      <c r="P75" s="561"/>
      <c r="Q75" s="561"/>
      <c r="R75" s="561"/>
    </row>
    <row r="76">
      <c r="A76" s="551"/>
      <c r="B76" s="590" t="s">
        <v>644</v>
      </c>
      <c r="C76" s="591">
        <v>42543.0</v>
      </c>
      <c r="D76" s="593" t="s">
        <v>516</v>
      </c>
      <c r="E76" s="593" t="s">
        <v>656</v>
      </c>
      <c r="F76" s="577" t="s">
        <v>657</v>
      </c>
      <c r="G76" s="577">
        <v>50.0</v>
      </c>
      <c r="H76" s="577" t="s">
        <v>525</v>
      </c>
      <c r="I76" s="569"/>
      <c r="J76" s="561"/>
      <c r="K76" s="561"/>
      <c r="L76" s="561"/>
      <c r="M76" s="561"/>
      <c r="N76" s="561"/>
      <c r="O76" s="561"/>
      <c r="P76" s="561"/>
      <c r="Q76" s="561"/>
      <c r="R76" s="561"/>
    </row>
    <row r="77">
      <c r="A77" s="551"/>
      <c r="B77" s="590" t="s">
        <v>268</v>
      </c>
      <c r="C77" s="591">
        <v>42594.0</v>
      </c>
      <c r="D77" s="593" t="s">
        <v>551</v>
      </c>
      <c r="E77" s="593" t="s">
        <v>658</v>
      </c>
      <c r="F77" s="577" t="s">
        <v>659</v>
      </c>
      <c r="G77" s="577">
        <v>50.0</v>
      </c>
      <c r="H77" s="577" t="s">
        <v>660</v>
      </c>
      <c r="I77" s="569"/>
      <c r="J77" s="561"/>
      <c r="K77" s="561"/>
      <c r="L77" s="561"/>
      <c r="M77" s="561"/>
      <c r="N77" s="561"/>
      <c r="O77" s="561"/>
      <c r="P77" s="561"/>
      <c r="Q77" s="561"/>
      <c r="R77" s="561"/>
    </row>
    <row r="78">
      <c r="A78" s="551"/>
      <c r="B78" s="590" t="s">
        <v>268</v>
      </c>
      <c r="C78" s="591">
        <v>42594.0</v>
      </c>
      <c r="D78" s="593" t="s">
        <v>551</v>
      </c>
      <c r="E78" s="593" t="s">
        <v>658</v>
      </c>
      <c r="F78" s="577" t="s">
        <v>659</v>
      </c>
      <c r="G78" s="577">
        <v>50.0</v>
      </c>
      <c r="H78" s="577" t="s">
        <v>660</v>
      </c>
      <c r="I78" s="569"/>
      <c r="J78" s="561"/>
      <c r="K78" s="561"/>
      <c r="L78" s="561"/>
      <c r="M78" s="561"/>
      <c r="N78" s="561"/>
      <c r="O78" s="561"/>
      <c r="P78" s="561"/>
      <c r="Q78" s="561"/>
      <c r="R78" s="561"/>
    </row>
    <row r="79">
      <c r="A79" s="551"/>
      <c r="B79" s="590" t="s">
        <v>596</v>
      </c>
      <c r="C79" s="591">
        <v>42522.0</v>
      </c>
      <c r="D79" s="524" t="s">
        <v>661</v>
      </c>
      <c r="E79" s="602" t="s">
        <v>597</v>
      </c>
      <c r="F79" s="603" t="s">
        <v>662</v>
      </c>
      <c r="G79" s="577">
        <v>50.0</v>
      </c>
      <c r="H79" s="602" t="s">
        <v>625</v>
      </c>
      <c r="I79" s="602" t="s">
        <v>508</v>
      </c>
      <c r="J79" s="604"/>
      <c r="K79" s="604"/>
      <c r="L79" s="604"/>
      <c r="M79" s="604"/>
      <c r="N79" s="604"/>
      <c r="O79" s="561"/>
      <c r="P79" s="561"/>
      <c r="Q79" s="561"/>
      <c r="R79" s="561"/>
    </row>
    <row r="80">
      <c r="A80" s="551"/>
      <c r="B80" s="590" t="s">
        <v>268</v>
      </c>
      <c r="C80" s="591">
        <v>42539.0</v>
      </c>
      <c r="D80" s="602" t="s">
        <v>661</v>
      </c>
      <c r="E80" s="602" t="s">
        <v>580</v>
      </c>
      <c r="F80" s="603" t="s">
        <v>663</v>
      </c>
      <c r="G80" s="577">
        <v>50.0</v>
      </c>
      <c r="H80" s="602" t="s">
        <v>508</v>
      </c>
      <c r="I80" s="605"/>
      <c r="J80" s="604"/>
      <c r="K80" s="604"/>
      <c r="L80" s="604"/>
      <c r="M80" s="604"/>
      <c r="N80" s="604"/>
      <c r="O80" s="604"/>
      <c r="P80" s="604"/>
      <c r="Q80" s="604"/>
      <c r="R80" s="604"/>
    </row>
    <row r="81">
      <c r="A81" s="551"/>
      <c r="B81" s="590" t="s">
        <v>582</v>
      </c>
      <c r="C81" s="591">
        <v>42549.0</v>
      </c>
      <c r="D81" s="602" t="s">
        <v>661</v>
      </c>
      <c r="E81" s="602" t="s">
        <v>583</v>
      </c>
      <c r="F81" s="603" t="s">
        <v>664</v>
      </c>
      <c r="G81" s="577">
        <v>50.0</v>
      </c>
      <c r="H81" s="602" t="s">
        <v>508</v>
      </c>
      <c r="I81" s="605"/>
      <c r="J81" s="604"/>
      <c r="K81" s="604"/>
      <c r="L81" s="604"/>
      <c r="M81" s="604"/>
      <c r="N81" s="604"/>
      <c r="O81" s="604"/>
      <c r="P81" s="604"/>
      <c r="Q81" s="604"/>
      <c r="R81" s="604"/>
    </row>
    <row r="82">
      <c r="A82" s="551"/>
      <c r="B82" s="590" t="s">
        <v>665</v>
      </c>
      <c r="C82" s="591">
        <v>42541.0</v>
      </c>
      <c r="D82" s="602" t="s">
        <v>666</v>
      </c>
      <c r="E82" s="602" t="s">
        <v>586</v>
      </c>
      <c r="F82" s="603" t="s">
        <v>667</v>
      </c>
      <c r="G82" s="577">
        <v>30.0</v>
      </c>
      <c r="H82" s="602" t="s">
        <v>508</v>
      </c>
      <c r="I82" s="605"/>
      <c r="J82" s="604"/>
      <c r="K82" s="604"/>
      <c r="L82" s="604"/>
      <c r="M82" s="604"/>
      <c r="N82" s="604"/>
      <c r="O82" s="604"/>
      <c r="P82" s="604"/>
      <c r="Q82" s="604"/>
      <c r="R82" s="604"/>
    </row>
    <row r="83">
      <c r="A83" s="551"/>
      <c r="B83" s="590" t="s">
        <v>647</v>
      </c>
      <c r="C83" s="591">
        <v>42522.0</v>
      </c>
      <c r="D83" s="602" t="s">
        <v>661</v>
      </c>
      <c r="E83" s="602" t="s">
        <v>650</v>
      </c>
      <c r="F83" s="603" t="s">
        <v>668</v>
      </c>
      <c r="G83" s="577">
        <v>50.0</v>
      </c>
      <c r="H83" s="602" t="s">
        <v>508</v>
      </c>
      <c r="I83" s="605"/>
      <c r="J83" s="604"/>
      <c r="K83" s="604"/>
      <c r="L83" s="604"/>
      <c r="M83" s="604"/>
      <c r="N83" s="604"/>
      <c r="O83" s="604"/>
      <c r="P83" s="604"/>
      <c r="Q83" s="604"/>
      <c r="R83" s="604"/>
    </row>
    <row r="84">
      <c r="A84" s="551"/>
      <c r="B84" s="590" t="s">
        <v>665</v>
      </c>
      <c r="C84" s="591">
        <v>42531.0</v>
      </c>
      <c r="D84" s="602" t="s">
        <v>666</v>
      </c>
      <c r="E84" s="602" t="s">
        <v>588</v>
      </c>
      <c r="F84" s="603" t="s">
        <v>669</v>
      </c>
      <c r="G84" s="577">
        <v>30.0</v>
      </c>
      <c r="H84" s="602" t="s">
        <v>508</v>
      </c>
      <c r="I84" s="605"/>
      <c r="J84" s="604"/>
      <c r="K84" s="604"/>
      <c r="L84" s="604"/>
      <c r="M84" s="604"/>
      <c r="N84" s="604"/>
      <c r="O84" s="604"/>
      <c r="P84" s="604"/>
      <c r="Q84" s="604"/>
      <c r="R84" s="604"/>
    </row>
    <row r="85">
      <c r="A85" s="551"/>
      <c r="B85" s="590" t="s">
        <v>582</v>
      </c>
      <c r="C85" s="591">
        <v>42528.0</v>
      </c>
      <c r="D85" s="602" t="s">
        <v>661</v>
      </c>
      <c r="E85" s="602" t="s">
        <v>589</v>
      </c>
      <c r="F85" s="603" t="s">
        <v>670</v>
      </c>
      <c r="G85" s="577">
        <v>50.0</v>
      </c>
      <c r="H85" s="602" t="s">
        <v>508</v>
      </c>
      <c r="I85" s="605"/>
      <c r="J85" s="604"/>
      <c r="K85" s="604"/>
      <c r="L85" s="604"/>
      <c r="M85" s="604"/>
      <c r="N85" s="604"/>
      <c r="O85" s="604"/>
      <c r="P85" s="604"/>
      <c r="Q85" s="604"/>
      <c r="R85" s="604"/>
    </row>
    <row r="86">
      <c r="A86" s="551"/>
      <c r="B86" s="590" t="s">
        <v>582</v>
      </c>
      <c r="C86" s="591">
        <v>42544.0</v>
      </c>
      <c r="D86" s="602" t="s">
        <v>661</v>
      </c>
      <c r="E86" s="602" t="s">
        <v>591</v>
      </c>
      <c r="F86" s="603" t="s">
        <v>671</v>
      </c>
      <c r="G86" s="577">
        <v>50.0</v>
      </c>
      <c r="H86" s="602" t="s">
        <v>508</v>
      </c>
      <c r="I86" s="606"/>
      <c r="J86" s="561"/>
      <c r="K86" s="561"/>
      <c r="L86" s="561"/>
      <c r="M86" s="561"/>
      <c r="N86" s="561"/>
      <c r="O86" s="561"/>
      <c r="P86" s="561"/>
      <c r="Q86" s="561"/>
      <c r="R86" s="561"/>
    </row>
    <row r="87">
      <c r="A87" s="551"/>
      <c r="B87" s="607" t="s">
        <v>672</v>
      </c>
      <c r="C87" s="591">
        <v>42555.0</v>
      </c>
      <c r="D87" s="593" t="s">
        <v>543</v>
      </c>
      <c r="E87" s="593" t="s">
        <v>673</v>
      </c>
      <c r="F87" s="608" t="s">
        <v>674</v>
      </c>
      <c r="G87" s="577">
        <v>50.0</v>
      </c>
      <c r="H87" s="608" t="s">
        <v>508</v>
      </c>
      <c r="I87" s="606"/>
      <c r="J87" s="561"/>
      <c r="K87" s="561"/>
      <c r="L87" s="561"/>
      <c r="M87" s="561"/>
      <c r="N87" s="561"/>
      <c r="O87" s="561"/>
      <c r="P87" s="561"/>
      <c r="Q87" s="561"/>
      <c r="R87" s="561"/>
    </row>
    <row r="88">
      <c r="A88" s="551"/>
      <c r="B88" s="609" t="s">
        <v>538</v>
      </c>
      <c r="C88" s="591">
        <v>42579.0</v>
      </c>
      <c r="D88" s="593" t="s">
        <v>539</v>
      </c>
      <c r="E88" s="593" t="s">
        <v>675</v>
      </c>
      <c r="F88" s="606"/>
      <c r="G88" s="577">
        <v>50.0</v>
      </c>
      <c r="H88" s="608" t="s">
        <v>508</v>
      </c>
      <c r="I88" s="606"/>
      <c r="J88" s="561"/>
      <c r="K88" s="561"/>
      <c r="L88" s="561"/>
      <c r="M88" s="561"/>
      <c r="N88" s="561"/>
      <c r="O88" s="561"/>
      <c r="P88" s="561"/>
      <c r="Q88" s="561"/>
      <c r="R88" s="561"/>
    </row>
    <row r="89">
      <c r="A89" s="551"/>
      <c r="B89" s="609" t="s">
        <v>538</v>
      </c>
      <c r="C89" s="591">
        <v>42579.0</v>
      </c>
      <c r="D89" s="593" t="s">
        <v>539</v>
      </c>
      <c r="E89" s="593" t="s">
        <v>675</v>
      </c>
      <c r="F89" s="606"/>
      <c r="G89" s="577">
        <v>50.0</v>
      </c>
      <c r="H89" s="608" t="s">
        <v>508</v>
      </c>
      <c r="I89" s="606"/>
      <c r="J89" s="561"/>
      <c r="K89" s="561"/>
      <c r="L89" s="561"/>
      <c r="M89" s="561"/>
      <c r="N89" s="561"/>
      <c r="O89" s="561"/>
      <c r="P89" s="561"/>
      <c r="Q89" s="561"/>
      <c r="R89" s="561"/>
    </row>
    <row r="90">
      <c r="A90" s="551"/>
      <c r="B90" s="610" t="s">
        <v>268</v>
      </c>
      <c r="C90" s="591">
        <v>42578.0</v>
      </c>
      <c r="D90" s="593" t="s">
        <v>546</v>
      </c>
      <c r="E90" s="593" t="s">
        <v>676</v>
      </c>
      <c r="F90" s="608" t="s">
        <v>677</v>
      </c>
      <c r="G90" s="577">
        <v>50.0</v>
      </c>
      <c r="H90" s="577" t="s">
        <v>660</v>
      </c>
      <c r="I90" s="606"/>
      <c r="J90" s="561"/>
      <c r="K90" s="561"/>
      <c r="L90" s="561"/>
      <c r="M90" s="561"/>
      <c r="N90" s="561"/>
      <c r="O90" s="561"/>
      <c r="P90" s="561"/>
      <c r="Q90" s="561"/>
      <c r="R90" s="561"/>
    </row>
    <row r="91">
      <c r="A91" s="551"/>
      <c r="B91" s="610" t="s">
        <v>268</v>
      </c>
      <c r="C91" s="591">
        <v>42571.0</v>
      </c>
      <c r="D91" s="593" t="s">
        <v>543</v>
      </c>
      <c r="E91" s="593" t="s">
        <v>678</v>
      </c>
      <c r="F91" s="608" t="s">
        <v>679</v>
      </c>
      <c r="G91" s="577">
        <v>50.0</v>
      </c>
      <c r="H91" s="577" t="s">
        <v>660</v>
      </c>
      <c r="I91" s="606"/>
      <c r="J91" s="561"/>
      <c r="K91" s="561"/>
      <c r="L91" s="561"/>
      <c r="M91" s="561"/>
      <c r="N91" s="561"/>
      <c r="O91" s="561"/>
      <c r="P91" s="561"/>
      <c r="Q91" s="561"/>
      <c r="R91" s="561"/>
    </row>
    <row r="92">
      <c r="A92" s="551"/>
      <c r="B92" s="610" t="s">
        <v>268</v>
      </c>
      <c r="C92" s="591">
        <v>42573.0</v>
      </c>
      <c r="D92" s="593" t="s">
        <v>543</v>
      </c>
      <c r="E92" s="593" t="s">
        <v>680</v>
      </c>
      <c r="F92" s="606"/>
      <c r="G92" s="577">
        <v>50.0</v>
      </c>
      <c r="H92" s="606"/>
      <c r="I92" s="606"/>
      <c r="J92" s="561"/>
      <c r="K92" s="561"/>
      <c r="L92" s="561"/>
      <c r="M92" s="561"/>
      <c r="N92" s="561"/>
      <c r="O92" s="561"/>
      <c r="P92" s="561"/>
      <c r="Q92" s="561"/>
      <c r="R92" s="561"/>
    </row>
    <row r="93">
      <c r="A93" s="551"/>
      <c r="B93" s="610" t="s">
        <v>268</v>
      </c>
      <c r="C93" s="591">
        <v>42559.0</v>
      </c>
      <c r="D93" s="593" t="s">
        <v>551</v>
      </c>
      <c r="E93" s="593" t="s">
        <v>681</v>
      </c>
      <c r="F93" s="577" t="s">
        <v>682</v>
      </c>
      <c r="G93" s="577">
        <v>50.0</v>
      </c>
      <c r="H93" s="577" t="s">
        <v>660</v>
      </c>
      <c r="I93" s="606"/>
      <c r="J93" s="561"/>
      <c r="K93" s="561"/>
      <c r="L93" s="561"/>
      <c r="M93" s="561"/>
      <c r="N93" s="561"/>
      <c r="O93" s="561"/>
      <c r="P93" s="561"/>
      <c r="Q93" s="561"/>
      <c r="R93" s="561"/>
    </row>
    <row r="94">
      <c r="A94" s="551"/>
      <c r="B94" s="610" t="s">
        <v>268</v>
      </c>
      <c r="C94" s="591">
        <v>42594.0</v>
      </c>
      <c r="D94" s="593" t="s">
        <v>551</v>
      </c>
      <c r="E94" s="593" t="s">
        <v>658</v>
      </c>
      <c r="F94" s="577" t="s">
        <v>659</v>
      </c>
      <c r="G94" s="577">
        <v>50.0</v>
      </c>
      <c r="H94" s="577" t="s">
        <v>660</v>
      </c>
      <c r="I94" s="606"/>
      <c r="J94" s="561"/>
      <c r="K94" s="561"/>
      <c r="L94" s="561"/>
      <c r="M94" s="561"/>
      <c r="N94" s="561"/>
      <c r="O94" s="561"/>
      <c r="P94" s="561"/>
      <c r="Q94" s="561"/>
      <c r="R94" s="561"/>
    </row>
    <row r="95">
      <c r="A95" s="551"/>
      <c r="B95" s="610" t="s">
        <v>268</v>
      </c>
      <c r="C95" s="591">
        <v>42594.0</v>
      </c>
      <c r="D95" s="593" t="s">
        <v>551</v>
      </c>
      <c r="E95" s="593" t="s">
        <v>658</v>
      </c>
      <c r="F95" s="577" t="s">
        <v>659</v>
      </c>
      <c r="G95" s="577">
        <v>50.0</v>
      </c>
      <c r="H95" s="577" t="s">
        <v>660</v>
      </c>
      <c r="I95" s="606"/>
      <c r="J95" s="561"/>
      <c r="K95" s="561"/>
      <c r="L95" s="561"/>
      <c r="M95" s="561"/>
      <c r="N95" s="561"/>
      <c r="O95" s="561"/>
      <c r="P95" s="561"/>
      <c r="Q95" s="561"/>
      <c r="R95" s="561"/>
    </row>
    <row r="96">
      <c r="A96" s="551"/>
      <c r="B96" s="609" t="s">
        <v>683</v>
      </c>
      <c r="C96" s="591">
        <v>42625.0</v>
      </c>
      <c r="D96" s="593" t="s">
        <v>516</v>
      </c>
      <c r="E96" s="593" t="s">
        <v>684</v>
      </c>
      <c r="F96" s="608" t="s">
        <v>685</v>
      </c>
      <c r="G96" s="577">
        <v>50.0</v>
      </c>
      <c r="H96" s="606"/>
      <c r="I96" s="606"/>
      <c r="J96" s="561"/>
      <c r="K96" s="561"/>
      <c r="L96" s="561"/>
      <c r="M96" s="561"/>
      <c r="N96" s="561"/>
      <c r="O96" s="561"/>
      <c r="P96" s="561"/>
      <c r="Q96" s="561"/>
      <c r="R96" s="561"/>
    </row>
    <row r="97">
      <c r="A97" s="551"/>
      <c r="B97" s="609" t="s">
        <v>686</v>
      </c>
      <c r="C97" s="591">
        <v>42636.0</v>
      </c>
      <c r="D97" s="593" t="s">
        <v>539</v>
      </c>
      <c r="E97" s="593" t="s">
        <v>687</v>
      </c>
      <c r="F97" s="606"/>
      <c r="G97" s="577">
        <v>50.0</v>
      </c>
      <c r="H97" s="606"/>
      <c r="I97" s="606"/>
      <c r="J97" s="561"/>
      <c r="K97" s="561"/>
      <c r="L97" s="561"/>
      <c r="M97" s="561"/>
      <c r="N97" s="561"/>
      <c r="O97" s="561"/>
      <c r="P97" s="561"/>
      <c r="Q97" s="561"/>
      <c r="R97" s="561"/>
    </row>
    <row r="98">
      <c r="A98" s="551"/>
      <c r="B98" s="609" t="s">
        <v>688</v>
      </c>
      <c r="C98" s="591">
        <v>42637.0</v>
      </c>
      <c r="D98" s="593" t="s">
        <v>516</v>
      </c>
      <c r="E98" s="593" t="s">
        <v>689</v>
      </c>
      <c r="F98" s="608" t="s">
        <v>690</v>
      </c>
      <c r="G98" s="577">
        <v>50.0</v>
      </c>
      <c r="H98" s="608" t="s">
        <v>508</v>
      </c>
      <c r="I98" s="606"/>
      <c r="J98" s="561"/>
      <c r="K98" s="561"/>
      <c r="L98" s="561"/>
      <c r="M98" s="561"/>
      <c r="N98" s="561"/>
      <c r="O98" s="561"/>
      <c r="P98" s="561"/>
      <c r="Q98" s="561"/>
      <c r="R98" s="561"/>
    </row>
    <row r="99">
      <c r="A99" s="551"/>
      <c r="B99" s="609" t="s">
        <v>538</v>
      </c>
      <c r="C99" s="591">
        <v>42616.0</v>
      </c>
      <c r="D99" s="593" t="s">
        <v>551</v>
      </c>
      <c r="E99" s="593" t="s">
        <v>691</v>
      </c>
      <c r="F99" s="608" t="s">
        <v>692</v>
      </c>
      <c r="G99" s="577">
        <v>50.0</v>
      </c>
      <c r="H99" s="608" t="s">
        <v>508</v>
      </c>
      <c r="I99" s="606"/>
      <c r="J99" s="561"/>
      <c r="K99" s="561"/>
      <c r="L99" s="561"/>
      <c r="M99" s="561"/>
      <c r="N99" s="561"/>
      <c r="O99" s="561"/>
      <c r="P99" s="561"/>
      <c r="Q99" s="561"/>
      <c r="R99" s="561"/>
    </row>
    <row r="100">
      <c r="A100" s="551"/>
      <c r="B100" s="609" t="s">
        <v>509</v>
      </c>
      <c r="C100" s="591">
        <v>42649.0</v>
      </c>
      <c r="D100" s="593" t="s">
        <v>539</v>
      </c>
      <c r="E100" s="593" t="s">
        <v>693</v>
      </c>
      <c r="F100" s="608" t="s">
        <v>694</v>
      </c>
      <c r="G100" s="577">
        <v>50.0</v>
      </c>
      <c r="H100" s="608" t="s">
        <v>508</v>
      </c>
      <c r="I100" s="606"/>
      <c r="J100" s="561"/>
      <c r="K100" s="561"/>
      <c r="L100" s="561"/>
      <c r="M100" s="561"/>
      <c r="N100" s="561"/>
      <c r="O100" s="561"/>
      <c r="P100" s="561"/>
      <c r="Q100" s="561"/>
      <c r="R100" s="561"/>
    </row>
    <row r="101">
      <c r="A101" s="551"/>
      <c r="B101" s="609" t="s">
        <v>695</v>
      </c>
      <c r="C101" s="611">
        <v>42669.0</v>
      </c>
      <c r="D101" s="593" t="s">
        <v>539</v>
      </c>
      <c r="E101" s="593" t="s">
        <v>693</v>
      </c>
      <c r="F101" s="608" t="s">
        <v>694</v>
      </c>
      <c r="G101" s="577">
        <v>50.0</v>
      </c>
      <c r="H101" s="608" t="s">
        <v>508</v>
      </c>
      <c r="I101" s="606"/>
      <c r="J101" s="561"/>
      <c r="K101" s="561"/>
      <c r="L101" s="561"/>
      <c r="M101" s="561"/>
      <c r="N101" s="561"/>
      <c r="O101" s="561"/>
      <c r="P101" s="561"/>
      <c r="Q101" s="561"/>
      <c r="R101" s="561"/>
    </row>
    <row r="102">
      <c r="A102" s="551"/>
      <c r="B102" s="609" t="s">
        <v>509</v>
      </c>
      <c r="C102" s="591">
        <v>42649.0</v>
      </c>
      <c r="D102" s="593" t="s">
        <v>551</v>
      </c>
      <c r="E102" s="593" t="s">
        <v>696</v>
      </c>
      <c r="F102" s="608" t="s">
        <v>697</v>
      </c>
      <c r="G102" s="577">
        <v>50.0</v>
      </c>
      <c r="H102" s="608" t="s">
        <v>508</v>
      </c>
      <c r="I102" s="606"/>
      <c r="J102" s="561"/>
      <c r="K102" s="561"/>
      <c r="L102" s="561"/>
      <c r="M102" s="561"/>
      <c r="N102" s="561"/>
      <c r="O102" s="561"/>
      <c r="P102" s="561"/>
      <c r="Q102" s="561"/>
      <c r="R102" s="561"/>
    </row>
    <row r="103">
      <c r="A103" s="551"/>
      <c r="B103" s="609" t="s">
        <v>683</v>
      </c>
      <c r="C103" s="611">
        <v>42656.0</v>
      </c>
      <c r="D103" s="593" t="s">
        <v>546</v>
      </c>
      <c r="E103" s="593" t="s">
        <v>698</v>
      </c>
      <c r="F103" s="608" t="s">
        <v>699</v>
      </c>
      <c r="G103" s="577">
        <v>50.0</v>
      </c>
      <c r="H103" s="577" t="s">
        <v>660</v>
      </c>
      <c r="I103" s="606"/>
      <c r="J103" s="561"/>
      <c r="K103" s="561"/>
      <c r="L103" s="561"/>
      <c r="M103" s="561"/>
      <c r="N103" s="561"/>
      <c r="O103" s="561"/>
      <c r="P103" s="561"/>
      <c r="Q103" s="561"/>
      <c r="R103" s="561"/>
    </row>
    <row r="104">
      <c r="A104" s="551"/>
      <c r="B104" s="609" t="s">
        <v>683</v>
      </c>
      <c r="C104" s="611">
        <v>42669.0</v>
      </c>
      <c r="D104" s="593" t="s">
        <v>551</v>
      </c>
      <c r="E104" s="593" t="s">
        <v>700</v>
      </c>
      <c r="F104" s="608" t="s">
        <v>701</v>
      </c>
      <c r="G104" s="577">
        <v>50.0</v>
      </c>
      <c r="H104" s="577" t="s">
        <v>660</v>
      </c>
      <c r="I104" s="606"/>
      <c r="J104" s="561"/>
      <c r="K104" s="561"/>
      <c r="L104" s="561"/>
      <c r="M104" s="561"/>
      <c r="N104" s="561"/>
      <c r="O104" s="561"/>
      <c r="P104" s="561"/>
      <c r="Q104" s="561"/>
      <c r="R104" s="561"/>
    </row>
    <row r="105">
      <c r="A105" s="551"/>
      <c r="B105" s="609" t="s">
        <v>683</v>
      </c>
      <c r="C105" s="611">
        <v>42667.0</v>
      </c>
      <c r="D105" s="593" t="s">
        <v>551</v>
      </c>
      <c r="E105" s="593" t="s">
        <v>700</v>
      </c>
      <c r="F105" s="608" t="s">
        <v>701</v>
      </c>
      <c r="G105" s="577">
        <v>50.0</v>
      </c>
      <c r="H105" s="577" t="s">
        <v>660</v>
      </c>
      <c r="I105" s="606"/>
      <c r="J105" s="561"/>
      <c r="K105" s="561"/>
      <c r="L105" s="561"/>
      <c r="M105" s="561"/>
      <c r="N105" s="561"/>
      <c r="O105" s="561"/>
      <c r="P105" s="561"/>
      <c r="Q105" s="561"/>
      <c r="R105" s="561"/>
    </row>
    <row r="106">
      <c r="A106" s="551"/>
      <c r="B106" s="609" t="s">
        <v>683</v>
      </c>
      <c r="C106" s="611">
        <v>42667.0</v>
      </c>
      <c r="D106" s="593" t="s">
        <v>551</v>
      </c>
      <c r="E106" s="593" t="s">
        <v>700</v>
      </c>
      <c r="F106" s="608" t="s">
        <v>701</v>
      </c>
      <c r="G106" s="577">
        <v>50.0</v>
      </c>
      <c r="H106" s="577" t="s">
        <v>660</v>
      </c>
      <c r="I106" s="606"/>
      <c r="J106" s="561"/>
      <c r="K106" s="561"/>
      <c r="L106" s="561"/>
      <c r="M106" s="561"/>
      <c r="N106" s="561"/>
      <c r="O106" s="561"/>
      <c r="P106" s="561"/>
      <c r="Q106" s="561"/>
      <c r="R106" s="561"/>
    </row>
    <row r="107">
      <c r="A107" s="551"/>
      <c r="B107" s="609" t="s">
        <v>702</v>
      </c>
      <c r="C107" s="591">
        <v>42606.0</v>
      </c>
      <c r="D107" s="593" t="s">
        <v>703</v>
      </c>
      <c r="E107" s="593" t="s">
        <v>704</v>
      </c>
      <c r="F107" s="603">
        <v>6.17010482E8</v>
      </c>
      <c r="G107" s="577">
        <v>50.0</v>
      </c>
      <c r="H107" s="606"/>
      <c r="I107" s="606"/>
      <c r="J107" s="561"/>
      <c r="K107" s="561"/>
      <c r="L107" s="561"/>
      <c r="M107" s="561"/>
      <c r="N107" s="561"/>
      <c r="O107" s="561"/>
      <c r="P107" s="561"/>
      <c r="Q107" s="561"/>
      <c r="R107" s="561"/>
    </row>
    <row r="108">
      <c r="A108" s="551"/>
      <c r="B108" s="609" t="s">
        <v>705</v>
      </c>
      <c r="C108" s="591">
        <v>42613.0</v>
      </c>
      <c r="D108" s="593" t="s">
        <v>703</v>
      </c>
      <c r="E108" s="593" t="s">
        <v>706</v>
      </c>
      <c r="F108" s="603">
        <v>6.28757591E8</v>
      </c>
      <c r="G108" s="577">
        <v>50.0</v>
      </c>
      <c r="H108" s="608" t="s">
        <v>601</v>
      </c>
      <c r="I108" s="606"/>
      <c r="J108" s="561"/>
      <c r="K108" s="561"/>
      <c r="L108" s="561"/>
      <c r="M108" s="561"/>
      <c r="N108" s="561"/>
      <c r="O108" s="561"/>
      <c r="P108" s="561"/>
      <c r="Q108" s="561"/>
      <c r="R108" s="561"/>
    </row>
    <row r="109">
      <c r="A109" s="551"/>
      <c r="B109" s="609" t="s">
        <v>672</v>
      </c>
      <c r="C109" s="591">
        <v>42606.0</v>
      </c>
      <c r="D109" s="593" t="s">
        <v>703</v>
      </c>
      <c r="E109" s="593" t="s">
        <v>707</v>
      </c>
      <c r="F109" s="603">
        <v>6.10038122E8</v>
      </c>
      <c r="G109" s="577">
        <v>50.0</v>
      </c>
      <c r="H109" s="608" t="s">
        <v>508</v>
      </c>
      <c r="I109" s="606"/>
      <c r="J109" s="561"/>
      <c r="K109" s="561"/>
      <c r="L109" s="561"/>
      <c r="M109" s="561"/>
      <c r="N109" s="561"/>
      <c r="O109" s="561"/>
      <c r="P109" s="561"/>
      <c r="Q109" s="561"/>
      <c r="R109" s="561"/>
    </row>
    <row r="110">
      <c r="A110" s="551"/>
      <c r="B110" s="609" t="s">
        <v>672</v>
      </c>
      <c r="C110" s="591">
        <v>42606.0</v>
      </c>
      <c r="D110" s="593" t="s">
        <v>703</v>
      </c>
      <c r="E110" s="593" t="s">
        <v>707</v>
      </c>
      <c r="F110" s="603">
        <v>6.50361261E8</v>
      </c>
      <c r="G110" s="577">
        <v>50.0</v>
      </c>
      <c r="H110" s="608" t="s">
        <v>508</v>
      </c>
      <c r="I110" s="606"/>
      <c r="J110" s="561"/>
      <c r="K110" s="561"/>
      <c r="L110" s="561"/>
      <c r="M110" s="561"/>
      <c r="N110" s="561"/>
      <c r="O110" s="561"/>
      <c r="P110" s="561"/>
      <c r="Q110" s="561"/>
      <c r="R110" s="561"/>
    </row>
    <row r="111">
      <c r="A111" s="551"/>
      <c r="B111" s="609" t="s">
        <v>708</v>
      </c>
      <c r="C111" s="591">
        <v>42593.0</v>
      </c>
      <c r="D111" s="593" t="s">
        <v>703</v>
      </c>
      <c r="E111" s="593" t="s">
        <v>709</v>
      </c>
      <c r="F111" s="603">
        <v>6.65966019E8</v>
      </c>
      <c r="G111" s="577">
        <v>30.0</v>
      </c>
      <c r="H111" s="608" t="s">
        <v>508</v>
      </c>
      <c r="I111" s="606"/>
      <c r="J111" s="561"/>
      <c r="K111" s="561"/>
      <c r="L111" s="561"/>
      <c r="M111" s="561"/>
      <c r="N111" s="561"/>
      <c r="O111" s="561"/>
      <c r="P111" s="561"/>
      <c r="Q111" s="561"/>
      <c r="R111" s="561"/>
    </row>
    <row r="112">
      <c r="A112" s="551"/>
      <c r="B112" s="609" t="s">
        <v>708</v>
      </c>
      <c r="C112" s="591">
        <v>42585.0</v>
      </c>
      <c r="D112" s="593" t="s">
        <v>703</v>
      </c>
      <c r="E112" s="593" t="s">
        <v>710</v>
      </c>
      <c r="F112" s="603">
        <v>6.16990475E8</v>
      </c>
      <c r="G112" s="577">
        <v>30.0</v>
      </c>
      <c r="H112" s="608" t="s">
        <v>508</v>
      </c>
      <c r="I112" s="606"/>
      <c r="J112" s="561"/>
      <c r="K112" s="561"/>
      <c r="L112" s="561"/>
      <c r="M112" s="561"/>
      <c r="N112" s="561"/>
      <c r="O112" s="561"/>
      <c r="P112" s="561"/>
      <c r="Q112" s="561"/>
      <c r="R112" s="561"/>
    </row>
    <row r="113">
      <c r="A113" s="551"/>
      <c r="B113" s="609" t="s">
        <v>672</v>
      </c>
      <c r="C113" s="591">
        <v>42606.0</v>
      </c>
      <c r="D113" s="593" t="s">
        <v>703</v>
      </c>
      <c r="E113" s="593" t="s">
        <v>707</v>
      </c>
      <c r="F113" s="603">
        <v>6.69131841E8</v>
      </c>
      <c r="G113" s="577">
        <v>30.0</v>
      </c>
      <c r="H113" s="608" t="s">
        <v>508</v>
      </c>
      <c r="I113" s="606"/>
      <c r="J113" s="561"/>
      <c r="K113" s="561"/>
      <c r="L113" s="561"/>
      <c r="M113" s="561"/>
      <c r="N113" s="561"/>
      <c r="O113" s="561"/>
      <c r="P113" s="561"/>
      <c r="Q113" s="561"/>
      <c r="R113" s="561"/>
    </row>
    <row r="114">
      <c r="A114" s="551"/>
      <c r="B114" s="612" t="s">
        <v>509</v>
      </c>
      <c r="C114" s="591">
        <v>42569.0</v>
      </c>
      <c r="D114" s="593" t="s">
        <v>645</v>
      </c>
      <c r="E114" s="593" t="s">
        <v>711</v>
      </c>
      <c r="F114" s="603">
        <v>6.48196032E8</v>
      </c>
      <c r="G114" s="577">
        <v>100.0</v>
      </c>
      <c r="H114" s="608" t="s">
        <v>508</v>
      </c>
      <c r="I114" s="608"/>
      <c r="J114" s="561"/>
      <c r="K114" s="561"/>
      <c r="L114" s="561"/>
      <c r="M114" s="561"/>
      <c r="N114" s="561"/>
      <c r="O114" s="561"/>
      <c r="P114" s="561"/>
      <c r="Q114" s="561"/>
      <c r="R114" s="561"/>
    </row>
    <row r="115">
      <c r="A115" s="551"/>
      <c r="B115" s="610" t="s">
        <v>596</v>
      </c>
      <c r="C115" s="591">
        <v>42560.0</v>
      </c>
      <c r="D115" s="593" t="s">
        <v>703</v>
      </c>
      <c r="E115" s="593" t="s">
        <v>712</v>
      </c>
      <c r="F115" s="603" t="s">
        <v>713</v>
      </c>
      <c r="G115" s="577">
        <v>50.0</v>
      </c>
      <c r="H115" s="608" t="s">
        <v>625</v>
      </c>
      <c r="I115" s="608" t="s">
        <v>508</v>
      </c>
      <c r="J115" s="561"/>
      <c r="K115" s="561"/>
      <c r="L115" s="561"/>
      <c r="M115" s="561"/>
      <c r="N115" s="561"/>
      <c r="O115" s="561"/>
      <c r="P115" s="561"/>
      <c r="Q115" s="561"/>
      <c r="R115" s="561"/>
    </row>
    <row r="116">
      <c r="A116" s="551"/>
      <c r="B116" s="610" t="s">
        <v>714</v>
      </c>
      <c r="C116" s="591">
        <v>42569.0</v>
      </c>
      <c r="D116" s="593" t="s">
        <v>703</v>
      </c>
      <c r="E116" s="593" t="s">
        <v>715</v>
      </c>
      <c r="F116" s="603" t="s">
        <v>716</v>
      </c>
      <c r="G116" s="577">
        <v>50.0</v>
      </c>
      <c r="H116" s="608" t="s">
        <v>508</v>
      </c>
      <c r="I116" s="606"/>
      <c r="J116" s="561"/>
      <c r="K116" s="561"/>
      <c r="L116" s="561"/>
      <c r="M116" s="561"/>
      <c r="N116" s="561"/>
      <c r="O116" s="561"/>
      <c r="P116" s="561"/>
      <c r="Q116" s="561"/>
      <c r="R116" s="561"/>
    </row>
    <row r="117">
      <c r="A117" s="551"/>
      <c r="B117" s="610" t="s">
        <v>596</v>
      </c>
      <c r="C117" s="591">
        <v>42564.0</v>
      </c>
      <c r="D117" s="593" t="s">
        <v>703</v>
      </c>
      <c r="E117" s="593" t="s">
        <v>717</v>
      </c>
      <c r="F117" s="603" t="s">
        <v>718</v>
      </c>
      <c r="G117" s="577">
        <v>50.0</v>
      </c>
      <c r="H117" s="608" t="s">
        <v>625</v>
      </c>
      <c r="I117" s="608" t="s">
        <v>508</v>
      </c>
      <c r="J117" s="561"/>
      <c r="K117" s="561"/>
      <c r="L117" s="561"/>
      <c r="M117" s="561"/>
      <c r="N117" s="561"/>
      <c r="O117" s="561"/>
      <c r="P117" s="561"/>
      <c r="Q117" s="561"/>
      <c r="R117" s="561"/>
    </row>
    <row r="118">
      <c r="A118" s="551"/>
      <c r="B118" s="612"/>
      <c r="C118" s="613"/>
      <c r="D118" s="606"/>
      <c r="E118" s="614"/>
      <c r="F118" s="615"/>
      <c r="G118" s="606"/>
      <c r="H118" s="606"/>
      <c r="I118" s="606"/>
      <c r="J118" s="561"/>
      <c r="K118" s="561"/>
      <c r="L118" s="561"/>
      <c r="M118" s="561"/>
      <c r="N118" s="561"/>
      <c r="O118" s="561"/>
      <c r="P118" s="561"/>
      <c r="Q118" s="561"/>
      <c r="R118" s="561"/>
    </row>
    <row r="119">
      <c r="A119" s="551"/>
      <c r="B119" s="612"/>
      <c r="C119" s="613"/>
      <c r="D119" s="606"/>
      <c r="E119" s="606"/>
      <c r="F119" s="615"/>
      <c r="G119" s="606"/>
      <c r="H119" s="606"/>
      <c r="I119" s="606"/>
      <c r="J119" s="561"/>
      <c r="K119" s="561"/>
      <c r="L119" s="561"/>
      <c r="M119" s="561"/>
      <c r="N119" s="561"/>
      <c r="O119" s="561"/>
      <c r="P119" s="561"/>
      <c r="Q119" s="561"/>
      <c r="R119" s="561"/>
    </row>
    <row r="120">
      <c r="A120" s="551"/>
      <c r="B120" s="612"/>
      <c r="C120" s="613"/>
      <c r="D120" s="606"/>
      <c r="E120" s="606"/>
      <c r="F120" s="615"/>
      <c r="G120" s="606"/>
      <c r="H120" s="606"/>
      <c r="I120" s="606"/>
      <c r="J120" s="561"/>
      <c r="K120" s="561"/>
      <c r="L120" s="561"/>
      <c r="M120" s="561"/>
      <c r="N120" s="561"/>
      <c r="O120" s="561"/>
      <c r="P120" s="561"/>
      <c r="Q120" s="561"/>
      <c r="R120" s="561"/>
    </row>
    <row r="121">
      <c r="A121" s="551"/>
      <c r="B121" s="612"/>
      <c r="C121" s="613"/>
      <c r="D121" s="606"/>
      <c r="E121" s="606"/>
      <c r="F121" s="615"/>
      <c r="G121" s="606"/>
      <c r="H121" s="606"/>
      <c r="I121" s="606"/>
      <c r="J121" s="561"/>
      <c r="K121" s="561"/>
      <c r="L121" s="561"/>
      <c r="M121" s="561"/>
      <c r="N121" s="561"/>
      <c r="O121" s="561"/>
      <c r="P121" s="561"/>
      <c r="Q121" s="561"/>
      <c r="R121" s="561"/>
    </row>
    <row r="122">
      <c r="A122" s="551"/>
      <c r="B122" s="612"/>
      <c r="C122" s="613"/>
      <c r="D122" s="606"/>
      <c r="E122" s="606"/>
      <c r="F122" s="615"/>
      <c r="G122" s="606"/>
      <c r="H122" s="606"/>
      <c r="I122" s="606"/>
      <c r="J122" s="561"/>
      <c r="K122" s="561"/>
      <c r="L122" s="561"/>
      <c r="M122" s="561"/>
      <c r="N122" s="561"/>
      <c r="O122" s="561"/>
      <c r="P122" s="561"/>
      <c r="Q122" s="561"/>
      <c r="R122" s="561"/>
    </row>
    <row r="123">
      <c r="A123" s="551"/>
      <c r="B123" s="612"/>
      <c r="C123" s="613"/>
      <c r="D123" s="606"/>
      <c r="E123" s="606"/>
      <c r="F123" s="615"/>
      <c r="G123" s="606"/>
      <c r="H123" s="606"/>
      <c r="I123" s="606"/>
      <c r="J123" s="561"/>
      <c r="K123" s="561"/>
      <c r="L123" s="561"/>
      <c r="M123" s="561"/>
      <c r="N123" s="561"/>
      <c r="O123" s="561"/>
      <c r="P123" s="561"/>
      <c r="Q123" s="561"/>
      <c r="R123" s="561"/>
    </row>
    <row r="124">
      <c r="A124" s="551"/>
      <c r="B124" s="612"/>
      <c r="C124" s="613"/>
      <c r="D124" s="606"/>
      <c r="E124" s="606"/>
      <c r="F124" s="606"/>
      <c r="G124" s="606"/>
      <c r="H124" s="606"/>
      <c r="I124" s="606"/>
      <c r="J124" s="561"/>
      <c r="K124" s="561"/>
      <c r="L124" s="561"/>
      <c r="M124" s="561"/>
      <c r="N124" s="561"/>
      <c r="O124" s="561"/>
      <c r="P124" s="561"/>
      <c r="Q124" s="561"/>
      <c r="R124" s="561"/>
    </row>
    <row r="125">
      <c r="A125" s="551"/>
      <c r="B125" s="612"/>
      <c r="C125" s="613"/>
      <c r="D125" s="606"/>
      <c r="E125" s="606"/>
      <c r="F125" s="606"/>
      <c r="G125" s="606"/>
      <c r="H125" s="606"/>
      <c r="I125" s="606"/>
      <c r="J125" s="561"/>
      <c r="K125" s="561"/>
      <c r="L125" s="561"/>
      <c r="M125" s="561"/>
      <c r="N125" s="561"/>
      <c r="O125" s="561"/>
      <c r="P125" s="561"/>
      <c r="Q125" s="561"/>
      <c r="R125" s="561"/>
    </row>
    <row r="126">
      <c r="A126" s="551"/>
      <c r="B126" s="612"/>
      <c r="C126" s="613"/>
      <c r="D126" s="606"/>
      <c r="E126" s="606"/>
      <c r="F126" s="606"/>
      <c r="G126" s="606"/>
      <c r="H126" s="606"/>
      <c r="I126" s="606"/>
      <c r="J126" s="561"/>
      <c r="K126" s="561"/>
      <c r="L126" s="561"/>
      <c r="M126" s="561"/>
      <c r="N126" s="561"/>
      <c r="O126" s="561"/>
      <c r="P126" s="561"/>
      <c r="Q126" s="561"/>
      <c r="R126" s="561"/>
    </row>
    <row r="127">
      <c r="A127" s="551"/>
      <c r="B127" s="612"/>
      <c r="C127" s="613"/>
      <c r="D127" s="606"/>
      <c r="E127" s="606"/>
      <c r="F127" s="606"/>
      <c r="G127" s="606"/>
      <c r="H127" s="606"/>
      <c r="I127" s="606"/>
      <c r="J127" s="561"/>
      <c r="K127" s="561"/>
      <c r="L127" s="561"/>
      <c r="M127" s="561"/>
      <c r="N127" s="561"/>
      <c r="O127" s="561"/>
      <c r="P127" s="561"/>
      <c r="Q127" s="561"/>
      <c r="R127" s="561"/>
    </row>
    <row r="128">
      <c r="A128" s="551"/>
      <c r="B128" s="612"/>
      <c r="C128" s="613"/>
      <c r="D128" s="606"/>
      <c r="E128" s="606"/>
      <c r="F128" s="606"/>
      <c r="G128" s="606"/>
      <c r="H128" s="606"/>
      <c r="I128" s="606"/>
      <c r="J128" s="561"/>
      <c r="K128" s="561"/>
      <c r="L128" s="561"/>
      <c r="M128" s="561"/>
      <c r="N128" s="561"/>
      <c r="O128" s="561"/>
      <c r="P128" s="561"/>
      <c r="Q128" s="561"/>
      <c r="R128" s="561"/>
    </row>
    <row r="129">
      <c r="A129" s="551"/>
      <c r="B129" s="612"/>
      <c r="C129" s="613"/>
      <c r="D129" s="606"/>
      <c r="E129" s="606"/>
      <c r="F129" s="606"/>
      <c r="G129" s="606"/>
      <c r="H129" s="606"/>
      <c r="I129" s="606"/>
      <c r="J129" s="561"/>
      <c r="K129" s="561"/>
      <c r="L129" s="561"/>
      <c r="M129" s="561"/>
      <c r="N129" s="561"/>
      <c r="O129" s="561"/>
      <c r="P129" s="561"/>
      <c r="Q129" s="561"/>
      <c r="R129" s="561"/>
    </row>
    <row r="130">
      <c r="A130" s="551"/>
      <c r="B130" s="612"/>
      <c r="C130" s="613"/>
      <c r="D130" s="606"/>
      <c r="E130" s="606"/>
      <c r="F130" s="606"/>
      <c r="G130" s="606"/>
      <c r="H130" s="606"/>
      <c r="I130" s="606"/>
      <c r="J130" s="561"/>
      <c r="K130" s="561"/>
      <c r="L130" s="561"/>
      <c r="M130" s="561"/>
      <c r="N130" s="561"/>
      <c r="O130" s="561"/>
      <c r="P130" s="561"/>
      <c r="Q130" s="561"/>
      <c r="R130" s="561"/>
    </row>
    <row r="131">
      <c r="A131" s="551"/>
      <c r="B131" s="612"/>
      <c r="C131" s="613"/>
      <c r="D131" s="606"/>
      <c r="E131" s="606"/>
      <c r="F131" s="606"/>
      <c r="G131" s="606"/>
      <c r="H131" s="606"/>
      <c r="I131" s="606"/>
      <c r="J131" s="561"/>
      <c r="K131" s="561"/>
      <c r="L131" s="561"/>
      <c r="M131" s="561"/>
      <c r="N131" s="561"/>
      <c r="O131" s="561"/>
      <c r="P131" s="561"/>
      <c r="Q131" s="561"/>
      <c r="R131" s="561"/>
    </row>
    <row r="132">
      <c r="A132" s="551"/>
      <c r="B132" s="612"/>
      <c r="C132" s="613"/>
      <c r="D132" s="606"/>
      <c r="E132" s="606"/>
      <c r="F132" s="606"/>
      <c r="G132" s="606"/>
      <c r="H132" s="606"/>
      <c r="I132" s="606"/>
      <c r="J132" s="561"/>
      <c r="K132" s="561"/>
      <c r="L132" s="561"/>
      <c r="M132" s="561"/>
      <c r="N132" s="561"/>
      <c r="O132" s="561"/>
      <c r="P132" s="561"/>
      <c r="Q132" s="561"/>
      <c r="R132" s="561"/>
    </row>
    <row r="133">
      <c r="A133" s="551"/>
      <c r="B133" s="612"/>
      <c r="C133" s="613"/>
      <c r="D133" s="606"/>
      <c r="E133" s="606"/>
      <c r="F133" s="606"/>
      <c r="G133" s="606"/>
      <c r="H133" s="606"/>
      <c r="I133" s="606"/>
      <c r="J133" s="561"/>
      <c r="K133" s="561"/>
      <c r="L133" s="561"/>
      <c r="M133" s="561"/>
      <c r="N133" s="561"/>
      <c r="O133" s="561"/>
      <c r="P133" s="561"/>
      <c r="Q133" s="561"/>
      <c r="R133" s="561"/>
    </row>
    <row r="134">
      <c r="A134" s="551"/>
      <c r="B134" s="612"/>
      <c r="C134" s="613"/>
      <c r="D134" s="606"/>
      <c r="E134" s="606"/>
      <c r="F134" s="606"/>
      <c r="G134" s="606"/>
      <c r="H134" s="606"/>
      <c r="I134" s="606"/>
      <c r="J134" s="561"/>
      <c r="K134" s="561"/>
      <c r="L134" s="561"/>
      <c r="M134" s="561"/>
      <c r="N134" s="561"/>
      <c r="O134" s="561"/>
      <c r="P134" s="561"/>
      <c r="Q134" s="561"/>
      <c r="R134" s="561"/>
    </row>
    <row r="135">
      <c r="A135" s="551"/>
      <c r="B135" s="612"/>
      <c r="C135" s="613"/>
      <c r="D135" s="606"/>
      <c r="E135" s="606"/>
      <c r="F135" s="606"/>
      <c r="G135" s="606"/>
      <c r="H135" s="606"/>
      <c r="I135" s="606"/>
      <c r="J135" s="561"/>
      <c r="K135" s="561"/>
      <c r="L135" s="561"/>
      <c r="M135" s="561"/>
      <c r="N135" s="561"/>
      <c r="O135" s="561"/>
      <c r="P135" s="561"/>
      <c r="Q135" s="561"/>
      <c r="R135" s="561"/>
    </row>
    <row r="136">
      <c r="A136" s="551"/>
      <c r="B136" s="616"/>
      <c r="C136" s="617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1"/>
      <c r="P136" s="561"/>
      <c r="Q136" s="561"/>
      <c r="R136" s="561"/>
    </row>
    <row r="137">
      <c r="A137" s="551"/>
      <c r="B137" s="616"/>
      <c r="C137" s="617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</row>
    <row r="138">
      <c r="A138" s="551"/>
      <c r="B138" s="616"/>
      <c r="C138" s="617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1"/>
      <c r="P138" s="561"/>
      <c r="Q138" s="561"/>
      <c r="R138" s="561"/>
    </row>
    <row r="139">
      <c r="A139" s="551"/>
      <c r="B139" s="617"/>
      <c r="C139" s="617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1"/>
      <c r="P139" s="561"/>
      <c r="Q139" s="561"/>
      <c r="R139" s="561"/>
    </row>
    <row r="140">
      <c r="A140" s="551"/>
      <c r="B140" s="617"/>
      <c r="C140" s="617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</row>
    <row r="141">
      <c r="A141" s="551"/>
      <c r="B141" s="617"/>
      <c r="C141" s="617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</row>
    <row r="142">
      <c r="A142" s="551"/>
      <c r="B142" s="617"/>
      <c r="C142" s="617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</row>
    <row r="143">
      <c r="A143" s="551"/>
      <c r="B143" s="617"/>
      <c r="C143" s="617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</row>
    <row r="144">
      <c r="A144" s="551"/>
      <c r="B144" s="617"/>
      <c r="C144" s="617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1"/>
      <c r="P144" s="561"/>
      <c r="Q144" s="561"/>
      <c r="R144" s="561"/>
    </row>
    <row r="145">
      <c r="A145" s="551"/>
      <c r="B145" s="617"/>
      <c r="C145" s="617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1"/>
      <c r="P145" s="561"/>
      <c r="Q145" s="561"/>
      <c r="R145" s="561"/>
    </row>
    <row r="146">
      <c r="A146" s="551"/>
      <c r="B146" s="617"/>
      <c r="C146" s="617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</row>
    <row r="147">
      <c r="A147" s="551"/>
      <c r="B147" s="617"/>
      <c r="C147" s="617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1"/>
      <c r="P147" s="561"/>
      <c r="Q147" s="561"/>
      <c r="R147" s="561"/>
    </row>
    <row r="148">
      <c r="A148" s="551"/>
      <c r="B148" s="617"/>
      <c r="C148" s="617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</row>
    <row r="149">
      <c r="A149" s="551"/>
      <c r="B149" s="617"/>
      <c r="C149" s="617"/>
      <c r="D149" s="561"/>
      <c r="E149" s="561"/>
      <c r="F149" s="561"/>
      <c r="G149" s="561"/>
      <c r="H149" s="561"/>
      <c r="I149" s="561"/>
      <c r="J149" s="561"/>
      <c r="K149" s="561"/>
      <c r="L149" s="561"/>
      <c r="M149" s="561"/>
      <c r="N149" s="561"/>
      <c r="O149" s="561"/>
      <c r="P149" s="561"/>
      <c r="Q149" s="561"/>
      <c r="R149" s="561"/>
    </row>
    <row r="150">
      <c r="A150" s="551"/>
      <c r="B150" s="617"/>
      <c r="C150" s="617"/>
      <c r="D150" s="561"/>
      <c r="E150" s="561"/>
      <c r="F150" s="561"/>
      <c r="G150" s="561"/>
      <c r="H150" s="561"/>
      <c r="I150" s="561"/>
      <c r="J150" s="561"/>
      <c r="K150" s="561"/>
      <c r="L150" s="561"/>
      <c r="M150" s="561"/>
      <c r="N150" s="561"/>
      <c r="O150" s="561"/>
      <c r="P150" s="561"/>
      <c r="Q150" s="561"/>
      <c r="R150" s="561"/>
    </row>
    <row r="151">
      <c r="A151" s="551"/>
      <c r="B151" s="617"/>
      <c r="C151" s="617"/>
      <c r="D151" s="561"/>
      <c r="E151" s="561"/>
      <c r="F151" s="561"/>
      <c r="G151" s="561"/>
      <c r="H151" s="561"/>
      <c r="I151" s="561"/>
      <c r="J151" s="561"/>
      <c r="K151" s="561"/>
      <c r="L151" s="561"/>
      <c r="M151" s="561"/>
      <c r="N151" s="561"/>
      <c r="O151" s="561"/>
      <c r="P151" s="561"/>
      <c r="Q151" s="561"/>
      <c r="R151" s="561"/>
    </row>
    <row r="152">
      <c r="A152" s="551"/>
      <c r="B152" s="617"/>
      <c r="C152" s="617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1"/>
      <c r="P152" s="561"/>
      <c r="Q152" s="561"/>
      <c r="R152" s="561"/>
    </row>
    <row r="153">
      <c r="A153" s="551"/>
      <c r="B153" s="617"/>
      <c r="C153" s="617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1"/>
      <c r="P153" s="561"/>
      <c r="Q153" s="561"/>
      <c r="R153" s="561"/>
    </row>
    <row r="154">
      <c r="A154" s="551"/>
      <c r="B154" s="617"/>
      <c r="C154" s="617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</row>
    <row r="155">
      <c r="A155" s="551"/>
      <c r="B155" s="617"/>
      <c r="C155" s="617"/>
      <c r="D155" s="561"/>
      <c r="E155" s="561"/>
      <c r="F155" s="561"/>
      <c r="G155" s="561"/>
      <c r="H155" s="561"/>
      <c r="I155" s="561"/>
      <c r="J155" s="561"/>
      <c r="K155" s="561"/>
      <c r="L155" s="561"/>
      <c r="M155" s="561"/>
      <c r="N155" s="561"/>
      <c r="O155" s="561"/>
      <c r="P155" s="561"/>
      <c r="Q155" s="561"/>
      <c r="R155" s="561"/>
    </row>
    <row r="156">
      <c r="A156" s="551"/>
      <c r="B156" s="617"/>
      <c r="C156" s="617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1"/>
      <c r="P156" s="561"/>
      <c r="Q156" s="561"/>
      <c r="R156" s="561"/>
    </row>
    <row r="157">
      <c r="A157" s="551"/>
      <c r="B157" s="617"/>
      <c r="C157" s="617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1"/>
      <c r="P157" s="561"/>
      <c r="Q157" s="561"/>
      <c r="R157" s="561"/>
    </row>
    <row r="158">
      <c r="A158" s="551"/>
      <c r="B158" s="617"/>
      <c r="C158" s="617"/>
      <c r="D158" s="561"/>
      <c r="E158" s="561"/>
      <c r="F158" s="561"/>
      <c r="G158" s="561"/>
      <c r="H158" s="561"/>
      <c r="I158" s="561"/>
      <c r="J158" s="561"/>
      <c r="K158" s="561"/>
      <c r="L158" s="561"/>
      <c r="M158" s="561"/>
      <c r="N158" s="561"/>
      <c r="O158" s="561"/>
      <c r="P158" s="561"/>
      <c r="Q158" s="561"/>
      <c r="R158" s="561"/>
    </row>
    <row r="159">
      <c r="A159" s="551"/>
      <c r="B159" s="617"/>
      <c r="C159" s="617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</row>
    <row r="160">
      <c r="A160" s="551"/>
      <c r="B160" s="617"/>
      <c r="C160" s="617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</row>
    <row r="161">
      <c r="A161" s="551"/>
      <c r="B161" s="617"/>
      <c r="C161" s="617"/>
      <c r="D161" s="561"/>
      <c r="E161" s="561"/>
      <c r="F161" s="561"/>
      <c r="G161" s="561"/>
      <c r="H161" s="561"/>
      <c r="I161" s="561"/>
      <c r="J161" s="561"/>
      <c r="K161" s="561"/>
      <c r="L161" s="561"/>
      <c r="M161" s="561"/>
      <c r="N161" s="561"/>
      <c r="O161" s="561"/>
      <c r="P161" s="561"/>
      <c r="Q161" s="561"/>
      <c r="R161" s="561"/>
    </row>
    <row r="162">
      <c r="A162" s="551"/>
      <c r="B162" s="617"/>
      <c r="C162" s="617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1"/>
      <c r="P162" s="561"/>
      <c r="Q162" s="561"/>
      <c r="R162" s="561"/>
    </row>
    <row r="163">
      <c r="A163" s="551"/>
      <c r="B163" s="617"/>
      <c r="C163" s="617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1"/>
      <c r="P163" s="561"/>
      <c r="Q163" s="561"/>
      <c r="R163" s="561"/>
    </row>
    <row r="164">
      <c r="A164" s="551"/>
      <c r="B164" s="617"/>
      <c r="C164" s="617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</row>
    <row r="165">
      <c r="A165" s="551"/>
      <c r="B165" s="617"/>
      <c r="C165" s="617"/>
      <c r="D165" s="561"/>
      <c r="E165" s="561"/>
      <c r="F165" s="561"/>
      <c r="G165" s="561"/>
      <c r="H165" s="561"/>
      <c r="I165" s="561"/>
      <c r="J165" s="561"/>
      <c r="K165" s="561"/>
      <c r="L165" s="561"/>
      <c r="M165" s="561"/>
      <c r="N165" s="561"/>
      <c r="O165" s="561"/>
      <c r="P165" s="561"/>
      <c r="Q165" s="561"/>
      <c r="R165" s="561"/>
    </row>
    <row r="166">
      <c r="A166" s="551"/>
      <c r="B166" s="617"/>
      <c r="C166" s="617"/>
      <c r="D166" s="561"/>
      <c r="E166" s="561"/>
      <c r="F166" s="561"/>
      <c r="G166" s="561"/>
      <c r="H166" s="561"/>
      <c r="I166" s="561"/>
      <c r="J166" s="561"/>
      <c r="K166" s="561"/>
      <c r="L166" s="561"/>
      <c r="M166" s="561"/>
      <c r="N166" s="561"/>
      <c r="O166" s="561"/>
      <c r="P166" s="561"/>
      <c r="Q166" s="561"/>
      <c r="R166" s="561"/>
    </row>
    <row r="167">
      <c r="A167" s="551"/>
      <c r="B167" s="617"/>
      <c r="C167" s="617"/>
      <c r="D167" s="561"/>
      <c r="E167" s="561"/>
      <c r="F167" s="561"/>
      <c r="G167" s="561"/>
      <c r="H167" s="561"/>
      <c r="I167" s="561"/>
      <c r="J167" s="561"/>
      <c r="K167" s="561"/>
      <c r="L167" s="561"/>
      <c r="M167" s="561"/>
      <c r="N167" s="561"/>
      <c r="O167" s="561"/>
      <c r="P167" s="561"/>
      <c r="Q167" s="561"/>
      <c r="R167" s="561"/>
    </row>
    <row r="168">
      <c r="A168" s="551"/>
      <c r="B168" s="617"/>
      <c r="C168" s="617"/>
      <c r="D168" s="561"/>
      <c r="E168" s="561"/>
      <c r="F168" s="561"/>
      <c r="G168" s="561"/>
      <c r="H168" s="561"/>
      <c r="I168" s="561"/>
      <c r="J168" s="561"/>
      <c r="K168" s="561"/>
      <c r="L168" s="561"/>
      <c r="M168" s="561"/>
      <c r="N168" s="561"/>
      <c r="O168" s="561"/>
      <c r="P168" s="561"/>
      <c r="Q168" s="561"/>
      <c r="R168" s="561"/>
    </row>
    <row r="169">
      <c r="A169" s="551"/>
      <c r="B169" s="617"/>
      <c r="C169" s="617"/>
      <c r="D169" s="561"/>
      <c r="E169" s="561"/>
      <c r="F169" s="561"/>
      <c r="G169" s="561"/>
      <c r="H169" s="561"/>
      <c r="I169" s="561"/>
      <c r="J169" s="561"/>
      <c r="K169" s="561"/>
      <c r="L169" s="561"/>
      <c r="M169" s="561"/>
      <c r="N169" s="561"/>
      <c r="O169" s="561"/>
      <c r="P169" s="561"/>
      <c r="Q169" s="561"/>
      <c r="R169" s="561"/>
    </row>
    <row r="170">
      <c r="A170" s="551"/>
      <c r="B170" s="617"/>
      <c r="C170" s="617"/>
      <c r="D170" s="561"/>
      <c r="E170" s="561"/>
      <c r="F170" s="561"/>
      <c r="G170" s="561"/>
      <c r="H170" s="561"/>
      <c r="I170" s="561"/>
      <c r="J170" s="561"/>
      <c r="K170" s="561"/>
      <c r="L170" s="561"/>
      <c r="M170" s="561"/>
      <c r="N170" s="561"/>
      <c r="O170" s="561"/>
      <c r="P170" s="561"/>
      <c r="Q170" s="561"/>
      <c r="R170" s="561"/>
    </row>
    <row r="171">
      <c r="A171" s="551"/>
      <c r="B171" s="617"/>
      <c r="C171" s="617"/>
      <c r="D171" s="561"/>
      <c r="E171" s="561"/>
      <c r="F171" s="561"/>
      <c r="G171" s="561"/>
      <c r="H171" s="561"/>
      <c r="I171" s="561"/>
      <c r="J171" s="561"/>
      <c r="K171" s="561"/>
      <c r="L171" s="561"/>
      <c r="M171" s="561"/>
      <c r="N171" s="561"/>
      <c r="O171" s="561"/>
      <c r="P171" s="561"/>
      <c r="Q171" s="561"/>
      <c r="R171" s="561"/>
    </row>
    <row r="172">
      <c r="A172" s="551"/>
      <c r="B172" s="617"/>
      <c r="C172" s="617"/>
      <c r="D172" s="561"/>
      <c r="E172" s="561"/>
      <c r="F172" s="561"/>
      <c r="G172" s="561"/>
      <c r="H172" s="561"/>
      <c r="I172" s="561"/>
      <c r="J172" s="561"/>
      <c r="K172" s="561"/>
      <c r="L172" s="561"/>
      <c r="M172" s="561"/>
      <c r="N172" s="561"/>
      <c r="O172" s="561"/>
      <c r="P172" s="561"/>
      <c r="Q172" s="561"/>
      <c r="R172" s="561"/>
    </row>
    <row r="173">
      <c r="A173" s="551"/>
      <c r="B173" s="617"/>
      <c r="C173" s="617"/>
      <c r="D173" s="561"/>
      <c r="E173" s="561"/>
      <c r="F173" s="561"/>
      <c r="G173" s="561"/>
      <c r="H173" s="561"/>
      <c r="I173" s="561"/>
      <c r="J173" s="561"/>
      <c r="K173" s="561"/>
      <c r="L173" s="561"/>
      <c r="M173" s="561"/>
      <c r="N173" s="561"/>
      <c r="O173" s="561"/>
      <c r="P173" s="561"/>
      <c r="Q173" s="561"/>
      <c r="R173" s="561"/>
    </row>
    <row r="174">
      <c r="A174" s="551"/>
      <c r="B174" s="617"/>
      <c r="C174" s="617"/>
      <c r="D174" s="561"/>
      <c r="E174" s="561"/>
      <c r="F174" s="561"/>
      <c r="G174" s="561"/>
      <c r="H174" s="561"/>
      <c r="I174" s="561"/>
      <c r="J174" s="561"/>
      <c r="K174" s="561"/>
      <c r="L174" s="561"/>
      <c r="M174" s="561"/>
      <c r="N174" s="561"/>
      <c r="O174" s="561"/>
      <c r="P174" s="561"/>
      <c r="Q174" s="561"/>
      <c r="R174" s="561"/>
    </row>
    <row r="175">
      <c r="A175" s="551"/>
      <c r="B175" s="617"/>
      <c r="C175" s="617"/>
      <c r="D175" s="561"/>
      <c r="E175" s="561"/>
      <c r="F175" s="561"/>
      <c r="G175" s="561"/>
      <c r="H175" s="561"/>
      <c r="I175" s="561"/>
      <c r="J175" s="561"/>
      <c r="K175" s="561"/>
      <c r="L175" s="561"/>
      <c r="M175" s="561"/>
      <c r="N175" s="561"/>
      <c r="O175" s="561"/>
      <c r="P175" s="561"/>
      <c r="Q175" s="561"/>
      <c r="R175" s="561"/>
    </row>
    <row r="176">
      <c r="A176" s="551"/>
      <c r="B176" s="617"/>
      <c r="C176" s="617"/>
      <c r="D176" s="561"/>
      <c r="E176" s="561"/>
      <c r="F176" s="561"/>
      <c r="G176" s="561"/>
      <c r="H176" s="561"/>
      <c r="I176" s="561"/>
      <c r="J176" s="561"/>
      <c r="K176" s="561"/>
      <c r="L176" s="561"/>
      <c r="M176" s="561"/>
      <c r="N176" s="561"/>
      <c r="O176" s="561"/>
      <c r="P176" s="561"/>
      <c r="Q176" s="561"/>
      <c r="R176" s="561"/>
    </row>
    <row r="177">
      <c r="A177" s="551"/>
      <c r="B177" s="617"/>
      <c r="C177" s="617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1"/>
      <c r="P177" s="561"/>
      <c r="Q177" s="561"/>
      <c r="R177" s="561"/>
    </row>
    <row r="178">
      <c r="A178" s="551"/>
      <c r="B178" s="617"/>
      <c r="C178" s="617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1"/>
      <c r="P178" s="561"/>
      <c r="Q178" s="561"/>
      <c r="R178" s="561"/>
    </row>
    <row r="179">
      <c r="A179" s="551"/>
      <c r="B179" s="617"/>
      <c r="C179" s="617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</row>
    <row r="180">
      <c r="A180" s="551"/>
      <c r="B180" s="617"/>
      <c r="C180" s="617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1"/>
      <c r="P180" s="561"/>
      <c r="Q180" s="561"/>
      <c r="R180" s="561"/>
    </row>
    <row r="181">
      <c r="A181" s="551"/>
      <c r="B181" s="617"/>
      <c r="C181" s="617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</row>
    <row r="182">
      <c r="A182" s="551"/>
      <c r="B182" s="617"/>
      <c r="C182" s="617"/>
      <c r="D182" s="561"/>
      <c r="E182" s="561"/>
      <c r="F182" s="561"/>
      <c r="G182" s="561"/>
      <c r="H182" s="561"/>
      <c r="I182" s="561"/>
      <c r="J182" s="561"/>
      <c r="K182" s="561"/>
      <c r="L182" s="561"/>
      <c r="M182" s="561"/>
      <c r="N182" s="561"/>
      <c r="O182" s="561"/>
      <c r="P182" s="561"/>
      <c r="Q182" s="561"/>
      <c r="R182" s="561"/>
    </row>
    <row r="183">
      <c r="A183" s="551"/>
      <c r="B183" s="617"/>
      <c r="C183" s="617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1"/>
      <c r="P183" s="561"/>
      <c r="Q183" s="561"/>
      <c r="R183" s="561"/>
    </row>
    <row r="184">
      <c r="A184" s="551"/>
      <c r="B184" s="617"/>
      <c r="C184" s="617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1"/>
      <c r="P184" s="561"/>
      <c r="Q184" s="561"/>
      <c r="R184" s="561"/>
    </row>
    <row r="185">
      <c r="A185" s="551"/>
      <c r="B185" s="617"/>
      <c r="C185" s="617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</row>
    <row r="186">
      <c r="A186" s="551"/>
      <c r="B186" s="617"/>
      <c r="C186" s="617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1"/>
      <c r="P186" s="561"/>
      <c r="Q186" s="561"/>
      <c r="R186" s="561"/>
    </row>
    <row r="187">
      <c r="A187" s="551"/>
      <c r="B187" s="617"/>
      <c r="C187" s="617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</row>
    <row r="188">
      <c r="A188" s="551"/>
      <c r="B188" s="617"/>
      <c r="C188" s="617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1"/>
      <c r="P188" s="561"/>
      <c r="Q188" s="561"/>
      <c r="R188" s="561"/>
    </row>
    <row r="189">
      <c r="A189" s="551"/>
      <c r="B189" s="617"/>
      <c r="C189" s="617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</row>
    <row r="190">
      <c r="A190" s="551"/>
      <c r="B190" s="617"/>
      <c r="C190" s="617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</row>
    <row r="191">
      <c r="A191" s="551"/>
      <c r="B191" s="617"/>
      <c r="C191" s="617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</row>
    <row r="192">
      <c r="A192" s="551"/>
      <c r="B192" s="617"/>
      <c r="C192" s="617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</row>
    <row r="193">
      <c r="A193" s="551"/>
      <c r="B193" s="617"/>
      <c r="C193" s="617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1"/>
      <c r="P193" s="561"/>
      <c r="Q193" s="561"/>
      <c r="R193" s="561"/>
    </row>
    <row r="194">
      <c r="A194" s="551"/>
      <c r="B194" s="617"/>
      <c r="C194" s="617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1"/>
      <c r="P194" s="561"/>
      <c r="Q194" s="561"/>
      <c r="R194" s="561"/>
    </row>
    <row r="195">
      <c r="A195" s="551"/>
      <c r="B195" s="617"/>
      <c r="C195" s="617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</row>
    <row r="196">
      <c r="A196" s="551"/>
      <c r="B196" s="617"/>
      <c r="C196" s="617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1"/>
      <c r="P196" s="561"/>
      <c r="Q196" s="561"/>
      <c r="R196" s="561"/>
    </row>
    <row r="197">
      <c r="A197" s="551"/>
      <c r="B197" s="617"/>
      <c r="C197" s="617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</row>
    <row r="198">
      <c r="A198" s="551"/>
      <c r="B198" s="617"/>
      <c r="C198" s="617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1"/>
      <c r="P198" s="561"/>
      <c r="Q198" s="561"/>
      <c r="R198" s="561"/>
    </row>
    <row r="199">
      <c r="A199" s="551"/>
      <c r="B199" s="617"/>
      <c r="C199" s="617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1"/>
      <c r="P199" s="561"/>
      <c r="Q199" s="561"/>
      <c r="R199" s="561"/>
    </row>
    <row r="200">
      <c r="A200" s="551"/>
      <c r="B200" s="617"/>
      <c r="C200" s="617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</row>
    <row r="201">
      <c r="A201" s="551"/>
      <c r="B201" s="617"/>
      <c r="C201" s="617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1"/>
      <c r="P201" s="561"/>
      <c r="Q201" s="561"/>
      <c r="R201" s="561"/>
    </row>
    <row r="202">
      <c r="A202" s="551"/>
      <c r="B202" s="617"/>
      <c r="C202" s="617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</row>
    <row r="203">
      <c r="A203" s="551"/>
      <c r="B203" s="617"/>
      <c r="C203" s="617"/>
      <c r="D203" s="561"/>
      <c r="E203" s="561"/>
      <c r="F203" s="561"/>
      <c r="G203" s="561"/>
      <c r="H203" s="561"/>
      <c r="I203" s="561"/>
      <c r="J203" s="561"/>
      <c r="K203" s="561"/>
      <c r="L203" s="561"/>
      <c r="M203" s="561"/>
      <c r="N203" s="561"/>
      <c r="O203" s="561"/>
      <c r="P203" s="561"/>
      <c r="Q203" s="561"/>
      <c r="R203" s="561"/>
    </row>
    <row r="204">
      <c r="A204" s="551"/>
      <c r="B204" s="617"/>
      <c r="C204" s="617"/>
      <c r="D204" s="561"/>
      <c r="E204" s="561"/>
      <c r="F204" s="561"/>
      <c r="G204" s="561"/>
      <c r="H204" s="561"/>
      <c r="I204" s="561"/>
      <c r="J204" s="561"/>
      <c r="K204" s="561"/>
      <c r="L204" s="561"/>
      <c r="M204" s="561"/>
      <c r="N204" s="561"/>
      <c r="O204" s="561"/>
      <c r="P204" s="561"/>
      <c r="Q204" s="561"/>
      <c r="R204" s="561"/>
    </row>
    <row r="205">
      <c r="A205" s="551"/>
      <c r="B205" s="617"/>
      <c r="C205" s="617"/>
      <c r="D205" s="561"/>
      <c r="E205" s="561"/>
      <c r="F205" s="561"/>
      <c r="G205" s="561"/>
      <c r="H205" s="561"/>
      <c r="I205" s="561"/>
      <c r="J205" s="561"/>
      <c r="K205" s="561"/>
      <c r="L205" s="561"/>
      <c r="M205" s="561"/>
      <c r="N205" s="561"/>
      <c r="O205" s="561"/>
      <c r="P205" s="561"/>
      <c r="Q205" s="561"/>
      <c r="R205" s="561"/>
    </row>
    <row r="206">
      <c r="A206" s="551"/>
      <c r="B206" s="617"/>
      <c r="C206" s="617"/>
      <c r="D206" s="561"/>
      <c r="E206" s="561"/>
      <c r="F206" s="561"/>
      <c r="G206" s="561"/>
      <c r="H206" s="561"/>
      <c r="I206" s="561"/>
      <c r="J206" s="561"/>
      <c r="K206" s="561"/>
      <c r="L206" s="561"/>
      <c r="M206" s="561"/>
      <c r="N206" s="561"/>
      <c r="O206" s="561"/>
      <c r="P206" s="561"/>
      <c r="Q206" s="561"/>
      <c r="R206" s="561"/>
    </row>
    <row r="207">
      <c r="A207" s="551"/>
      <c r="B207" s="617"/>
      <c r="C207" s="617"/>
      <c r="D207" s="561"/>
      <c r="E207" s="561"/>
      <c r="F207" s="561"/>
      <c r="G207" s="561"/>
      <c r="H207" s="561"/>
      <c r="I207" s="561"/>
      <c r="J207" s="561"/>
      <c r="K207" s="561"/>
      <c r="L207" s="561"/>
      <c r="M207" s="561"/>
      <c r="N207" s="561"/>
      <c r="O207" s="561"/>
      <c r="P207" s="561"/>
      <c r="Q207" s="561"/>
      <c r="R207" s="561"/>
    </row>
    <row r="208">
      <c r="A208" s="551"/>
      <c r="B208" s="617"/>
      <c r="C208" s="617"/>
      <c r="D208" s="561"/>
      <c r="E208" s="561"/>
      <c r="F208" s="561"/>
      <c r="G208" s="561"/>
      <c r="H208" s="561"/>
      <c r="I208" s="561"/>
      <c r="J208" s="561"/>
      <c r="K208" s="561"/>
      <c r="L208" s="561"/>
      <c r="M208" s="561"/>
      <c r="N208" s="561"/>
      <c r="O208" s="561"/>
      <c r="P208" s="561"/>
      <c r="Q208" s="561"/>
      <c r="R208" s="561"/>
    </row>
    <row r="209">
      <c r="A209" s="551"/>
      <c r="B209" s="617"/>
      <c r="C209" s="617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1"/>
      <c r="P209" s="561"/>
      <c r="Q209" s="561"/>
      <c r="R209" s="561"/>
    </row>
    <row r="210">
      <c r="A210" s="551"/>
      <c r="B210" s="617"/>
      <c r="C210" s="617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1"/>
      <c r="P210" s="561"/>
      <c r="Q210" s="561"/>
      <c r="R210" s="561"/>
    </row>
    <row r="211">
      <c r="A211" s="551"/>
      <c r="B211" s="617"/>
      <c r="C211" s="617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</row>
    <row r="212">
      <c r="A212" s="551"/>
      <c r="B212" s="617"/>
      <c r="C212" s="617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1"/>
      <c r="P212" s="561"/>
      <c r="Q212" s="561"/>
      <c r="R212" s="561"/>
    </row>
    <row r="213">
      <c r="A213" s="551"/>
      <c r="B213" s="617"/>
      <c r="C213" s="617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</row>
    <row r="214">
      <c r="A214" s="551"/>
      <c r="B214" s="617"/>
      <c r="C214" s="617"/>
      <c r="D214" s="561"/>
      <c r="E214" s="561"/>
      <c r="F214" s="561"/>
      <c r="G214" s="561"/>
      <c r="H214" s="561"/>
      <c r="I214" s="561"/>
      <c r="J214" s="561"/>
      <c r="K214" s="561"/>
      <c r="L214" s="561"/>
      <c r="M214" s="561"/>
      <c r="N214" s="561"/>
      <c r="O214" s="561"/>
      <c r="P214" s="561"/>
      <c r="Q214" s="561"/>
      <c r="R214" s="561"/>
    </row>
    <row r="215">
      <c r="A215" s="551"/>
      <c r="B215" s="617"/>
      <c r="C215" s="617"/>
      <c r="D215" s="561"/>
      <c r="E215" s="561"/>
      <c r="F215" s="561"/>
      <c r="G215" s="561"/>
      <c r="H215" s="561"/>
      <c r="I215" s="561"/>
      <c r="J215" s="561"/>
      <c r="K215" s="561"/>
      <c r="L215" s="561"/>
      <c r="M215" s="561"/>
      <c r="N215" s="561"/>
      <c r="O215" s="561"/>
      <c r="P215" s="561"/>
      <c r="Q215" s="561"/>
      <c r="R215" s="561"/>
    </row>
    <row r="216">
      <c r="A216" s="551"/>
      <c r="B216" s="617"/>
      <c r="C216" s="617"/>
      <c r="D216" s="561"/>
      <c r="E216" s="561"/>
      <c r="F216" s="561"/>
      <c r="G216" s="561"/>
      <c r="H216" s="561"/>
      <c r="I216" s="561"/>
      <c r="J216" s="561"/>
      <c r="K216" s="561"/>
      <c r="L216" s="561"/>
      <c r="M216" s="561"/>
      <c r="N216" s="561"/>
      <c r="O216" s="561"/>
      <c r="P216" s="561"/>
      <c r="Q216" s="561"/>
      <c r="R216" s="561"/>
    </row>
    <row r="217">
      <c r="A217" s="551"/>
      <c r="B217" s="617"/>
      <c r="C217" s="617"/>
      <c r="D217" s="561"/>
      <c r="E217" s="561"/>
      <c r="F217" s="561"/>
      <c r="G217" s="561"/>
      <c r="H217" s="561"/>
      <c r="I217" s="561"/>
      <c r="J217" s="561"/>
      <c r="K217" s="561"/>
      <c r="L217" s="561"/>
      <c r="M217" s="561"/>
      <c r="N217" s="561"/>
      <c r="O217" s="561"/>
      <c r="P217" s="561"/>
      <c r="Q217" s="561"/>
      <c r="R217" s="561"/>
    </row>
    <row r="218">
      <c r="A218" s="551"/>
      <c r="B218" s="617"/>
      <c r="C218" s="617"/>
      <c r="D218" s="561"/>
      <c r="E218" s="561"/>
      <c r="F218" s="561"/>
      <c r="G218" s="561"/>
      <c r="H218" s="561"/>
      <c r="I218" s="561"/>
      <c r="J218" s="561"/>
      <c r="K218" s="561"/>
      <c r="L218" s="561"/>
      <c r="M218" s="561"/>
      <c r="N218" s="561"/>
      <c r="O218" s="561"/>
      <c r="P218" s="561"/>
      <c r="Q218" s="561"/>
      <c r="R218" s="561"/>
    </row>
    <row r="219">
      <c r="A219" s="551"/>
      <c r="B219" s="617"/>
      <c r="C219" s="617"/>
      <c r="D219" s="561"/>
      <c r="E219" s="561"/>
      <c r="F219" s="561"/>
      <c r="G219" s="561"/>
      <c r="H219" s="561"/>
      <c r="I219" s="561"/>
      <c r="J219" s="561"/>
      <c r="K219" s="561"/>
      <c r="L219" s="561"/>
      <c r="M219" s="561"/>
      <c r="N219" s="561"/>
      <c r="O219" s="561"/>
      <c r="P219" s="561"/>
      <c r="Q219" s="561"/>
      <c r="R219" s="561"/>
    </row>
    <row r="220">
      <c r="A220" s="551"/>
      <c r="B220" s="617"/>
      <c r="C220" s="617"/>
      <c r="D220" s="561"/>
      <c r="E220" s="561"/>
      <c r="F220" s="561"/>
      <c r="G220" s="561"/>
      <c r="H220" s="561"/>
      <c r="I220" s="561"/>
      <c r="J220" s="561"/>
      <c r="K220" s="561"/>
      <c r="L220" s="561"/>
      <c r="M220" s="561"/>
      <c r="N220" s="561"/>
      <c r="O220" s="561"/>
      <c r="P220" s="561"/>
      <c r="Q220" s="561"/>
      <c r="R220" s="561"/>
    </row>
    <row r="221">
      <c r="A221" s="551"/>
      <c r="B221" s="617"/>
      <c r="C221" s="617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1"/>
      <c r="P221" s="561"/>
      <c r="Q221" s="561"/>
      <c r="R221" s="561"/>
    </row>
    <row r="222">
      <c r="A222" s="551"/>
      <c r="B222" s="617"/>
      <c r="C222" s="617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1"/>
      <c r="P222" s="561"/>
      <c r="Q222" s="561"/>
      <c r="R222" s="561"/>
    </row>
    <row r="223">
      <c r="A223" s="551"/>
      <c r="B223" s="617"/>
      <c r="C223" s="617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</row>
    <row r="224">
      <c r="A224" s="551"/>
      <c r="B224" s="617"/>
      <c r="C224" s="617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1"/>
      <c r="P224" s="561"/>
      <c r="Q224" s="561"/>
      <c r="R224" s="561"/>
    </row>
    <row r="225">
      <c r="A225" s="551"/>
      <c r="B225" s="617"/>
      <c r="C225" s="617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</row>
    <row r="226">
      <c r="A226" s="551"/>
      <c r="B226" s="617"/>
      <c r="C226" s="617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1"/>
      <c r="P226" s="561"/>
      <c r="Q226" s="561"/>
      <c r="R226" s="561"/>
    </row>
    <row r="227">
      <c r="A227" s="551"/>
      <c r="B227" s="617"/>
      <c r="C227" s="617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1"/>
      <c r="P227" s="561"/>
      <c r="Q227" s="561"/>
      <c r="R227" s="561"/>
    </row>
    <row r="228">
      <c r="A228" s="551"/>
      <c r="B228" s="617"/>
      <c r="C228" s="617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</row>
    <row r="229">
      <c r="A229" s="551"/>
      <c r="B229" s="617"/>
      <c r="C229" s="617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</row>
    <row r="230">
      <c r="A230" s="551"/>
      <c r="B230" s="617"/>
      <c r="C230" s="617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</row>
    <row r="231">
      <c r="A231" s="551"/>
      <c r="B231" s="617"/>
      <c r="C231" s="617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</row>
    <row r="232">
      <c r="A232" s="551"/>
      <c r="B232" s="617"/>
      <c r="C232" s="617"/>
      <c r="D232" s="561"/>
      <c r="E232" s="561"/>
      <c r="F232" s="561"/>
      <c r="G232" s="561"/>
      <c r="H232" s="561"/>
      <c r="I232" s="561"/>
      <c r="J232" s="561"/>
      <c r="K232" s="561"/>
      <c r="L232" s="561"/>
      <c r="M232" s="561"/>
      <c r="N232" s="561"/>
      <c r="O232" s="561"/>
      <c r="P232" s="561"/>
      <c r="Q232" s="561"/>
      <c r="R232" s="561"/>
    </row>
    <row r="233">
      <c r="A233" s="551"/>
      <c r="B233" s="617"/>
      <c r="C233" s="617"/>
      <c r="D233" s="561"/>
      <c r="E233" s="561"/>
      <c r="F233" s="561"/>
      <c r="G233" s="561"/>
      <c r="H233" s="561"/>
      <c r="I233" s="561"/>
      <c r="J233" s="561"/>
      <c r="K233" s="561"/>
      <c r="L233" s="561"/>
      <c r="M233" s="561"/>
      <c r="N233" s="561"/>
      <c r="O233" s="561"/>
      <c r="P233" s="561"/>
      <c r="Q233" s="561"/>
      <c r="R233" s="561"/>
    </row>
    <row r="234">
      <c r="A234" s="551"/>
      <c r="B234" s="617"/>
      <c r="C234" s="617"/>
      <c r="D234" s="561"/>
      <c r="E234" s="561"/>
      <c r="F234" s="561"/>
      <c r="G234" s="561"/>
      <c r="H234" s="561"/>
      <c r="I234" s="561"/>
      <c r="J234" s="561"/>
      <c r="K234" s="561"/>
      <c r="L234" s="561"/>
      <c r="M234" s="561"/>
      <c r="N234" s="561"/>
      <c r="O234" s="561"/>
      <c r="P234" s="561"/>
      <c r="Q234" s="561"/>
      <c r="R234" s="561"/>
    </row>
    <row r="235">
      <c r="A235" s="551"/>
      <c r="B235" s="617"/>
      <c r="C235" s="617"/>
      <c r="D235" s="561"/>
      <c r="E235" s="561"/>
      <c r="F235" s="561"/>
      <c r="G235" s="561"/>
      <c r="H235" s="561"/>
      <c r="I235" s="561"/>
      <c r="J235" s="561"/>
      <c r="K235" s="561"/>
      <c r="L235" s="561"/>
      <c r="M235" s="561"/>
      <c r="N235" s="561"/>
      <c r="O235" s="561"/>
      <c r="P235" s="561"/>
      <c r="Q235" s="561"/>
      <c r="R235" s="561"/>
    </row>
    <row r="236">
      <c r="A236" s="551"/>
      <c r="B236" s="617"/>
      <c r="C236" s="617"/>
      <c r="D236" s="561"/>
      <c r="E236" s="561"/>
      <c r="F236" s="561"/>
      <c r="G236" s="561"/>
      <c r="H236" s="561"/>
      <c r="I236" s="561"/>
      <c r="J236" s="561"/>
      <c r="K236" s="561"/>
      <c r="L236" s="561"/>
      <c r="M236" s="561"/>
      <c r="N236" s="561"/>
      <c r="O236" s="561"/>
      <c r="P236" s="561"/>
      <c r="Q236" s="561"/>
      <c r="R236" s="561"/>
    </row>
    <row r="237">
      <c r="A237" s="551"/>
      <c r="B237" s="617"/>
      <c r="C237" s="617"/>
      <c r="D237" s="561"/>
      <c r="E237" s="561"/>
      <c r="F237" s="561"/>
      <c r="G237" s="561"/>
      <c r="H237" s="561"/>
      <c r="I237" s="561"/>
      <c r="J237" s="561"/>
      <c r="K237" s="561"/>
      <c r="L237" s="561"/>
      <c r="M237" s="561"/>
      <c r="N237" s="561"/>
      <c r="O237" s="561"/>
      <c r="P237" s="561"/>
      <c r="Q237" s="561"/>
      <c r="R237" s="561"/>
    </row>
    <row r="238">
      <c r="A238" s="551"/>
      <c r="B238" s="617"/>
      <c r="C238" s="617"/>
      <c r="D238" s="561"/>
      <c r="E238" s="561"/>
      <c r="F238" s="561"/>
      <c r="G238" s="561"/>
      <c r="H238" s="561"/>
      <c r="I238" s="561"/>
      <c r="J238" s="561"/>
      <c r="K238" s="561"/>
      <c r="L238" s="561"/>
      <c r="M238" s="561"/>
      <c r="N238" s="561"/>
      <c r="O238" s="561"/>
      <c r="P238" s="561"/>
      <c r="Q238" s="561"/>
      <c r="R238" s="561"/>
    </row>
    <row r="239">
      <c r="A239" s="551"/>
      <c r="B239" s="617"/>
      <c r="C239" s="617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1"/>
      <c r="P239" s="561"/>
      <c r="Q239" s="561"/>
      <c r="R239" s="561"/>
    </row>
    <row r="240">
      <c r="A240" s="551"/>
      <c r="B240" s="617"/>
      <c r="C240" s="617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1"/>
      <c r="P240" s="561"/>
      <c r="Q240" s="561"/>
      <c r="R240" s="561"/>
    </row>
    <row r="241">
      <c r="A241" s="551"/>
      <c r="B241" s="617"/>
      <c r="C241" s="617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</row>
    <row r="242">
      <c r="A242" s="551"/>
      <c r="B242" s="617"/>
      <c r="C242" s="617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1"/>
      <c r="P242" s="561"/>
      <c r="Q242" s="561"/>
      <c r="R242" s="561"/>
    </row>
    <row r="243">
      <c r="A243" s="551"/>
      <c r="B243" s="617"/>
      <c r="C243" s="617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</row>
    <row r="244">
      <c r="A244" s="551"/>
      <c r="B244" s="617"/>
      <c r="C244" s="617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1"/>
      <c r="P244" s="561"/>
      <c r="Q244" s="561"/>
      <c r="R244" s="561"/>
    </row>
    <row r="245">
      <c r="A245" s="551"/>
      <c r="B245" s="617"/>
      <c r="C245" s="617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</row>
    <row r="246">
      <c r="A246" s="551"/>
      <c r="B246" s="617"/>
      <c r="C246" s="617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1"/>
      <c r="P246" s="561"/>
      <c r="Q246" s="561"/>
      <c r="R246" s="561"/>
    </row>
    <row r="247">
      <c r="A247" s="551"/>
      <c r="B247" s="617"/>
      <c r="C247" s="617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</row>
    <row r="248">
      <c r="A248" s="551"/>
      <c r="B248" s="617"/>
      <c r="C248" s="617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1"/>
      <c r="P248" s="561"/>
      <c r="Q248" s="561"/>
      <c r="R248" s="561"/>
    </row>
    <row r="249">
      <c r="A249" s="551"/>
      <c r="B249" s="617"/>
      <c r="C249" s="617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</row>
    <row r="250">
      <c r="A250" s="551"/>
      <c r="B250" s="617"/>
      <c r="C250" s="617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1"/>
      <c r="P250" s="561"/>
      <c r="Q250" s="561"/>
      <c r="R250" s="561"/>
    </row>
    <row r="251">
      <c r="A251" s="551"/>
      <c r="B251" s="617"/>
      <c r="C251" s="617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</row>
    <row r="252">
      <c r="A252" s="551"/>
      <c r="B252" s="617"/>
      <c r="C252" s="617"/>
      <c r="D252" s="561"/>
      <c r="E252" s="561"/>
      <c r="F252" s="561"/>
      <c r="G252" s="561"/>
      <c r="H252" s="561"/>
      <c r="I252" s="561"/>
      <c r="J252" s="561"/>
      <c r="K252" s="561"/>
      <c r="L252" s="561"/>
      <c r="M252" s="561"/>
      <c r="N252" s="561"/>
      <c r="O252" s="561"/>
      <c r="P252" s="561"/>
      <c r="Q252" s="561"/>
      <c r="R252" s="561"/>
    </row>
    <row r="253">
      <c r="A253" s="551"/>
      <c r="B253" s="617"/>
      <c r="C253" s="617"/>
      <c r="D253" s="561"/>
      <c r="E253" s="561"/>
      <c r="F253" s="561"/>
      <c r="G253" s="561"/>
      <c r="H253" s="561"/>
      <c r="I253" s="561"/>
      <c r="J253" s="561"/>
      <c r="K253" s="561"/>
      <c r="L253" s="561"/>
      <c r="M253" s="561"/>
      <c r="N253" s="561"/>
      <c r="O253" s="561"/>
      <c r="P253" s="561"/>
      <c r="Q253" s="561"/>
      <c r="R253" s="561"/>
    </row>
    <row r="254">
      <c r="A254" s="551"/>
      <c r="B254" s="617"/>
      <c r="C254" s="617"/>
      <c r="D254" s="561"/>
      <c r="E254" s="561"/>
      <c r="F254" s="561"/>
      <c r="G254" s="561"/>
      <c r="H254" s="561"/>
      <c r="I254" s="561"/>
      <c r="J254" s="561"/>
      <c r="K254" s="561"/>
      <c r="L254" s="561"/>
      <c r="M254" s="561"/>
      <c r="N254" s="561"/>
      <c r="O254" s="561"/>
      <c r="P254" s="561"/>
      <c r="Q254" s="561"/>
      <c r="R254" s="561"/>
    </row>
    <row r="255">
      <c r="A255" s="551"/>
      <c r="B255" s="617"/>
      <c r="C255" s="617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</row>
    <row r="256">
      <c r="A256" s="551"/>
      <c r="B256" s="617"/>
      <c r="C256" s="617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</row>
    <row r="257">
      <c r="A257" s="551"/>
      <c r="B257" s="617"/>
      <c r="C257" s="617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</row>
    <row r="258">
      <c r="A258" s="551"/>
      <c r="B258" s="617"/>
      <c r="C258" s="617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</row>
    <row r="259">
      <c r="A259" s="551"/>
      <c r="B259" s="617"/>
      <c r="C259" s="617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</row>
    <row r="260">
      <c r="A260" s="551"/>
      <c r="B260" s="617"/>
      <c r="C260" s="617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</row>
    <row r="261">
      <c r="A261" s="551"/>
      <c r="B261" s="617"/>
      <c r="C261" s="617"/>
      <c r="D261" s="561"/>
      <c r="E261" s="561"/>
      <c r="F261" s="561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</row>
    <row r="262">
      <c r="A262" s="551"/>
      <c r="B262" s="617"/>
      <c r="C262" s="617"/>
      <c r="D262" s="561"/>
      <c r="E262" s="561"/>
      <c r="F262" s="561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</row>
    <row r="263">
      <c r="A263" s="551"/>
      <c r="B263" s="617"/>
      <c r="C263" s="617"/>
      <c r="D263" s="561"/>
      <c r="E263" s="561"/>
      <c r="F263" s="561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</row>
    <row r="264">
      <c r="A264" s="551"/>
      <c r="B264" s="617"/>
      <c r="C264" s="617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</row>
    <row r="265">
      <c r="A265" s="551"/>
      <c r="B265" s="617"/>
      <c r="C265" s="617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</row>
    <row r="266">
      <c r="A266" s="551"/>
      <c r="B266" s="617"/>
      <c r="C266" s="617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</row>
    <row r="267">
      <c r="A267" s="551"/>
      <c r="B267" s="617"/>
      <c r="C267" s="617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</row>
    <row r="268">
      <c r="A268" s="551"/>
      <c r="B268" s="617"/>
      <c r="C268" s="617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</row>
    <row r="269">
      <c r="A269" s="551"/>
      <c r="B269" s="617"/>
      <c r="C269" s="617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</row>
    <row r="270">
      <c r="A270" s="551"/>
      <c r="B270" s="617"/>
      <c r="C270" s="617"/>
      <c r="D270" s="561"/>
      <c r="E270" s="561"/>
      <c r="F270" s="561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</row>
    <row r="271">
      <c r="A271" s="551"/>
      <c r="B271" s="617"/>
      <c r="C271" s="617"/>
      <c r="D271" s="561"/>
      <c r="E271" s="561"/>
      <c r="F271" s="561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</row>
    <row r="272">
      <c r="A272" s="551"/>
      <c r="B272" s="617"/>
      <c r="C272" s="617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</row>
    <row r="273">
      <c r="A273" s="551"/>
      <c r="B273" s="617"/>
      <c r="C273" s="617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</row>
    <row r="274">
      <c r="A274" s="551"/>
      <c r="B274" s="617"/>
      <c r="C274" s="617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</row>
    <row r="275">
      <c r="A275" s="551"/>
      <c r="B275" s="617"/>
      <c r="C275" s="617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</row>
    <row r="276">
      <c r="A276" s="551"/>
      <c r="B276" s="617"/>
      <c r="C276" s="617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</row>
    <row r="277">
      <c r="A277" s="551"/>
      <c r="B277" s="617"/>
      <c r="C277" s="617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</row>
    <row r="278">
      <c r="A278" s="551"/>
      <c r="B278" s="617"/>
      <c r="C278" s="617"/>
      <c r="D278" s="561"/>
      <c r="E278" s="561"/>
      <c r="F278" s="561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</row>
    <row r="279">
      <c r="A279" s="551"/>
      <c r="B279" s="617"/>
      <c r="C279" s="617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</row>
    <row r="280">
      <c r="A280" s="551"/>
      <c r="B280" s="617"/>
      <c r="C280" s="617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</row>
    <row r="281">
      <c r="A281" s="551"/>
      <c r="B281" s="617"/>
      <c r="C281" s="617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</row>
    <row r="282">
      <c r="A282" s="551"/>
      <c r="B282" s="617"/>
      <c r="C282" s="617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</row>
    <row r="283">
      <c r="A283" s="551"/>
      <c r="B283" s="617"/>
      <c r="C283" s="617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</row>
    <row r="284">
      <c r="A284" s="551"/>
      <c r="B284" s="617"/>
      <c r="C284" s="617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</row>
    <row r="285">
      <c r="A285" s="551"/>
      <c r="B285" s="617"/>
      <c r="C285" s="617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</row>
    <row r="286">
      <c r="A286" s="551"/>
      <c r="B286" s="617"/>
      <c r="C286" s="617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</row>
    <row r="287">
      <c r="A287" s="551"/>
      <c r="B287" s="617"/>
      <c r="C287" s="617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</row>
    <row r="288">
      <c r="A288" s="551"/>
      <c r="B288" s="617"/>
      <c r="C288" s="617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</row>
    <row r="289">
      <c r="A289" s="551"/>
      <c r="B289" s="617"/>
      <c r="C289" s="617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</row>
    <row r="290">
      <c r="A290" s="551"/>
      <c r="B290" s="617"/>
      <c r="C290" s="617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</row>
    <row r="291">
      <c r="A291" s="551"/>
      <c r="B291" s="617"/>
      <c r="C291" s="617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</row>
    <row r="292">
      <c r="A292" s="551"/>
      <c r="B292" s="617"/>
      <c r="C292" s="617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</row>
    <row r="293">
      <c r="A293" s="551"/>
      <c r="B293" s="617"/>
      <c r="C293" s="617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</row>
    <row r="294">
      <c r="A294" s="551"/>
      <c r="B294" s="617"/>
      <c r="C294" s="617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</row>
    <row r="295">
      <c r="A295" s="551"/>
      <c r="B295" s="617"/>
      <c r="C295" s="617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</row>
    <row r="296">
      <c r="A296" s="551"/>
      <c r="B296" s="617"/>
      <c r="C296" s="617"/>
      <c r="D296" s="561"/>
      <c r="E296" s="561"/>
      <c r="F296" s="561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</row>
    <row r="297">
      <c r="A297" s="551"/>
      <c r="B297" s="617"/>
      <c r="C297" s="617"/>
      <c r="D297" s="561"/>
      <c r="E297" s="561"/>
      <c r="F297" s="561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</row>
    <row r="298">
      <c r="A298" s="551"/>
      <c r="B298" s="617"/>
      <c r="C298" s="617"/>
      <c r="D298" s="561"/>
      <c r="E298" s="561"/>
      <c r="F298" s="561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</row>
    <row r="299">
      <c r="A299" s="551"/>
      <c r="B299" s="617"/>
      <c r="C299" s="617"/>
      <c r="D299" s="561"/>
      <c r="E299" s="561"/>
      <c r="F299" s="561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</row>
    <row r="300">
      <c r="A300" s="551"/>
      <c r="B300" s="617"/>
      <c r="C300" s="617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</row>
    <row r="301">
      <c r="A301" s="551"/>
      <c r="B301" s="617"/>
      <c r="C301" s="617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</row>
    <row r="302">
      <c r="A302" s="551"/>
      <c r="B302" s="617"/>
      <c r="C302" s="617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</row>
    <row r="303">
      <c r="A303" s="551"/>
      <c r="B303" s="617"/>
      <c r="C303" s="617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</row>
    <row r="304">
      <c r="A304" s="551"/>
      <c r="B304" s="617"/>
      <c r="C304" s="617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</row>
    <row r="305">
      <c r="A305" s="551"/>
      <c r="B305" s="617"/>
      <c r="C305" s="617"/>
      <c r="D305" s="561"/>
      <c r="E305" s="561"/>
      <c r="F305" s="561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</row>
    <row r="306">
      <c r="A306" s="551"/>
      <c r="B306" s="617"/>
      <c r="C306" s="617"/>
      <c r="D306" s="561"/>
      <c r="E306" s="561"/>
      <c r="F306" s="561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</row>
    <row r="307">
      <c r="A307" s="551"/>
      <c r="B307" s="617"/>
      <c r="C307" s="617"/>
      <c r="D307" s="561"/>
      <c r="E307" s="561"/>
      <c r="F307" s="561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</row>
    <row r="308">
      <c r="A308" s="551"/>
      <c r="B308" s="617"/>
      <c r="C308" s="617"/>
      <c r="D308" s="561"/>
      <c r="E308" s="561"/>
      <c r="F308" s="561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</row>
    <row r="309">
      <c r="A309" s="551"/>
      <c r="B309" s="617"/>
      <c r="C309" s="617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</row>
    <row r="310">
      <c r="A310" s="551"/>
      <c r="B310" s="617"/>
      <c r="C310" s="617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</row>
    <row r="311">
      <c r="A311" s="551"/>
      <c r="B311" s="617"/>
      <c r="C311" s="617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</row>
    <row r="312">
      <c r="A312" s="551"/>
      <c r="B312" s="617"/>
      <c r="C312" s="617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</row>
    <row r="313">
      <c r="A313" s="551"/>
      <c r="B313" s="617"/>
      <c r="C313" s="617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</row>
    <row r="314">
      <c r="A314" s="551"/>
      <c r="B314" s="617"/>
      <c r="C314" s="617"/>
      <c r="D314" s="561"/>
      <c r="E314" s="561"/>
      <c r="F314" s="561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</row>
    <row r="315">
      <c r="A315" s="551"/>
      <c r="B315" s="617"/>
      <c r="C315" s="617"/>
      <c r="D315" s="561"/>
      <c r="E315" s="561"/>
      <c r="F315" s="561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</row>
    <row r="316">
      <c r="A316" s="551"/>
      <c r="B316" s="617"/>
      <c r="C316" s="617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</row>
    <row r="317">
      <c r="A317" s="551"/>
      <c r="B317" s="617"/>
      <c r="C317" s="617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</row>
    <row r="318">
      <c r="A318" s="551"/>
      <c r="B318" s="617"/>
      <c r="C318" s="617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</row>
    <row r="319">
      <c r="A319" s="551"/>
      <c r="B319" s="617"/>
      <c r="C319" s="617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</row>
    <row r="320">
      <c r="A320" s="551"/>
      <c r="B320" s="617"/>
      <c r="C320" s="617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</row>
    <row r="321">
      <c r="A321" s="551"/>
      <c r="B321" s="617"/>
      <c r="C321" s="617"/>
      <c r="D321" s="561"/>
      <c r="E321" s="561"/>
      <c r="F321" s="561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</row>
    <row r="322">
      <c r="A322" s="551"/>
      <c r="B322" s="617"/>
      <c r="C322" s="617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</row>
    <row r="323">
      <c r="A323" s="551"/>
      <c r="B323" s="617"/>
      <c r="C323" s="617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</row>
    <row r="324">
      <c r="A324" s="551"/>
      <c r="B324" s="617"/>
      <c r="C324" s="617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</row>
    <row r="325">
      <c r="A325" s="551"/>
      <c r="B325" s="617"/>
      <c r="C325" s="617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</row>
    <row r="326">
      <c r="A326" s="551"/>
      <c r="B326" s="617"/>
      <c r="C326" s="617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</row>
    <row r="327">
      <c r="A327" s="551"/>
      <c r="B327" s="617"/>
      <c r="C327" s="617"/>
      <c r="D327" s="561"/>
      <c r="E327" s="561"/>
      <c r="F327" s="561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</row>
    <row r="328">
      <c r="A328" s="551"/>
      <c r="B328" s="617"/>
      <c r="C328" s="617"/>
      <c r="D328" s="561"/>
      <c r="E328" s="561"/>
      <c r="F328" s="561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</row>
    <row r="329">
      <c r="A329" s="551"/>
      <c r="B329" s="617"/>
      <c r="C329" s="617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</row>
    <row r="330">
      <c r="A330" s="551"/>
      <c r="B330" s="617"/>
      <c r="C330" s="617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</row>
    <row r="331">
      <c r="A331" s="551"/>
      <c r="B331" s="617"/>
      <c r="C331" s="617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</row>
    <row r="332">
      <c r="A332" s="551"/>
      <c r="B332" s="617"/>
      <c r="C332" s="617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</row>
    <row r="333">
      <c r="A333" s="551"/>
      <c r="B333" s="617"/>
      <c r="C333" s="617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</row>
    <row r="334">
      <c r="A334" s="551"/>
      <c r="B334" s="617"/>
      <c r="C334" s="617"/>
      <c r="D334" s="561"/>
      <c r="E334" s="561"/>
      <c r="F334" s="561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</row>
    <row r="335">
      <c r="A335" s="551"/>
      <c r="B335" s="617"/>
      <c r="C335" s="617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</row>
    <row r="336">
      <c r="A336" s="551"/>
      <c r="B336" s="617"/>
      <c r="C336" s="617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</row>
    <row r="337">
      <c r="A337" s="551"/>
      <c r="B337" s="617"/>
      <c r="C337" s="617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</row>
    <row r="338">
      <c r="A338" s="551"/>
      <c r="B338" s="617"/>
      <c r="C338" s="617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</row>
    <row r="339">
      <c r="A339" s="551"/>
      <c r="B339" s="617"/>
      <c r="C339" s="617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</row>
    <row r="340">
      <c r="A340" s="551"/>
      <c r="B340" s="617"/>
      <c r="C340" s="617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</row>
    <row r="341">
      <c r="A341" s="551"/>
      <c r="B341" s="617"/>
      <c r="C341" s="617"/>
      <c r="D341" s="561"/>
      <c r="E341" s="561"/>
      <c r="F341" s="561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</row>
    <row r="342">
      <c r="A342" s="551"/>
      <c r="B342" s="617"/>
      <c r="C342" s="617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</row>
    <row r="343">
      <c r="A343" s="551"/>
      <c r="B343" s="617"/>
      <c r="C343" s="617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</row>
    <row r="344">
      <c r="A344" s="551"/>
      <c r="B344" s="617"/>
      <c r="C344" s="617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</row>
    <row r="345">
      <c r="A345" s="551"/>
      <c r="B345" s="617"/>
      <c r="C345" s="617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</row>
    <row r="346">
      <c r="A346" s="551"/>
      <c r="B346" s="617"/>
      <c r="C346" s="617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</row>
    <row r="347">
      <c r="A347" s="551"/>
      <c r="B347" s="617"/>
      <c r="C347" s="617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</row>
    <row r="348">
      <c r="A348" s="551"/>
      <c r="B348" s="617"/>
      <c r="C348" s="617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</row>
    <row r="349">
      <c r="A349" s="551"/>
      <c r="B349" s="617"/>
      <c r="C349" s="617"/>
      <c r="D349" s="561"/>
      <c r="E349" s="561"/>
      <c r="F349" s="561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</row>
    <row r="350">
      <c r="A350" s="551"/>
      <c r="B350" s="617"/>
      <c r="C350" s="617"/>
      <c r="D350" s="561"/>
      <c r="E350" s="561"/>
      <c r="F350" s="561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</row>
    <row r="351">
      <c r="A351" s="551"/>
      <c r="B351" s="617"/>
      <c r="C351" s="617"/>
      <c r="D351" s="561"/>
      <c r="E351" s="561"/>
      <c r="F351" s="561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</row>
    <row r="352">
      <c r="A352" s="551"/>
      <c r="B352" s="617"/>
      <c r="C352" s="617"/>
      <c r="D352" s="561"/>
      <c r="E352" s="561"/>
      <c r="F352" s="561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</row>
    <row r="353">
      <c r="A353" s="551"/>
      <c r="B353" s="617"/>
      <c r="C353" s="617"/>
      <c r="D353" s="561"/>
      <c r="E353" s="561"/>
      <c r="F353" s="561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</row>
    <row r="354">
      <c r="A354" s="551"/>
      <c r="B354" s="617"/>
      <c r="C354" s="617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</row>
    <row r="355">
      <c r="A355" s="551"/>
      <c r="B355" s="617"/>
      <c r="C355" s="617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</row>
    <row r="356">
      <c r="A356" s="551"/>
      <c r="B356" s="617"/>
      <c r="C356" s="617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</row>
    <row r="357">
      <c r="A357" s="551"/>
      <c r="B357" s="617"/>
      <c r="C357" s="617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</row>
    <row r="358">
      <c r="A358" s="551"/>
      <c r="B358" s="617"/>
      <c r="C358" s="617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</row>
    <row r="359">
      <c r="A359" s="551"/>
      <c r="B359" s="617"/>
      <c r="C359" s="617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</row>
    <row r="360">
      <c r="A360" s="551"/>
      <c r="B360" s="617"/>
      <c r="C360" s="617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</row>
    <row r="361">
      <c r="A361" s="551"/>
      <c r="B361" s="617"/>
      <c r="C361" s="617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</row>
    <row r="362">
      <c r="A362" s="551"/>
      <c r="B362" s="617"/>
      <c r="C362" s="617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</row>
    <row r="363">
      <c r="A363" s="551"/>
      <c r="B363" s="617"/>
      <c r="C363" s="617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</row>
    <row r="364">
      <c r="A364" s="551"/>
      <c r="B364" s="617"/>
      <c r="C364" s="617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</row>
    <row r="365">
      <c r="A365" s="551"/>
      <c r="B365" s="617"/>
      <c r="C365" s="617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</row>
    <row r="366">
      <c r="A366" s="551"/>
      <c r="B366" s="617"/>
      <c r="C366" s="617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</row>
    <row r="367">
      <c r="A367" s="551"/>
      <c r="B367" s="617"/>
      <c r="C367" s="617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</row>
    <row r="368">
      <c r="A368" s="551"/>
      <c r="B368" s="617"/>
      <c r="C368" s="617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</row>
    <row r="369">
      <c r="A369" s="551"/>
      <c r="B369" s="617"/>
      <c r="C369" s="617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</row>
    <row r="370">
      <c r="A370" s="551"/>
      <c r="B370" s="617"/>
      <c r="C370" s="617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</row>
    <row r="371">
      <c r="A371" s="551"/>
      <c r="B371" s="617"/>
      <c r="C371" s="617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</row>
    <row r="372">
      <c r="A372" s="551"/>
      <c r="B372" s="617"/>
      <c r="C372" s="617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</row>
    <row r="373">
      <c r="A373" s="551"/>
      <c r="B373" s="617"/>
      <c r="C373" s="617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</row>
    <row r="374">
      <c r="A374" s="551"/>
      <c r="B374" s="617"/>
      <c r="C374" s="617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</row>
    <row r="375">
      <c r="A375" s="551"/>
      <c r="B375" s="617"/>
      <c r="C375" s="617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</row>
    <row r="376">
      <c r="A376" s="551"/>
      <c r="B376" s="617"/>
      <c r="C376" s="617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</row>
    <row r="377">
      <c r="A377" s="551"/>
      <c r="B377" s="617"/>
      <c r="C377" s="617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</row>
    <row r="378">
      <c r="A378" s="551"/>
      <c r="B378" s="617"/>
      <c r="C378" s="617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</row>
    <row r="379">
      <c r="A379" s="551"/>
      <c r="B379" s="617"/>
      <c r="C379" s="617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</row>
    <row r="380">
      <c r="A380" s="551"/>
      <c r="B380" s="617"/>
      <c r="C380" s="617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</row>
    <row r="381">
      <c r="A381" s="551"/>
      <c r="B381" s="617"/>
      <c r="C381" s="617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</row>
    <row r="382">
      <c r="A382" s="551"/>
      <c r="B382" s="617"/>
      <c r="C382" s="617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</row>
    <row r="383">
      <c r="A383" s="551"/>
      <c r="B383" s="617"/>
      <c r="C383" s="617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</row>
    <row r="384">
      <c r="A384" s="551"/>
      <c r="B384" s="617"/>
      <c r="C384" s="617"/>
      <c r="D384" s="561"/>
      <c r="E384" s="561"/>
      <c r="F384" s="561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</row>
    <row r="385">
      <c r="A385" s="551"/>
      <c r="B385" s="617"/>
      <c r="C385" s="617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</row>
    <row r="386">
      <c r="A386" s="551"/>
      <c r="B386" s="617"/>
      <c r="C386" s="617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</row>
    <row r="387">
      <c r="A387" s="551"/>
      <c r="B387" s="617"/>
      <c r="C387" s="617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</row>
    <row r="388">
      <c r="A388" s="551"/>
      <c r="B388" s="617"/>
      <c r="C388" s="617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</row>
    <row r="389">
      <c r="A389" s="551"/>
      <c r="B389" s="617"/>
      <c r="C389" s="617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</row>
    <row r="390">
      <c r="A390" s="551"/>
      <c r="B390" s="617"/>
      <c r="C390" s="617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</row>
    <row r="391">
      <c r="A391" s="551"/>
      <c r="B391" s="617"/>
      <c r="C391" s="617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</row>
    <row r="392">
      <c r="A392" s="551"/>
      <c r="B392" s="617"/>
      <c r="C392" s="617"/>
      <c r="D392" s="561"/>
      <c r="E392" s="561"/>
      <c r="F392" s="561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</row>
    <row r="393">
      <c r="A393" s="551"/>
      <c r="B393" s="617"/>
      <c r="C393" s="617"/>
      <c r="D393" s="561"/>
      <c r="E393" s="561"/>
      <c r="F393" s="561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</row>
    <row r="394">
      <c r="A394" s="551"/>
      <c r="B394" s="617"/>
      <c r="C394" s="617"/>
      <c r="D394" s="561"/>
      <c r="E394" s="561"/>
      <c r="F394" s="561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</row>
    <row r="395">
      <c r="A395" s="551"/>
      <c r="B395" s="617"/>
      <c r="C395" s="617"/>
      <c r="D395" s="561"/>
      <c r="E395" s="561"/>
      <c r="F395" s="561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</row>
    <row r="396">
      <c r="A396" s="551"/>
      <c r="B396" s="617"/>
      <c r="C396" s="617"/>
      <c r="D396" s="561"/>
      <c r="E396" s="561"/>
      <c r="F396" s="561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</row>
    <row r="397">
      <c r="A397" s="551"/>
      <c r="B397" s="617"/>
      <c r="C397" s="617"/>
      <c r="D397" s="561"/>
      <c r="E397" s="561"/>
      <c r="F397" s="561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</row>
    <row r="398">
      <c r="A398" s="551"/>
      <c r="B398" s="617"/>
      <c r="C398" s="617"/>
      <c r="D398" s="561"/>
      <c r="E398" s="561"/>
      <c r="F398" s="561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</row>
    <row r="399">
      <c r="A399" s="551"/>
      <c r="B399" s="617"/>
      <c r="C399" s="617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</row>
    <row r="400">
      <c r="A400" s="551"/>
      <c r="B400" s="617"/>
      <c r="C400" s="617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</row>
    <row r="401">
      <c r="A401" s="551"/>
      <c r="B401" s="617"/>
      <c r="C401" s="617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</row>
    <row r="402">
      <c r="A402" s="551"/>
      <c r="B402" s="617"/>
      <c r="C402" s="617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</row>
    <row r="403">
      <c r="A403" s="551"/>
      <c r="B403" s="617"/>
      <c r="C403" s="617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</row>
    <row r="404">
      <c r="A404" s="551"/>
      <c r="B404" s="617"/>
      <c r="C404" s="617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</row>
    <row r="405">
      <c r="A405" s="551"/>
      <c r="B405" s="617"/>
      <c r="C405" s="617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</row>
    <row r="406">
      <c r="A406" s="551"/>
      <c r="B406" s="617"/>
      <c r="C406" s="617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</row>
    <row r="407">
      <c r="A407" s="551"/>
      <c r="B407" s="617"/>
      <c r="C407" s="617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</row>
    <row r="408">
      <c r="A408" s="551"/>
      <c r="B408" s="617"/>
      <c r="C408" s="617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</row>
    <row r="409">
      <c r="A409" s="551"/>
      <c r="B409" s="617"/>
      <c r="C409" s="617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</row>
    <row r="410">
      <c r="A410" s="551"/>
      <c r="B410" s="617"/>
      <c r="C410" s="617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</row>
    <row r="411">
      <c r="A411" s="551"/>
      <c r="B411" s="617"/>
      <c r="C411" s="617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</row>
    <row r="412">
      <c r="A412" s="551"/>
      <c r="B412" s="617"/>
      <c r="C412" s="617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</row>
    <row r="413">
      <c r="A413" s="551"/>
      <c r="B413" s="617"/>
      <c r="C413" s="617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</row>
    <row r="414">
      <c r="A414" s="551"/>
      <c r="B414" s="617"/>
      <c r="C414" s="617"/>
      <c r="D414" s="561"/>
      <c r="E414" s="561"/>
      <c r="F414" s="561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</row>
    <row r="415">
      <c r="A415" s="551"/>
      <c r="B415" s="617"/>
      <c r="C415" s="617"/>
      <c r="D415" s="561"/>
      <c r="E415" s="561"/>
      <c r="F415" s="561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</row>
    <row r="416">
      <c r="A416" s="551"/>
      <c r="B416" s="617"/>
      <c r="C416" s="617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</row>
    <row r="417">
      <c r="A417" s="551"/>
      <c r="B417" s="617"/>
      <c r="C417" s="617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</row>
    <row r="418">
      <c r="A418" s="551"/>
      <c r="B418" s="617"/>
      <c r="C418" s="617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</row>
    <row r="419">
      <c r="A419" s="551"/>
      <c r="B419" s="617"/>
      <c r="C419" s="617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</row>
    <row r="420">
      <c r="A420" s="551"/>
      <c r="B420" s="617"/>
      <c r="C420" s="617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</row>
    <row r="421">
      <c r="A421" s="551"/>
      <c r="B421" s="617"/>
      <c r="C421" s="617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</row>
    <row r="422">
      <c r="A422" s="551"/>
      <c r="B422" s="617"/>
      <c r="C422" s="617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</row>
    <row r="423">
      <c r="A423" s="551"/>
      <c r="B423" s="617"/>
      <c r="C423" s="617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</row>
    <row r="424">
      <c r="A424" s="551"/>
      <c r="B424" s="617"/>
      <c r="C424" s="617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</row>
    <row r="425">
      <c r="A425" s="551"/>
      <c r="B425" s="617"/>
      <c r="C425" s="617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</row>
    <row r="426">
      <c r="A426" s="551"/>
      <c r="B426" s="617"/>
      <c r="C426" s="617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</row>
    <row r="427">
      <c r="A427" s="551"/>
      <c r="B427" s="617"/>
      <c r="C427" s="617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</row>
    <row r="428">
      <c r="A428" s="551"/>
      <c r="B428" s="617"/>
      <c r="C428" s="617"/>
      <c r="D428" s="561"/>
      <c r="E428" s="561"/>
      <c r="F428" s="561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</row>
    <row r="429">
      <c r="A429" s="551"/>
      <c r="B429" s="617"/>
      <c r="C429" s="617"/>
      <c r="D429" s="561"/>
      <c r="E429" s="561"/>
      <c r="F429" s="561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</row>
    <row r="430">
      <c r="A430" s="551"/>
      <c r="B430" s="617"/>
      <c r="C430" s="617"/>
      <c r="D430" s="561"/>
      <c r="E430" s="561"/>
      <c r="F430" s="561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</row>
    <row r="431">
      <c r="A431" s="551"/>
      <c r="B431" s="617"/>
      <c r="C431" s="617"/>
      <c r="D431" s="561"/>
      <c r="E431" s="561"/>
      <c r="F431" s="561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</row>
    <row r="432">
      <c r="A432" s="551"/>
      <c r="B432" s="617"/>
      <c r="C432" s="617"/>
      <c r="D432" s="561"/>
      <c r="E432" s="561"/>
      <c r="F432" s="561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</row>
    <row r="433">
      <c r="A433" s="551"/>
      <c r="B433" s="617"/>
      <c r="C433" s="617"/>
      <c r="D433" s="561"/>
      <c r="E433" s="561"/>
      <c r="F433" s="561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</row>
    <row r="434">
      <c r="A434" s="551"/>
      <c r="B434" s="617"/>
      <c r="C434" s="617"/>
      <c r="D434" s="561"/>
      <c r="E434" s="561"/>
      <c r="F434" s="561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</row>
    <row r="435">
      <c r="A435" s="551"/>
      <c r="B435" s="617"/>
      <c r="C435" s="617"/>
      <c r="D435" s="561"/>
      <c r="E435" s="561"/>
      <c r="F435" s="561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</row>
    <row r="436">
      <c r="A436" s="551"/>
      <c r="B436" s="617"/>
      <c r="C436" s="617"/>
      <c r="D436" s="561"/>
      <c r="E436" s="561"/>
      <c r="F436" s="561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</row>
    <row r="437">
      <c r="A437" s="551"/>
      <c r="B437" s="617"/>
      <c r="C437" s="617"/>
      <c r="D437" s="561"/>
      <c r="E437" s="561"/>
      <c r="F437" s="561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</row>
    <row r="438">
      <c r="A438" s="551"/>
      <c r="B438" s="617"/>
      <c r="C438" s="617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</row>
    <row r="439">
      <c r="A439" s="551"/>
      <c r="B439" s="617"/>
      <c r="C439" s="617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</row>
    <row r="440">
      <c r="A440" s="551"/>
      <c r="B440" s="617"/>
      <c r="C440" s="617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</row>
    <row r="441">
      <c r="A441" s="551"/>
      <c r="B441" s="617"/>
      <c r="C441" s="617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</row>
    <row r="442">
      <c r="A442" s="551"/>
      <c r="B442" s="617"/>
      <c r="C442" s="617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</row>
    <row r="443">
      <c r="A443" s="551"/>
      <c r="B443" s="617"/>
      <c r="C443" s="617"/>
      <c r="D443" s="561"/>
      <c r="E443" s="561"/>
      <c r="F443" s="561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</row>
    <row r="444">
      <c r="A444" s="551"/>
      <c r="B444" s="617"/>
      <c r="C444" s="617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</row>
    <row r="445">
      <c r="A445" s="551"/>
      <c r="B445" s="617"/>
      <c r="C445" s="617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</row>
    <row r="446">
      <c r="A446" s="551"/>
      <c r="B446" s="617"/>
      <c r="C446" s="617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</row>
    <row r="447">
      <c r="A447" s="551"/>
      <c r="B447" s="617"/>
      <c r="C447" s="617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</row>
    <row r="448">
      <c r="A448" s="551"/>
      <c r="B448" s="617"/>
      <c r="C448" s="617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</row>
    <row r="449">
      <c r="A449" s="551"/>
      <c r="B449" s="617"/>
      <c r="C449" s="617"/>
      <c r="D449" s="561"/>
      <c r="E449" s="561"/>
      <c r="F449" s="561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</row>
    <row r="450">
      <c r="A450" s="551"/>
      <c r="B450" s="617"/>
      <c r="C450" s="617"/>
      <c r="D450" s="561"/>
      <c r="E450" s="561"/>
      <c r="F450" s="561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</row>
    <row r="451">
      <c r="A451" s="551"/>
      <c r="B451" s="617"/>
      <c r="C451" s="617"/>
      <c r="D451" s="561"/>
      <c r="E451" s="561"/>
      <c r="F451" s="561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</row>
    <row r="452">
      <c r="A452" s="551"/>
      <c r="B452" s="617"/>
      <c r="C452" s="617"/>
      <c r="D452" s="561"/>
      <c r="E452" s="561"/>
      <c r="F452" s="561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</row>
    <row r="453">
      <c r="A453" s="551"/>
      <c r="B453" s="617"/>
      <c r="C453" s="617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</row>
    <row r="454">
      <c r="A454" s="551"/>
      <c r="B454" s="617"/>
      <c r="C454" s="617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</row>
    <row r="455">
      <c r="A455" s="551"/>
      <c r="B455" s="617"/>
      <c r="C455" s="617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</row>
    <row r="456">
      <c r="A456" s="551"/>
      <c r="B456" s="617"/>
      <c r="C456" s="617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</row>
    <row r="457">
      <c r="A457" s="551"/>
      <c r="B457" s="617"/>
      <c r="C457" s="617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</row>
    <row r="458">
      <c r="A458" s="551"/>
      <c r="B458" s="617"/>
      <c r="C458" s="617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</row>
    <row r="459">
      <c r="A459" s="551"/>
      <c r="B459" s="617"/>
      <c r="C459" s="617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</row>
    <row r="460">
      <c r="A460" s="551"/>
      <c r="B460" s="617"/>
      <c r="C460" s="617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</row>
    <row r="461">
      <c r="A461" s="551"/>
      <c r="B461" s="617"/>
      <c r="C461" s="617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</row>
    <row r="462">
      <c r="A462" s="551"/>
      <c r="B462" s="617"/>
      <c r="C462" s="617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</row>
    <row r="463">
      <c r="A463" s="551"/>
      <c r="B463" s="617"/>
      <c r="C463" s="617"/>
      <c r="D463" s="561"/>
      <c r="E463" s="561"/>
      <c r="F463" s="561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</row>
    <row r="464">
      <c r="A464" s="551"/>
      <c r="B464" s="617"/>
      <c r="C464" s="617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</row>
    <row r="465">
      <c r="A465" s="551"/>
      <c r="B465" s="617"/>
      <c r="C465" s="617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</row>
    <row r="466">
      <c r="A466" s="551"/>
      <c r="B466" s="617"/>
      <c r="C466" s="617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</row>
    <row r="467">
      <c r="A467" s="551"/>
      <c r="B467" s="617"/>
      <c r="C467" s="617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</row>
    <row r="468">
      <c r="A468" s="551"/>
      <c r="B468" s="617"/>
      <c r="C468" s="617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</row>
    <row r="469">
      <c r="A469" s="551"/>
      <c r="B469" s="617"/>
      <c r="C469" s="617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</row>
    <row r="470">
      <c r="A470" s="551"/>
      <c r="B470" s="617"/>
      <c r="C470" s="617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</row>
    <row r="471">
      <c r="A471" s="551"/>
      <c r="B471" s="617"/>
      <c r="C471" s="617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</row>
    <row r="472">
      <c r="A472" s="551"/>
      <c r="B472" s="617"/>
      <c r="C472" s="617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</row>
    <row r="473">
      <c r="A473" s="551"/>
      <c r="B473" s="617"/>
      <c r="C473" s="617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</row>
    <row r="474">
      <c r="A474" s="551"/>
      <c r="B474" s="617"/>
      <c r="C474" s="617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</row>
    <row r="475">
      <c r="A475" s="551"/>
      <c r="B475" s="617"/>
      <c r="C475" s="617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</row>
    <row r="476">
      <c r="A476" s="551"/>
      <c r="B476" s="617"/>
      <c r="C476" s="617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</row>
    <row r="477">
      <c r="A477" s="551"/>
      <c r="B477" s="617"/>
      <c r="C477" s="617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</row>
    <row r="478">
      <c r="A478" s="551"/>
      <c r="B478" s="617"/>
      <c r="C478" s="617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</row>
    <row r="479">
      <c r="A479" s="551"/>
      <c r="B479" s="617"/>
      <c r="C479" s="617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</row>
    <row r="480">
      <c r="A480" s="551"/>
      <c r="B480" s="617"/>
      <c r="C480" s="617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</row>
    <row r="481">
      <c r="A481" s="551"/>
      <c r="B481" s="617"/>
      <c r="C481" s="617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</row>
    <row r="482">
      <c r="A482" s="551"/>
      <c r="B482" s="617"/>
      <c r="C482" s="617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</row>
    <row r="483">
      <c r="A483" s="551"/>
      <c r="B483" s="617"/>
      <c r="C483" s="617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</row>
    <row r="484">
      <c r="A484" s="551"/>
      <c r="B484" s="617"/>
      <c r="C484" s="617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</row>
    <row r="485">
      <c r="A485" s="551"/>
      <c r="B485" s="617"/>
      <c r="C485" s="617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</row>
    <row r="486">
      <c r="A486" s="551"/>
      <c r="B486" s="617"/>
      <c r="C486" s="617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</row>
    <row r="487">
      <c r="A487" s="551"/>
      <c r="B487" s="617"/>
      <c r="C487" s="617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</row>
    <row r="488">
      <c r="A488" s="551"/>
      <c r="B488" s="617"/>
      <c r="C488" s="617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</row>
    <row r="489">
      <c r="A489" s="551"/>
      <c r="B489" s="617"/>
      <c r="C489" s="617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</row>
    <row r="490">
      <c r="A490" s="551"/>
      <c r="B490" s="617"/>
      <c r="C490" s="617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</row>
    <row r="491">
      <c r="A491" s="551"/>
      <c r="B491" s="617"/>
      <c r="C491" s="617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</row>
    <row r="492">
      <c r="A492" s="551"/>
      <c r="B492" s="617"/>
      <c r="C492" s="617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</row>
    <row r="493">
      <c r="A493" s="551"/>
      <c r="B493" s="617"/>
      <c r="C493" s="617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</row>
    <row r="494">
      <c r="A494" s="551"/>
      <c r="B494" s="617"/>
      <c r="C494" s="617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</row>
    <row r="495">
      <c r="A495" s="551"/>
      <c r="B495" s="617"/>
      <c r="C495" s="617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</row>
    <row r="496">
      <c r="A496" s="551"/>
      <c r="B496" s="617"/>
      <c r="C496" s="617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</row>
    <row r="497">
      <c r="A497" s="551"/>
      <c r="B497" s="617"/>
      <c r="C497" s="617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</row>
    <row r="498">
      <c r="A498" s="551"/>
      <c r="B498" s="617"/>
      <c r="C498" s="617"/>
      <c r="D498" s="561"/>
      <c r="E498" s="561"/>
      <c r="F498" s="561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</row>
    <row r="499">
      <c r="A499" s="551"/>
      <c r="B499" s="617"/>
      <c r="C499" s="617"/>
      <c r="D499" s="561"/>
      <c r="E499" s="561"/>
      <c r="F499" s="561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</row>
    <row r="500">
      <c r="A500" s="551"/>
      <c r="B500" s="617"/>
      <c r="C500" s="617"/>
      <c r="D500" s="561"/>
      <c r="E500" s="561"/>
      <c r="F500" s="561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</row>
    <row r="501">
      <c r="A501" s="551"/>
      <c r="B501" s="617"/>
      <c r="C501" s="617"/>
      <c r="D501" s="561"/>
      <c r="E501" s="561"/>
      <c r="F501" s="561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</row>
    <row r="502">
      <c r="A502" s="551"/>
      <c r="B502" s="617"/>
      <c r="C502" s="617"/>
      <c r="D502" s="561"/>
      <c r="E502" s="561"/>
      <c r="F502" s="561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</row>
    <row r="503">
      <c r="A503" s="551"/>
      <c r="B503" s="617"/>
      <c r="C503" s="617"/>
      <c r="D503" s="561"/>
      <c r="E503" s="561"/>
      <c r="F503" s="561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</row>
    <row r="504">
      <c r="A504" s="551"/>
      <c r="B504" s="617"/>
      <c r="C504" s="617"/>
      <c r="D504" s="561"/>
      <c r="E504" s="561"/>
      <c r="F504" s="561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</row>
    <row r="505">
      <c r="A505" s="551"/>
      <c r="B505" s="617"/>
      <c r="C505" s="617"/>
      <c r="D505" s="561"/>
      <c r="E505" s="561"/>
      <c r="F505" s="561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</row>
    <row r="506">
      <c r="A506" s="551"/>
      <c r="B506" s="617"/>
      <c r="C506" s="617"/>
      <c r="D506" s="561"/>
      <c r="E506" s="561"/>
      <c r="F506" s="561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</row>
    <row r="507">
      <c r="A507" s="551"/>
      <c r="B507" s="617"/>
      <c r="C507" s="617"/>
      <c r="D507" s="561"/>
      <c r="E507" s="561"/>
      <c r="F507" s="561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</row>
    <row r="508">
      <c r="A508" s="551"/>
      <c r="B508" s="617"/>
      <c r="C508" s="617"/>
      <c r="D508" s="561"/>
      <c r="E508" s="561"/>
      <c r="F508" s="561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</row>
    <row r="509">
      <c r="A509" s="551"/>
      <c r="B509" s="617"/>
      <c r="C509" s="617"/>
      <c r="D509" s="561"/>
      <c r="E509" s="561"/>
      <c r="F509" s="561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</row>
    <row r="510">
      <c r="A510" s="551"/>
      <c r="B510" s="617"/>
      <c r="C510" s="617"/>
      <c r="D510" s="561"/>
      <c r="E510" s="561"/>
      <c r="F510" s="561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</row>
    <row r="511">
      <c r="A511" s="551"/>
      <c r="B511" s="617"/>
      <c r="C511" s="617"/>
      <c r="D511" s="561"/>
      <c r="E511" s="561"/>
      <c r="F511" s="561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</row>
    <row r="512">
      <c r="A512" s="551"/>
      <c r="B512" s="617"/>
      <c r="C512" s="617"/>
      <c r="D512" s="561"/>
      <c r="E512" s="561"/>
      <c r="F512" s="561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</row>
    <row r="513">
      <c r="A513" s="551"/>
      <c r="B513" s="617"/>
      <c r="C513" s="617"/>
      <c r="D513" s="561"/>
      <c r="E513" s="561"/>
      <c r="F513" s="561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</row>
    <row r="514">
      <c r="A514" s="551"/>
      <c r="B514" s="617"/>
      <c r="C514" s="617"/>
      <c r="D514" s="561"/>
      <c r="E514" s="561"/>
      <c r="F514" s="561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</row>
    <row r="515">
      <c r="A515" s="551"/>
      <c r="B515" s="617"/>
      <c r="C515" s="617"/>
      <c r="D515" s="561"/>
      <c r="E515" s="561"/>
      <c r="F515" s="561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</row>
    <row r="516">
      <c r="A516" s="551"/>
      <c r="B516" s="617"/>
      <c r="C516" s="617"/>
      <c r="D516" s="561"/>
      <c r="E516" s="561"/>
      <c r="F516" s="561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</row>
    <row r="517">
      <c r="A517" s="551"/>
      <c r="B517" s="617"/>
      <c r="C517" s="617"/>
      <c r="D517" s="561"/>
      <c r="E517" s="561"/>
      <c r="F517" s="561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</row>
    <row r="518">
      <c r="A518" s="551"/>
      <c r="B518" s="617"/>
      <c r="C518" s="617"/>
      <c r="D518" s="561"/>
      <c r="E518" s="561"/>
      <c r="F518" s="561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</row>
    <row r="519">
      <c r="A519" s="551"/>
      <c r="B519" s="617"/>
      <c r="C519" s="617"/>
      <c r="D519" s="561"/>
      <c r="E519" s="561"/>
      <c r="F519" s="561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</row>
    <row r="520">
      <c r="A520" s="551"/>
      <c r="B520" s="617"/>
      <c r="C520" s="617"/>
      <c r="D520" s="561"/>
      <c r="E520" s="561"/>
      <c r="F520" s="561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</row>
    <row r="521">
      <c r="A521" s="551"/>
      <c r="B521" s="617"/>
      <c r="C521" s="617"/>
      <c r="D521" s="561"/>
      <c r="E521" s="561"/>
      <c r="F521" s="561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</row>
    <row r="522">
      <c r="A522" s="551"/>
      <c r="B522" s="617"/>
      <c r="C522" s="617"/>
      <c r="D522" s="561"/>
      <c r="E522" s="561"/>
      <c r="F522" s="561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</row>
    <row r="523">
      <c r="A523" s="551"/>
      <c r="B523" s="617"/>
      <c r="C523" s="617"/>
      <c r="D523" s="561"/>
      <c r="E523" s="561"/>
      <c r="F523" s="561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</row>
    <row r="524">
      <c r="A524" s="551"/>
      <c r="B524" s="617"/>
      <c r="C524" s="617"/>
      <c r="D524" s="561"/>
      <c r="E524" s="561"/>
      <c r="F524" s="561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</row>
    <row r="525">
      <c r="A525" s="551"/>
      <c r="B525" s="617"/>
      <c r="C525" s="617"/>
      <c r="D525" s="561"/>
      <c r="E525" s="561"/>
      <c r="F525" s="561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</row>
    <row r="526">
      <c r="A526" s="551"/>
      <c r="B526" s="617"/>
      <c r="C526" s="617"/>
      <c r="D526" s="561"/>
      <c r="E526" s="561"/>
      <c r="F526" s="561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</row>
    <row r="527">
      <c r="A527" s="551"/>
      <c r="B527" s="617"/>
      <c r="C527" s="617"/>
      <c r="D527" s="561"/>
      <c r="E527" s="561"/>
      <c r="F527" s="561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</row>
    <row r="528">
      <c r="A528" s="551"/>
      <c r="B528" s="617"/>
      <c r="C528" s="617"/>
      <c r="D528" s="561"/>
      <c r="E528" s="561"/>
      <c r="F528" s="561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</row>
    <row r="529">
      <c r="A529" s="551"/>
      <c r="B529" s="617"/>
      <c r="C529" s="617"/>
      <c r="D529" s="561"/>
      <c r="E529" s="561"/>
      <c r="F529" s="561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</row>
    <row r="530">
      <c r="A530" s="551"/>
      <c r="B530" s="617"/>
      <c r="C530" s="617"/>
      <c r="D530" s="561"/>
      <c r="E530" s="561"/>
      <c r="F530" s="561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</row>
    <row r="531">
      <c r="A531" s="551"/>
      <c r="B531" s="617"/>
      <c r="C531" s="617"/>
      <c r="D531" s="561"/>
      <c r="E531" s="561"/>
      <c r="F531" s="561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</row>
    <row r="532">
      <c r="A532" s="551"/>
      <c r="B532" s="617"/>
      <c r="C532" s="617"/>
      <c r="D532" s="561"/>
      <c r="E532" s="561"/>
      <c r="F532" s="561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</row>
    <row r="533">
      <c r="A533" s="551"/>
      <c r="B533" s="617"/>
      <c r="C533" s="617"/>
      <c r="D533" s="561"/>
      <c r="E533" s="561"/>
      <c r="F533" s="561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</row>
    <row r="534">
      <c r="A534" s="551"/>
      <c r="B534" s="617"/>
      <c r="C534" s="617"/>
      <c r="D534" s="561"/>
      <c r="E534" s="561"/>
      <c r="F534" s="561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</row>
    <row r="535">
      <c r="A535" s="551"/>
      <c r="B535" s="617"/>
      <c r="C535" s="617"/>
      <c r="D535" s="561"/>
      <c r="E535" s="561"/>
      <c r="F535" s="561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</row>
    <row r="536">
      <c r="A536" s="551"/>
      <c r="B536" s="617"/>
      <c r="C536" s="617"/>
      <c r="D536" s="561"/>
      <c r="E536" s="561"/>
      <c r="F536" s="561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</row>
    <row r="537">
      <c r="A537" s="551"/>
      <c r="B537" s="617"/>
      <c r="C537" s="617"/>
      <c r="D537" s="561"/>
      <c r="E537" s="561"/>
      <c r="F537" s="561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</row>
    <row r="538">
      <c r="A538" s="551"/>
      <c r="B538" s="617"/>
      <c r="C538" s="617"/>
      <c r="D538" s="561"/>
      <c r="E538" s="561"/>
      <c r="F538" s="561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</row>
    <row r="539">
      <c r="A539" s="551"/>
      <c r="B539" s="617"/>
      <c r="C539" s="617"/>
      <c r="D539" s="561"/>
      <c r="E539" s="561"/>
      <c r="F539" s="561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</row>
    <row r="540">
      <c r="A540" s="551"/>
      <c r="B540" s="617"/>
      <c r="C540" s="617"/>
      <c r="D540" s="561"/>
      <c r="E540" s="561"/>
      <c r="F540" s="561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</row>
    <row r="541">
      <c r="A541" s="551"/>
      <c r="B541" s="617"/>
      <c r="C541" s="617"/>
      <c r="D541" s="561"/>
      <c r="E541" s="561"/>
      <c r="F541" s="561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</row>
    <row r="542">
      <c r="A542" s="551"/>
      <c r="B542" s="617"/>
      <c r="C542" s="617"/>
      <c r="D542" s="561"/>
      <c r="E542" s="561"/>
      <c r="F542" s="561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</row>
    <row r="543">
      <c r="A543" s="551"/>
      <c r="B543" s="617"/>
      <c r="C543" s="617"/>
      <c r="D543" s="561"/>
      <c r="E543" s="561"/>
      <c r="F543" s="561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</row>
    <row r="544">
      <c r="A544" s="551"/>
      <c r="B544" s="617"/>
      <c r="C544" s="617"/>
      <c r="D544" s="561"/>
      <c r="E544" s="561"/>
      <c r="F544" s="561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</row>
    <row r="545">
      <c r="A545" s="551"/>
      <c r="B545" s="617"/>
      <c r="C545" s="617"/>
      <c r="D545" s="561"/>
      <c r="E545" s="561"/>
      <c r="F545" s="561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</row>
    <row r="546">
      <c r="A546" s="551"/>
      <c r="B546" s="617"/>
      <c r="C546" s="617"/>
      <c r="D546" s="561"/>
      <c r="E546" s="561"/>
      <c r="F546" s="561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</row>
    <row r="547">
      <c r="A547" s="551"/>
      <c r="B547" s="617"/>
      <c r="C547" s="617"/>
      <c r="D547" s="561"/>
      <c r="E547" s="561"/>
      <c r="F547" s="561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</row>
    <row r="548">
      <c r="A548" s="551"/>
      <c r="B548" s="617"/>
      <c r="C548" s="617"/>
      <c r="D548" s="561"/>
      <c r="E548" s="561"/>
      <c r="F548" s="561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</row>
    <row r="549">
      <c r="A549" s="551"/>
      <c r="B549" s="617"/>
      <c r="C549" s="617"/>
      <c r="D549" s="561"/>
      <c r="E549" s="561"/>
      <c r="F549" s="561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</row>
    <row r="550">
      <c r="A550" s="551"/>
      <c r="B550" s="617"/>
      <c r="C550" s="617"/>
      <c r="D550" s="561"/>
      <c r="E550" s="561"/>
      <c r="F550" s="561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</row>
    <row r="551">
      <c r="A551" s="551"/>
      <c r="B551" s="617"/>
      <c r="C551" s="617"/>
      <c r="D551" s="561"/>
      <c r="E551" s="561"/>
      <c r="F551" s="561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</row>
    <row r="552">
      <c r="A552" s="551"/>
      <c r="B552" s="617"/>
      <c r="C552" s="617"/>
      <c r="D552" s="561"/>
      <c r="E552" s="561"/>
      <c r="F552" s="561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</row>
    <row r="553">
      <c r="A553" s="551"/>
      <c r="B553" s="617"/>
      <c r="C553" s="617"/>
      <c r="D553" s="561"/>
      <c r="E553" s="561"/>
      <c r="F553" s="561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</row>
    <row r="554">
      <c r="A554" s="551"/>
      <c r="B554" s="617"/>
      <c r="C554" s="617"/>
      <c r="D554" s="561"/>
      <c r="E554" s="561"/>
      <c r="F554" s="561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</row>
    <row r="555">
      <c r="A555" s="551"/>
      <c r="B555" s="617"/>
      <c r="C555" s="617"/>
      <c r="D555" s="561"/>
      <c r="E555" s="561"/>
      <c r="F555" s="561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</row>
    <row r="556">
      <c r="A556" s="551"/>
      <c r="B556" s="617"/>
      <c r="C556" s="617"/>
      <c r="D556" s="561"/>
      <c r="E556" s="561"/>
      <c r="F556" s="561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</row>
    <row r="557">
      <c r="A557" s="551"/>
      <c r="B557" s="617"/>
      <c r="C557" s="617"/>
      <c r="D557" s="561"/>
      <c r="E557" s="561"/>
      <c r="F557" s="561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</row>
    <row r="558">
      <c r="A558" s="551"/>
      <c r="B558" s="617"/>
      <c r="C558" s="617"/>
      <c r="D558" s="561"/>
      <c r="E558" s="561"/>
      <c r="F558" s="561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</row>
    <row r="559">
      <c r="A559" s="551"/>
      <c r="B559" s="617"/>
      <c r="C559" s="617"/>
      <c r="D559" s="561"/>
      <c r="E559" s="561"/>
      <c r="F559" s="561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</row>
    <row r="560">
      <c r="A560" s="551"/>
      <c r="B560" s="617"/>
      <c r="C560" s="617"/>
      <c r="D560" s="561"/>
      <c r="E560" s="561"/>
      <c r="F560" s="561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</row>
    <row r="561">
      <c r="A561" s="551"/>
      <c r="B561" s="617"/>
      <c r="C561" s="617"/>
      <c r="D561" s="561"/>
      <c r="E561" s="561"/>
      <c r="F561" s="561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</row>
    <row r="562">
      <c r="A562" s="551"/>
      <c r="B562" s="617"/>
      <c r="C562" s="617"/>
      <c r="D562" s="561"/>
      <c r="E562" s="561"/>
      <c r="F562" s="561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</row>
    <row r="563">
      <c r="A563" s="551"/>
      <c r="B563" s="617"/>
      <c r="C563" s="617"/>
      <c r="D563" s="561"/>
      <c r="E563" s="561"/>
      <c r="F563" s="561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</row>
    <row r="564">
      <c r="A564" s="551"/>
      <c r="B564" s="617"/>
      <c r="C564" s="617"/>
      <c r="D564" s="561"/>
      <c r="E564" s="561"/>
      <c r="F564" s="561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</row>
    <row r="565">
      <c r="A565" s="551"/>
      <c r="B565" s="617"/>
      <c r="C565" s="617"/>
      <c r="D565" s="561"/>
      <c r="E565" s="561"/>
      <c r="F565" s="561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</row>
    <row r="566">
      <c r="A566" s="551"/>
      <c r="B566" s="617"/>
      <c r="C566" s="617"/>
      <c r="D566" s="561"/>
      <c r="E566" s="561"/>
      <c r="F566" s="561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</row>
    <row r="567">
      <c r="A567" s="551"/>
      <c r="B567" s="617"/>
      <c r="C567" s="617"/>
      <c r="D567" s="561"/>
      <c r="E567" s="561"/>
      <c r="F567" s="561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</row>
    <row r="568">
      <c r="A568" s="551"/>
      <c r="B568" s="617"/>
      <c r="C568" s="617"/>
      <c r="D568" s="561"/>
      <c r="E568" s="561"/>
      <c r="F568" s="561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</row>
    <row r="569">
      <c r="A569" s="551"/>
      <c r="B569" s="617"/>
      <c r="C569" s="617"/>
      <c r="D569" s="561"/>
      <c r="E569" s="561"/>
      <c r="F569" s="561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</row>
    <row r="570">
      <c r="A570" s="551"/>
      <c r="B570" s="617"/>
      <c r="C570" s="617"/>
      <c r="D570" s="561"/>
      <c r="E570" s="561"/>
      <c r="F570" s="561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</row>
    <row r="571">
      <c r="A571" s="551"/>
      <c r="B571" s="617"/>
      <c r="C571" s="617"/>
      <c r="D571" s="561"/>
      <c r="E571" s="561"/>
      <c r="F571" s="561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</row>
    <row r="572">
      <c r="A572" s="551"/>
      <c r="B572" s="617"/>
      <c r="C572" s="617"/>
      <c r="D572" s="561"/>
      <c r="E572" s="561"/>
      <c r="F572" s="561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</row>
    <row r="573">
      <c r="A573" s="551"/>
      <c r="B573" s="617"/>
      <c r="C573" s="617"/>
      <c r="D573" s="561"/>
      <c r="E573" s="561"/>
      <c r="F573" s="561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</row>
    <row r="574">
      <c r="A574" s="551"/>
      <c r="B574" s="617"/>
      <c r="C574" s="617"/>
      <c r="D574" s="561"/>
      <c r="E574" s="561"/>
      <c r="F574" s="561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</row>
    <row r="575">
      <c r="A575" s="551"/>
      <c r="B575" s="617"/>
      <c r="C575" s="617"/>
      <c r="D575" s="561"/>
      <c r="E575" s="561"/>
      <c r="F575" s="561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</row>
    <row r="576">
      <c r="A576" s="551"/>
      <c r="B576" s="617"/>
      <c r="C576" s="617"/>
      <c r="D576" s="561"/>
      <c r="E576" s="561"/>
      <c r="F576" s="561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</row>
    <row r="577">
      <c r="A577" s="551"/>
      <c r="B577" s="617"/>
      <c r="C577" s="617"/>
      <c r="D577" s="561"/>
      <c r="E577" s="561"/>
      <c r="F577" s="561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</row>
    <row r="578">
      <c r="A578" s="551"/>
      <c r="B578" s="617"/>
      <c r="C578" s="617"/>
      <c r="D578" s="561"/>
      <c r="E578" s="561"/>
      <c r="F578" s="561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</row>
    <row r="579">
      <c r="A579" s="551"/>
      <c r="B579" s="617"/>
      <c r="C579" s="617"/>
      <c r="D579" s="561"/>
      <c r="E579" s="561"/>
      <c r="F579" s="561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</row>
    <row r="580">
      <c r="A580" s="551"/>
      <c r="B580" s="617"/>
      <c r="C580" s="617"/>
      <c r="D580" s="561"/>
      <c r="E580" s="561"/>
      <c r="F580" s="561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</row>
    <row r="581">
      <c r="A581" s="551"/>
      <c r="B581" s="617"/>
      <c r="C581" s="617"/>
      <c r="D581" s="561"/>
      <c r="E581" s="561"/>
      <c r="F581" s="561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</row>
    <row r="582">
      <c r="A582" s="551"/>
      <c r="B582" s="617"/>
      <c r="C582" s="617"/>
      <c r="D582" s="561"/>
      <c r="E582" s="561"/>
      <c r="F582" s="561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</row>
    <row r="583">
      <c r="A583" s="551"/>
      <c r="B583" s="617"/>
      <c r="C583" s="617"/>
      <c r="D583" s="561"/>
      <c r="E583" s="561"/>
      <c r="F583" s="561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</row>
    <row r="584">
      <c r="A584" s="551"/>
      <c r="B584" s="617"/>
      <c r="C584" s="617"/>
      <c r="D584" s="561"/>
      <c r="E584" s="561"/>
      <c r="F584" s="561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</row>
    <row r="585">
      <c r="A585" s="551"/>
      <c r="B585" s="617"/>
      <c r="C585" s="617"/>
      <c r="D585" s="561"/>
      <c r="E585" s="561"/>
      <c r="F585" s="561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</row>
    <row r="586">
      <c r="A586" s="551"/>
      <c r="B586" s="617"/>
      <c r="C586" s="617"/>
      <c r="D586" s="561"/>
      <c r="E586" s="561"/>
      <c r="F586" s="561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</row>
    <row r="587">
      <c r="A587" s="551"/>
      <c r="B587" s="617"/>
      <c r="C587" s="617"/>
      <c r="D587" s="561"/>
      <c r="E587" s="561"/>
      <c r="F587" s="561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</row>
    <row r="588">
      <c r="A588" s="551"/>
      <c r="B588" s="617"/>
      <c r="C588" s="617"/>
      <c r="D588" s="561"/>
      <c r="E588" s="561"/>
      <c r="F588" s="561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</row>
    <row r="589">
      <c r="A589" s="551"/>
      <c r="B589" s="617"/>
      <c r="C589" s="617"/>
      <c r="D589" s="561"/>
      <c r="E589" s="561"/>
      <c r="F589" s="561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</row>
    <row r="590">
      <c r="A590" s="551"/>
      <c r="B590" s="617"/>
      <c r="C590" s="617"/>
      <c r="D590" s="561"/>
      <c r="E590" s="561"/>
      <c r="F590" s="561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</row>
    <row r="591">
      <c r="A591" s="551"/>
      <c r="B591" s="617"/>
      <c r="C591" s="617"/>
      <c r="D591" s="561"/>
      <c r="E591" s="561"/>
      <c r="F591" s="561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</row>
    <row r="592">
      <c r="A592" s="551"/>
      <c r="B592" s="617"/>
      <c r="C592" s="617"/>
      <c r="D592" s="561"/>
      <c r="E592" s="561"/>
      <c r="F592" s="561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</row>
    <row r="593">
      <c r="A593" s="551"/>
      <c r="B593" s="617"/>
      <c r="C593" s="617"/>
      <c r="D593" s="561"/>
      <c r="E593" s="561"/>
      <c r="F593" s="561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</row>
    <row r="594">
      <c r="A594" s="551"/>
      <c r="B594" s="617"/>
      <c r="C594" s="617"/>
      <c r="D594" s="561"/>
      <c r="E594" s="561"/>
      <c r="F594" s="561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</row>
    <row r="595">
      <c r="A595" s="551"/>
      <c r="B595" s="617"/>
      <c r="C595" s="617"/>
      <c r="D595" s="561"/>
      <c r="E595" s="561"/>
      <c r="F595" s="561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</row>
    <row r="596">
      <c r="A596" s="551"/>
      <c r="B596" s="617"/>
      <c r="C596" s="617"/>
      <c r="D596" s="561"/>
      <c r="E596" s="561"/>
      <c r="F596" s="561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</row>
    <row r="597">
      <c r="A597" s="551"/>
      <c r="B597" s="617"/>
      <c r="C597" s="617"/>
      <c r="D597" s="561"/>
      <c r="E597" s="561"/>
      <c r="F597" s="561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</row>
    <row r="598">
      <c r="A598" s="551"/>
      <c r="B598" s="617"/>
      <c r="C598" s="617"/>
      <c r="D598" s="561"/>
      <c r="E598" s="561"/>
      <c r="F598" s="561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</row>
    <row r="599">
      <c r="A599" s="551"/>
      <c r="B599" s="617"/>
      <c r="C599" s="617"/>
      <c r="D599" s="561"/>
      <c r="E599" s="561"/>
      <c r="F599" s="561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</row>
    <row r="600">
      <c r="A600" s="551"/>
      <c r="B600" s="617"/>
      <c r="C600" s="617"/>
      <c r="D600" s="561"/>
      <c r="E600" s="561"/>
      <c r="F600" s="561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</row>
    <row r="601">
      <c r="A601" s="551"/>
      <c r="B601" s="617"/>
      <c r="C601" s="617"/>
      <c r="D601" s="561"/>
      <c r="E601" s="561"/>
      <c r="F601" s="561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</row>
    <row r="602">
      <c r="A602" s="551"/>
      <c r="B602" s="617"/>
      <c r="C602" s="617"/>
      <c r="D602" s="561"/>
      <c r="E602" s="561"/>
      <c r="F602" s="561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</row>
    <row r="603">
      <c r="A603" s="551"/>
      <c r="B603" s="617"/>
      <c r="C603" s="617"/>
      <c r="D603" s="561"/>
      <c r="E603" s="561"/>
      <c r="F603" s="561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</row>
    <row r="604">
      <c r="A604" s="551"/>
      <c r="B604" s="617"/>
      <c r="C604" s="617"/>
      <c r="D604" s="561"/>
      <c r="E604" s="561"/>
      <c r="F604" s="561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</row>
    <row r="605">
      <c r="A605" s="551"/>
      <c r="B605" s="617"/>
      <c r="C605" s="617"/>
      <c r="D605" s="561"/>
      <c r="E605" s="561"/>
      <c r="F605" s="561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</row>
    <row r="606">
      <c r="A606" s="551"/>
      <c r="B606" s="617"/>
      <c r="C606" s="617"/>
      <c r="D606" s="561"/>
      <c r="E606" s="561"/>
      <c r="F606" s="561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</row>
    <row r="607">
      <c r="A607" s="551"/>
      <c r="B607" s="617"/>
      <c r="C607" s="617"/>
      <c r="D607" s="561"/>
      <c r="E607" s="561"/>
      <c r="F607" s="561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</row>
    <row r="608">
      <c r="A608" s="551"/>
      <c r="B608" s="617"/>
      <c r="C608" s="617"/>
      <c r="D608" s="561"/>
      <c r="E608" s="561"/>
      <c r="F608" s="561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</row>
    <row r="609">
      <c r="A609" s="551"/>
      <c r="B609" s="617"/>
      <c r="C609" s="617"/>
      <c r="D609" s="561"/>
      <c r="E609" s="561"/>
      <c r="F609" s="561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</row>
    <row r="610">
      <c r="A610" s="551"/>
      <c r="B610" s="617"/>
      <c r="C610" s="617"/>
      <c r="D610" s="561"/>
      <c r="E610" s="561"/>
      <c r="F610" s="561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</row>
    <row r="611">
      <c r="A611" s="551"/>
      <c r="B611" s="617"/>
      <c r="C611" s="617"/>
      <c r="D611" s="561"/>
      <c r="E611" s="561"/>
      <c r="F611" s="561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</row>
    <row r="612">
      <c r="A612" s="551"/>
      <c r="B612" s="617"/>
      <c r="C612" s="617"/>
      <c r="D612" s="561"/>
      <c r="E612" s="561"/>
      <c r="F612" s="561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</row>
    <row r="613">
      <c r="A613" s="551"/>
      <c r="B613" s="617"/>
      <c r="C613" s="617"/>
      <c r="D613" s="561"/>
      <c r="E613" s="561"/>
      <c r="F613" s="561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</row>
    <row r="614">
      <c r="A614" s="551"/>
      <c r="B614" s="617"/>
      <c r="C614" s="617"/>
      <c r="D614" s="561"/>
      <c r="E614" s="561"/>
      <c r="F614" s="561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</row>
    <row r="615">
      <c r="A615" s="551"/>
      <c r="B615" s="617"/>
      <c r="C615" s="617"/>
      <c r="D615" s="561"/>
      <c r="E615" s="561"/>
      <c r="F615" s="561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</row>
    <row r="616">
      <c r="A616" s="551"/>
      <c r="B616" s="617"/>
      <c r="C616" s="617"/>
      <c r="D616" s="561"/>
      <c r="E616" s="561"/>
      <c r="F616" s="561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</row>
    <row r="617">
      <c r="A617" s="551"/>
      <c r="B617" s="617"/>
      <c r="C617" s="617"/>
      <c r="D617" s="561"/>
      <c r="E617" s="561"/>
      <c r="F617" s="561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</row>
    <row r="618">
      <c r="A618" s="551"/>
      <c r="B618" s="617"/>
      <c r="C618" s="617"/>
      <c r="D618" s="561"/>
      <c r="E618" s="561"/>
      <c r="F618" s="561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</row>
    <row r="619">
      <c r="A619" s="551"/>
      <c r="B619" s="617"/>
      <c r="C619" s="617"/>
      <c r="D619" s="561"/>
      <c r="E619" s="561"/>
      <c r="F619" s="561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</row>
    <row r="620">
      <c r="A620" s="551"/>
      <c r="B620" s="617"/>
      <c r="C620" s="617"/>
      <c r="D620" s="561"/>
      <c r="E620" s="561"/>
      <c r="F620" s="561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</row>
    <row r="621">
      <c r="A621" s="551"/>
      <c r="B621" s="617"/>
      <c r="C621" s="617"/>
      <c r="D621" s="561"/>
      <c r="E621" s="561"/>
      <c r="F621" s="561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</row>
    <row r="622">
      <c r="A622" s="551"/>
      <c r="B622" s="617"/>
      <c r="C622" s="617"/>
      <c r="D622" s="561"/>
      <c r="E622" s="561"/>
      <c r="F622" s="561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</row>
    <row r="623">
      <c r="A623" s="551"/>
      <c r="B623" s="617"/>
      <c r="C623" s="617"/>
      <c r="D623" s="561"/>
      <c r="E623" s="561"/>
      <c r="F623" s="561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</row>
    <row r="624">
      <c r="A624" s="551"/>
      <c r="B624" s="617"/>
      <c r="C624" s="617"/>
      <c r="D624" s="561"/>
      <c r="E624" s="561"/>
      <c r="F624" s="561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</row>
    <row r="625">
      <c r="A625" s="551"/>
      <c r="B625" s="617"/>
      <c r="C625" s="617"/>
      <c r="D625" s="561"/>
      <c r="E625" s="561"/>
      <c r="F625" s="561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</row>
    <row r="626">
      <c r="A626" s="551"/>
      <c r="B626" s="617"/>
      <c r="C626" s="617"/>
      <c r="D626" s="561"/>
      <c r="E626" s="561"/>
      <c r="F626" s="561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</row>
    <row r="627">
      <c r="A627" s="551"/>
      <c r="B627" s="617"/>
      <c r="C627" s="617"/>
      <c r="D627" s="561"/>
      <c r="E627" s="561"/>
      <c r="F627" s="561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</row>
    <row r="628">
      <c r="A628" s="551"/>
      <c r="B628" s="617"/>
      <c r="C628" s="617"/>
      <c r="D628" s="561"/>
      <c r="E628" s="561"/>
      <c r="F628" s="561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</row>
    <row r="629">
      <c r="A629" s="551"/>
      <c r="B629" s="617"/>
      <c r="C629" s="617"/>
      <c r="D629" s="561"/>
      <c r="E629" s="561"/>
      <c r="F629" s="561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</row>
    <row r="630">
      <c r="A630" s="551"/>
      <c r="B630" s="617"/>
      <c r="C630" s="617"/>
      <c r="D630" s="561"/>
      <c r="E630" s="561"/>
      <c r="F630" s="561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</row>
    <row r="631">
      <c r="A631" s="551"/>
      <c r="B631" s="617"/>
      <c r="C631" s="617"/>
      <c r="D631" s="561"/>
      <c r="E631" s="561"/>
      <c r="F631" s="561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</row>
    <row r="632">
      <c r="A632" s="551"/>
      <c r="B632" s="617"/>
      <c r="C632" s="617"/>
      <c r="D632" s="561"/>
      <c r="E632" s="561"/>
      <c r="F632" s="561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</row>
    <row r="633">
      <c r="A633" s="551"/>
      <c r="B633" s="617"/>
      <c r="C633" s="617"/>
      <c r="D633" s="561"/>
      <c r="E633" s="561"/>
      <c r="F633" s="561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</row>
    <row r="634">
      <c r="A634" s="551"/>
      <c r="B634" s="617"/>
      <c r="C634" s="617"/>
      <c r="D634" s="561"/>
      <c r="E634" s="561"/>
      <c r="F634" s="561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</row>
    <row r="635">
      <c r="A635" s="551"/>
      <c r="B635" s="617"/>
      <c r="C635" s="617"/>
      <c r="D635" s="561"/>
      <c r="E635" s="561"/>
      <c r="F635" s="561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</row>
    <row r="636">
      <c r="A636" s="551"/>
      <c r="B636" s="617"/>
      <c r="C636" s="617"/>
      <c r="D636" s="561"/>
      <c r="E636" s="561"/>
      <c r="F636" s="561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</row>
    <row r="637">
      <c r="A637" s="551"/>
      <c r="B637" s="617"/>
      <c r="C637" s="617"/>
      <c r="D637" s="561"/>
      <c r="E637" s="561"/>
      <c r="F637" s="561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</row>
    <row r="638">
      <c r="A638" s="551"/>
      <c r="B638" s="617"/>
      <c r="C638" s="617"/>
      <c r="D638" s="561"/>
      <c r="E638" s="561"/>
      <c r="F638" s="561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</row>
    <row r="639">
      <c r="A639" s="551"/>
      <c r="B639" s="617"/>
      <c r="C639" s="617"/>
      <c r="D639" s="561"/>
      <c r="E639" s="561"/>
      <c r="F639" s="561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</row>
    <row r="640">
      <c r="A640" s="551"/>
      <c r="B640" s="617"/>
      <c r="C640" s="617"/>
      <c r="D640" s="561"/>
      <c r="E640" s="561"/>
      <c r="F640" s="561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</row>
    <row r="641">
      <c r="A641" s="551"/>
      <c r="B641" s="617"/>
      <c r="C641" s="617"/>
      <c r="D641" s="561"/>
      <c r="E641" s="561"/>
      <c r="F641" s="561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</row>
    <row r="642">
      <c r="A642" s="551"/>
      <c r="B642" s="617"/>
      <c r="C642" s="617"/>
      <c r="D642" s="561"/>
      <c r="E642" s="561"/>
      <c r="F642" s="561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</row>
    <row r="643">
      <c r="A643" s="551"/>
      <c r="B643" s="617"/>
      <c r="C643" s="617"/>
      <c r="D643" s="561"/>
      <c r="E643" s="561"/>
      <c r="F643" s="561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</row>
    <row r="644">
      <c r="A644" s="551"/>
      <c r="B644" s="617"/>
      <c r="C644" s="617"/>
      <c r="D644" s="561"/>
      <c r="E644" s="561"/>
      <c r="F644" s="561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</row>
    <row r="645">
      <c r="A645" s="551"/>
      <c r="B645" s="617"/>
      <c r="C645" s="617"/>
      <c r="D645" s="561"/>
      <c r="E645" s="561"/>
      <c r="F645" s="561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</row>
    <row r="646">
      <c r="A646" s="551"/>
      <c r="B646" s="617"/>
      <c r="C646" s="617"/>
      <c r="D646" s="561"/>
      <c r="E646" s="561"/>
      <c r="F646" s="561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</row>
    <row r="647">
      <c r="A647" s="551"/>
      <c r="B647" s="617"/>
      <c r="C647" s="617"/>
      <c r="D647" s="561"/>
      <c r="E647" s="561"/>
      <c r="F647" s="561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</row>
    <row r="648">
      <c r="A648" s="551"/>
      <c r="B648" s="617"/>
      <c r="C648" s="617"/>
      <c r="D648" s="561"/>
      <c r="E648" s="561"/>
      <c r="F648" s="561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</row>
    <row r="649">
      <c r="A649" s="551"/>
      <c r="B649" s="617"/>
      <c r="C649" s="617"/>
      <c r="D649" s="561"/>
      <c r="E649" s="561"/>
      <c r="F649" s="561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</row>
    <row r="650">
      <c r="A650" s="551"/>
      <c r="B650" s="617"/>
      <c r="C650" s="617"/>
      <c r="D650" s="561"/>
      <c r="E650" s="561"/>
      <c r="F650" s="561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</row>
    <row r="651">
      <c r="A651" s="551"/>
      <c r="B651" s="617"/>
      <c r="C651" s="617"/>
      <c r="D651" s="561"/>
      <c r="E651" s="561"/>
      <c r="F651" s="561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</row>
    <row r="652">
      <c r="A652" s="551"/>
      <c r="B652" s="617"/>
      <c r="C652" s="617"/>
      <c r="D652" s="561"/>
      <c r="E652" s="561"/>
      <c r="F652" s="561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</row>
    <row r="653">
      <c r="A653" s="551"/>
      <c r="B653" s="617"/>
      <c r="C653" s="617"/>
      <c r="D653" s="561"/>
      <c r="E653" s="561"/>
      <c r="F653" s="561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</row>
    <row r="654">
      <c r="A654" s="551"/>
      <c r="B654" s="617"/>
      <c r="C654" s="617"/>
      <c r="D654" s="561"/>
      <c r="E654" s="561"/>
      <c r="F654" s="561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</row>
    <row r="655">
      <c r="A655" s="551"/>
      <c r="B655" s="617"/>
      <c r="C655" s="617"/>
      <c r="D655" s="561"/>
      <c r="E655" s="561"/>
      <c r="F655" s="561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</row>
    <row r="656">
      <c r="A656" s="551"/>
      <c r="B656" s="617"/>
      <c r="C656" s="617"/>
      <c r="D656" s="561"/>
      <c r="E656" s="561"/>
      <c r="F656" s="561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</row>
    <row r="657">
      <c r="A657" s="551"/>
      <c r="B657" s="617"/>
      <c r="C657" s="617"/>
      <c r="D657" s="561"/>
      <c r="E657" s="561"/>
      <c r="F657" s="561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</row>
    <row r="658">
      <c r="A658" s="551"/>
      <c r="B658" s="617"/>
      <c r="C658" s="617"/>
      <c r="D658" s="561"/>
      <c r="E658" s="561"/>
      <c r="F658" s="561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</row>
    <row r="659">
      <c r="A659" s="551"/>
      <c r="B659" s="617"/>
      <c r="C659" s="617"/>
      <c r="D659" s="561"/>
      <c r="E659" s="561"/>
      <c r="F659" s="561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</row>
    <row r="660">
      <c r="A660" s="551"/>
      <c r="B660" s="617"/>
      <c r="C660" s="617"/>
      <c r="D660" s="561"/>
      <c r="E660" s="561"/>
      <c r="F660" s="561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</row>
    <row r="661">
      <c r="A661" s="551"/>
      <c r="B661" s="617"/>
      <c r="C661" s="617"/>
      <c r="D661" s="561"/>
      <c r="E661" s="561"/>
      <c r="F661" s="561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</row>
    <row r="662">
      <c r="A662" s="551"/>
      <c r="B662" s="617"/>
      <c r="C662" s="617"/>
      <c r="D662" s="561"/>
      <c r="E662" s="561"/>
      <c r="F662" s="561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</row>
    <row r="663">
      <c r="A663" s="551"/>
      <c r="B663" s="617"/>
      <c r="C663" s="617"/>
      <c r="D663" s="561"/>
      <c r="E663" s="561"/>
      <c r="F663" s="561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</row>
    <row r="664">
      <c r="A664" s="551"/>
      <c r="B664" s="617"/>
      <c r="C664" s="617"/>
      <c r="D664" s="561"/>
      <c r="E664" s="561"/>
      <c r="F664" s="561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</row>
    <row r="665">
      <c r="A665" s="551"/>
      <c r="B665" s="617"/>
      <c r="C665" s="617"/>
      <c r="D665" s="561"/>
      <c r="E665" s="561"/>
      <c r="F665" s="561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</row>
    <row r="666">
      <c r="A666" s="551"/>
      <c r="B666" s="617"/>
      <c r="C666" s="617"/>
      <c r="D666" s="561"/>
      <c r="E666" s="561"/>
      <c r="F666" s="561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</row>
    <row r="667">
      <c r="A667" s="551"/>
      <c r="B667" s="617"/>
      <c r="C667" s="617"/>
      <c r="D667" s="561"/>
      <c r="E667" s="561"/>
      <c r="F667" s="561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</row>
    <row r="668">
      <c r="A668" s="551"/>
      <c r="B668" s="617"/>
      <c r="C668" s="617"/>
      <c r="D668" s="561"/>
      <c r="E668" s="561"/>
      <c r="F668" s="561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</row>
    <row r="669">
      <c r="A669" s="551"/>
      <c r="B669" s="617"/>
      <c r="C669" s="617"/>
      <c r="D669" s="561"/>
      <c r="E669" s="561"/>
      <c r="F669" s="561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</row>
    <row r="670">
      <c r="A670" s="551"/>
      <c r="B670" s="617"/>
      <c r="C670" s="617"/>
      <c r="D670" s="561"/>
      <c r="E670" s="561"/>
      <c r="F670" s="561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</row>
    <row r="671">
      <c r="A671" s="551"/>
      <c r="B671" s="617"/>
      <c r="C671" s="617"/>
      <c r="D671" s="561"/>
      <c r="E671" s="561"/>
      <c r="F671" s="561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</row>
    <row r="672">
      <c r="A672" s="551"/>
      <c r="B672" s="617"/>
      <c r="C672" s="617"/>
      <c r="D672" s="561"/>
      <c r="E672" s="561"/>
      <c r="F672" s="561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</row>
    <row r="673">
      <c r="A673" s="551"/>
      <c r="B673" s="617"/>
      <c r="C673" s="617"/>
      <c r="D673" s="561"/>
      <c r="E673" s="561"/>
      <c r="F673" s="561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</row>
    <row r="674">
      <c r="A674" s="551"/>
      <c r="B674" s="617"/>
      <c r="C674" s="617"/>
      <c r="D674" s="561"/>
      <c r="E674" s="561"/>
      <c r="F674" s="561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</row>
    <row r="675">
      <c r="A675" s="551"/>
      <c r="B675" s="617"/>
      <c r="C675" s="617"/>
      <c r="D675" s="561"/>
      <c r="E675" s="561"/>
      <c r="F675" s="561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</row>
    <row r="676">
      <c r="A676" s="551"/>
      <c r="B676" s="617"/>
      <c r="C676" s="617"/>
      <c r="D676" s="561"/>
      <c r="E676" s="561"/>
      <c r="F676" s="561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</row>
    <row r="677">
      <c r="A677" s="551"/>
      <c r="B677" s="617"/>
      <c r="C677" s="617"/>
      <c r="D677" s="561"/>
      <c r="E677" s="561"/>
      <c r="F677" s="561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</row>
    <row r="678">
      <c r="A678" s="551"/>
      <c r="B678" s="617"/>
      <c r="C678" s="617"/>
      <c r="D678" s="561"/>
      <c r="E678" s="561"/>
      <c r="F678" s="561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</row>
    <row r="679">
      <c r="A679" s="551"/>
      <c r="B679" s="617"/>
      <c r="C679" s="617"/>
      <c r="D679" s="561"/>
      <c r="E679" s="561"/>
      <c r="F679" s="561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</row>
    <row r="680">
      <c r="A680" s="551"/>
      <c r="B680" s="617"/>
      <c r="C680" s="617"/>
      <c r="D680" s="561"/>
      <c r="E680" s="561"/>
      <c r="F680" s="561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</row>
    <row r="681">
      <c r="A681" s="551"/>
      <c r="B681" s="617"/>
      <c r="C681" s="617"/>
      <c r="D681" s="561"/>
      <c r="E681" s="561"/>
      <c r="F681" s="561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</row>
    <row r="682">
      <c r="A682" s="551"/>
      <c r="B682" s="617"/>
      <c r="C682" s="617"/>
      <c r="D682" s="561"/>
      <c r="E682" s="561"/>
      <c r="F682" s="561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</row>
    <row r="683">
      <c r="A683" s="551"/>
      <c r="B683" s="617"/>
      <c r="C683" s="617"/>
      <c r="D683" s="561"/>
      <c r="E683" s="561"/>
      <c r="F683" s="561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</row>
    <row r="684">
      <c r="A684" s="551"/>
      <c r="B684" s="617"/>
      <c r="C684" s="617"/>
      <c r="D684" s="561"/>
      <c r="E684" s="561"/>
      <c r="F684" s="561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</row>
    <row r="685">
      <c r="A685" s="551"/>
      <c r="B685" s="617"/>
      <c r="C685" s="617"/>
      <c r="D685" s="561"/>
      <c r="E685" s="561"/>
      <c r="F685" s="561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</row>
    <row r="686">
      <c r="A686" s="551"/>
      <c r="B686" s="617"/>
      <c r="C686" s="617"/>
      <c r="D686" s="561"/>
      <c r="E686" s="561"/>
      <c r="F686" s="561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</row>
    <row r="687">
      <c r="A687" s="551"/>
      <c r="B687" s="617"/>
      <c r="C687" s="617"/>
      <c r="D687" s="561"/>
      <c r="E687" s="561"/>
      <c r="F687" s="561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</row>
    <row r="688">
      <c r="A688" s="551"/>
      <c r="B688" s="617"/>
      <c r="C688" s="617"/>
      <c r="D688" s="561"/>
      <c r="E688" s="561"/>
      <c r="F688" s="561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</row>
    <row r="689">
      <c r="A689" s="551"/>
      <c r="B689" s="617"/>
      <c r="C689" s="617"/>
      <c r="D689" s="561"/>
      <c r="E689" s="561"/>
      <c r="F689" s="561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</row>
    <row r="690">
      <c r="A690" s="551"/>
      <c r="B690" s="617"/>
      <c r="C690" s="617"/>
      <c r="D690" s="561"/>
      <c r="E690" s="561"/>
      <c r="F690" s="561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</row>
    <row r="691">
      <c r="A691" s="551"/>
      <c r="B691" s="617"/>
      <c r="C691" s="617"/>
      <c r="D691" s="561"/>
      <c r="E691" s="561"/>
      <c r="F691" s="561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</row>
    <row r="692">
      <c r="A692" s="551"/>
      <c r="B692" s="617"/>
      <c r="C692" s="617"/>
      <c r="D692" s="561"/>
      <c r="E692" s="561"/>
      <c r="F692" s="561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</row>
    <row r="693">
      <c r="A693" s="551"/>
      <c r="B693" s="617"/>
      <c r="C693" s="617"/>
      <c r="D693" s="561"/>
      <c r="E693" s="561"/>
      <c r="F693" s="561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</row>
    <row r="694">
      <c r="A694" s="551"/>
      <c r="B694" s="617"/>
      <c r="C694" s="617"/>
      <c r="D694" s="561"/>
      <c r="E694" s="561"/>
      <c r="F694" s="561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</row>
    <row r="695">
      <c r="A695" s="551"/>
      <c r="B695" s="617"/>
      <c r="C695" s="617"/>
      <c r="D695" s="561"/>
      <c r="E695" s="561"/>
      <c r="F695" s="561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</row>
    <row r="696">
      <c r="A696" s="551"/>
      <c r="B696" s="617"/>
      <c r="C696" s="617"/>
      <c r="D696" s="561"/>
      <c r="E696" s="561"/>
      <c r="F696" s="561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</row>
    <row r="697">
      <c r="A697" s="551"/>
      <c r="B697" s="617"/>
      <c r="C697" s="617"/>
      <c r="D697" s="561"/>
      <c r="E697" s="561"/>
      <c r="F697" s="561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</row>
    <row r="698">
      <c r="A698" s="551"/>
      <c r="B698" s="617"/>
      <c r="C698" s="617"/>
      <c r="D698" s="561"/>
      <c r="E698" s="561"/>
      <c r="F698" s="561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</row>
    <row r="699">
      <c r="A699" s="551"/>
      <c r="B699" s="617"/>
      <c r="C699" s="617"/>
      <c r="D699" s="561"/>
      <c r="E699" s="561"/>
      <c r="F699" s="561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</row>
    <row r="700">
      <c r="A700" s="551"/>
      <c r="B700" s="617"/>
      <c r="C700" s="617"/>
      <c r="D700" s="561"/>
      <c r="E700" s="561"/>
      <c r="F700" s="561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</row>
    <row r="701">
      <c r="A701" s="551"/>
      <c r="B701" s="617"/>
      <c r="C701" s="617"/>
      <c r="D701" s="561"/>
      <c r="E701" s="561"/>
      <c r="F701" s="561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</row>
    <row r="702">
      <c r="A702" s="551"/>
      <c r="B702" s="617"/>
      <c r="C702" s="617"/>
      <c r="D702" s="561"/>
      <c r="E702" s="561"/>
      <c r="F702" s="561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</row>
    <row r="703">
      <c r="A703" s="551"/>
      <c r="B703" s="617"/>
      <c r="C703" s="617"/>
      <c r="D703" s="561"/>
      <c r="E703" s="561"/>
      <c r="F703" s="561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</row>
    <row r="704">
      <c r="A704" s="551"/>
      <c r="B704" s="617"/>
      <c r="C704" s="617"/>
      <c r="D704" s="561"/>
      <c r="E704" s="561"/>
      <c r="F704" s="561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</row>
    <row r="705">
      <c r="A705" s="551"/>
      <c r="B705" s="617"/>
      <c r="C705" s="617"/>
      <c r="D705" s="561"/>
      <c r="E705" s="561"/>
      <c r="F705" s="561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</row>
    <row r="706">
      <c r="A706" s="551"/>
      <c r="B706" s="617"/>
      <c r="C706" s="617"/>
      <c r="D706" s="561"/>
      <c r="E706" s="561"/>
      <c r="F706" s="561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</row>
    <row r="707">
      <c r="A707" s="551"/>
      <c r="B707" s="617"/>
      <c r="C707" s="617"/>
      <c r="D707" s="561"/>
      <c r="E707" s="561"/>
      <c r="F707" s="561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</row>
    <row r="708">
      <c r="A708" s="551"/>
      <c r="B708" s="617"/>
      <c r="C708" s="617"/>
      <c r="D708" s="561"/>
      <c r="E708" s="561"/>
      <c r="F708" s="561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</row>
    <row r="709">
      <c r="A709" s="551"/>
      <c r="B709" s="617"/>
      <c r="C709" s="617"/>
      <c r="D709" s="561"/>
      <c r="E709" s="561"/>
      <c r="F709" s="561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</row>
    <row r="710">
      <c r="A710" s="551"/>
      <c r="B710" s="617"/>
      <c r="C710" s="617"/>
      <c r="D710" s="561"/>
      <c r="E710" s="561"/>
      <c r="F710" s="561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</row>
    <row r="711">
      <c r="A711" s="551"/>
      <c r="B711" s="617"/>
      <c r="C711" s="617"/>
      <c r="D711" s="561"/>
      <c r="E711" s="561"/>
      <c r="F711" s="561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</row>
    <row r="712">
      <c r="A712" s="551"/>
      <c r="B712" s="617"/>
      <c r="C712" s="617"/>
      <c r="D712" s="561"/>
      <c r="E712" s="561"/>
      <c r="F712" s="561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</row>
    <row r="713">
      <c r="A713" s="551"/>
      <c r="B713" s="617"/>
      <c r="C713" s="617"/>
      <c r="D713" s="561"/>
      <c r="E713" s="561"/>
      <c r="F713" s="561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</row>
    <row r="714">
      <c r="A714" s="551"/>
      <c r="B714" s="617"/>
      <c r="C714" s="617"/>
      <c r="D714" s="561"/>
      <c r="E714" s="561"/>
      <c r="F714" s="561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</row>
    <row r="715">
      <c r="A715" s="551"/>
      <c r="B715" s="617"/>
      <c r="C715" s="617"/>
      <c r="D715" s="561"/>
      <c r="E715" s="561"/>
      <c r="F715" s="561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</row>
    <row r="716">
      <c r="A716" s="551"/>
      <c r="B716" s="617"/>
      <c r="C716" s="617"/>
      <c r="D716" s="561"/>
      <c r="E716" s="561"/>
      <c r="F716" s="561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</row>
    <row r="717">
      <c r="A717" s="551"/>
      <c r="B717" s="617"/>
      <c r="C717" s="617"/>
      <c r="D717" s="561"/>
      <c r="E717" s="561"/>
      <c r="F717" s="561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</row>
    <row r="718">
      <c r="A718" s="551"/>
      <c r="B718" s="617"/>
      <c r="C718" s="617"/>
      <c r="D718" s="561"/>
      <c r="E718" s="561"/>
      <c r="F718" s="561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</row>
    <row r="719">
      <c r="A719" s="551"/>
      <c r="B719" s="617"/>
      <c r="C719" s="617"/>
      <c r="D719" s="561"/>
      <c r="E719" s="561"/>
      <c r="F719" s="561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</row>
    <row r="720">
      <c r="A720" s="551"/>
      <c r="B720" s="617"/>
      <c r="C720" s="617"/>
      <c r="D720" s="561"/>
      <c r="E720" s="561"/>
      <c r="F720" s="561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</row>
    <row r="721">
      <c r="A721" s="551"/>
      <c r="B721" s="617"/>
      <c r="C721" s="617"/>
      <c r="D721" s="561"/>
      <c r="E721" s="561"/>
      <c r="F721" s="561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</row>
    <row r="722">
      <c r="A722" s="551"/>
      <c r="B722" s="617"/>
      <c r="C722" s="617"/>
      <c r="D722" s="561"/>
      <c r="E722" s="561"/>
      <c r="F722" s="561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</row>
    <row r="723">
      <c r="A723" s="551"/>
      <c r="B723" s="617"/>
      <c r="C723" s="617"/>
      <c r="D723" s="561"/>
      <c r="E723" s="561"/>
      <c r="F723" s="561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</row>
    <row r="724">
      <c r="A724" s="551"/>
      <c r="B724" s="617"/>
      <c r="C724" s="617"/>
      <c r="D724" s="561"/>
      <c r="E724" s="561"/>
      <c r="F724" s="561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</row>
    <row r="725">
      <c r="A725" s="551"/>
      <c r="B725" s="617"/>
      <c r="C725" s="617"/>
      <c r="D725" s="561"/>
      <c r="E725" s="561"/>
      <c r="F725" s="561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</row>
    <row r="726">
      <c r="A726" s="551"/>
      <c r="B726" s="617"/>
      <c r="C726" s="617"/>
      <c r="D726" s="561"/>
      <c r="E726" s="561"/>
      <c r="F726" s="561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</row>
    <row r="727">
      <c r="A727" s="551"/>
      <c r="B727" s="617"/>
      <c r="C727" s="617"/>
      <c r="D727" s="561"/>
      <c r="E727" s="561"/>
      <c r="F727" s="561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</row>
    <row r="728">
      <c r="A728" s="551"/>
      <c r="B728" s="617"/>
      <c r="C728" s="617"/>
      <c r="D728" s="561"/>
      <c r="E728" s="561"/>
      <c r="F728" s="561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</row>
    <row r="729">
      <c r="A729" s="551"/>
      <c r="B729" s="617"/>
      <c r="C729" s="617"/>
      <c r="D729" s="561"/>
      <c r="E729" s="561"/>
      <c r="F729" s="561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</row>
    <row r="730">
      <c r="A730" s="551"/>
      <c r="B730" s="617"/>
      <c r="C730" s="617"/>
      <c r="D730" s="561"/>
      <c r="E730" s="561"/>
      <c r="F730" s="561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</row>
    <row r="731">
      <c r="A731" s="551"/>
      <c r="B731" s="617"/>
      <c r="C731" s="617"/>
      <c r="D731" s="561"/>
      <c r="E731" s="561"/>
      <c r="F731" s="561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</row>
    <row r="732">
      <c r="A732" s="551"/>
      <c r="B732" s="617"/>
      <c r="C732" s="617"/>
      <c r="D732" s="561"/>
      <c r="E732" s="561"/>
      <c r="F732" s="561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</row>
    <row r="733">
      <c r="A733" s="551"/>
      <c r="B733" s="617"/>
      <c r="C733" s="617"/>
      <c r="D733" s="561"/>
      <c r="E733" s="561"/>
      <c r="F733" s="561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</row>
    <row r="734">
      <c r="A734" s="551"/>
      <c r="B734" s="617"/>
      <c r="C734" s="617"/>
      <c r="D734" s="561"/>
      <c r="E734" s="561"/>
      <c r="F734" s="561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</row>
    <row r="735">
      <c r="A735" s="551"/>
      <c r="B735" s="617"/>
      <c r="C735" s="617"/>
      <c r="D735" s="561"/>
      <c r="E735" s="561"/>
      <c r="F735" s="561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</row>
    <row r="736">
      <c r="A736" s="551"/>
      <c r="B736" s="617"/>
      <c r="C736" s="617"/>
      <c r="D736" s="561"/>
      <c r="E736" s="561"/>
      <c r="F736" s="561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</row>
    <row r="737">
      <c r="A737" s="551"/>
      <c r="B737" s="617"/>
      <c r="C737" s="617"/>
      <c r="D737" s="561"/>
      <c r="E737" s="561"/>
      <c r="F737" s="561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</row>
    <row r="738">
      <c r="A738" s="551"/>
      <c r="B738" s="617"/>
      <c r="C738" s="617"/>
      <c r="D738" s="561"/>
      <c r="E738" s="561"/>
      <c r="F738" s="561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</row>
    <row r="739">
      <c r="A739" s="551"/>
      <c r="B739" s="617"/>
      <c r="C739" s="617"/>
      <c r="D739" s="561"/>
      <c r="E739" s="561"/>
      <c r="F739" s="561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</row>
    <row r="740">
      <c r="A740" s="551"/>
      <c r="B740" s="617"/>
      <c r="C740" s="617"/>
      <c r="D740" s="561"/>
      <c r="E740" s="561"/>
      <c r="F740" s="561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</row>
    <row r="741">
      <c r="A741" s="551"/>
      <c r="B741" s="617"/>
      <c r="C741" s="617"/>
      <c r="D741" s="561"/>
      <c r="E741" s="561"/>
      <c r="F741" s="561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</row>
    <row r="742">
      <c r="A742" s="551"/>
      <c r="B742" s="617"/>
      <c r="C742" s="617"/>
      <c r="D742" s="561"/>
      <c r="E742" s="561"/>
      <c r="F742" s="561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</row>
    <row r="743">
      <c r="A743" s="551"/>
      <c r="B743" s="617"/>
      <c r="C743" s="617"/>
      <c r="D743" s="561"/>
      <c r="E743" s="561"/>
      <c r="F743" s="561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</row>
    <row r="744">
      <c r="A744" s="551"/>
      <c r="B744" s="617"/>
      <c r="C744" s="617"/>
      <c r="D744" s="561"/>
      <c r="E744" s="561"/>
      <c r="F744" s="561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</row>
    <row r="745">
      <c r="A745" s="551"/>
      <c r="B745" s="617"/>
      <c r="C745" s="617"/>
      <c r="D745" s="561"/>
      <c r="E745" s="561"/>
      <c r="F745" s="561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</row>
    <row r="746">
      <c r="A746" s="551"/>
      <c r="B746" s="617"/>
      <c r="C746" s="617"/>
      <c r="D746" s="561"/>
      <c r="E746" s="561"/>
      <c r="F746" s="561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</row>
    <row r="747">
      <c r="A747" s="551"/>
      <c r="B747" s="617"/>
      <c r="C747" s="617"/>
      <c r="D747" s="561"/>
      <c r="E747" s="561"/>
      <c r="F747" s="561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</row>
    <row r="748">
      <c r="A748" s="551"/>
      <c r="B748" s="617"/>
      <c r="C748" s="617"/>
      <c r="D748" s="561"/>
      <c r="E748" s="561"/>
      <c r="F748" s="561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</row>
    <row r="749">
      <c r="A749" s="551"/>
      <c r="B749" s="617"/>
      <c r="C749" s="617"/>
      <c r="D749" s="561"/>
      <c r="E749" s="561"/>
      <c r="F749" s="561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</row>
    <row r="750">
      <c r="A750" s="551"/>
      <c r="B750" s="617"/>
      <c r="C750" s="617"/>
      <c r="D750" s="561"/>
      <c r="E750" s="561"/>
      <c r="F750" s="561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</row>
    <row r="751">
      <c r="A751" s="551"/>
      <c r="B751" s="617"/>
      <c r="C751" s="617"/>
      <c r="D751" s="561"/>
      <c r="E751" s="561"/>
      <c r="F751" s="561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</row>
    <row r="752">
      <c r="A752" s="551"/>
      <c r="B752" s="617"/>
      <c r="C752" s="617"/>
      <c r="D752" s="561"/>
      <c r="E752" s="561"/>
      <c r="F752" s="561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</row>
    <row r="753">
      <c r="A753" s="551"/>
      <c r="B753" s="617"/>
      <c r="C753" s="617"/>
      <c r="D753" s="561"/>
      <c r="E753" s="561"/>
      <c r="F753" s="561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</row>
    <row r="754">
      <c r="A754" s="551"/>
      <c r="B754" s="617"/>
      <c r="C754" s="617"/>
      <c r="D754" s="561"/>
      <c r="E754" s="561"/>
      <c r="F754" s="561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</row>
    <row r="755">
      <c r="A755" s="551"/>
      <c r="B755" s="617"/>
      <c r="C755" s="617"/>
      <c r="D755" s="561"/>
      <c r="E755" s="561"/>
      <c r="F755" s="561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</row>
    <row r="756">
      <c r="A756" s="551"/>
      <c r="B756" s="617"/>
      <c r="C756" s="617"/>
      <c r="D756" s="561"/>
      <c r="E756" s="561"/>
      <c r="F756" s="561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</row>
    <row r="757">
      <c r="A757" s="551"/>
      <c r="B757" s="617"/>
      <c r="C757" s="617"/>
      <c r="D757" s="561"/>
      <c r="E757" s="561"/>
      <c r="F757" s="561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</row>
    <row r="758">
      <c r="A758" s="551"/>
      <c r="B758" s="617"/>
      <c r="C758" s="617"/>
      <c r="D758" s="561"/>
      <c r="E758" s="561"/>
      <c r="F758" s="561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</row>
    <row r="759">
      <c r="A759" s="551"/>
      <c r="B759" s="617"/>
      <c r="C759" s="617"/>
      <c r="D759" s="561"/>
      <c r="E759" s="561"/>
      <c r="F759" s="561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</row>
    <row r="760">
      <c r="A760" s="551"/>
      <c r="B760" s="617"/>
      <c r="C760" s="617"/>
      <c r="D760" s="561"/>
      <c r="E760" s="561"/>
      <c r="F760" s="561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</row>
    <row r="761">
      <c r="A761" s="551"/>
      <c r="B761" s="617"/>
      <c r="C761" s="617"/>
      <c r="D761" s="561"/>
      <c r="E761" s="561"/>
      <c r="F761" s="561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</row>
    <row r="762">
      <c r="A762" s="551"/>
      <c r="B762" s="617"/>
      <c r="C762" s="617"/>
      <c r="D762" s="561"/>
      <c r="E762" s="561"/>
      <c r="F762" s="561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</row>
    <row r="763">
      <c r="A763" s="551"/>
      <c r="B763" s="617"/>
      <c r="C763" s="617"/>
      <c r="D763" s="561"/>
      <c r="E763" s="561"/>
      <c r="F763" s="561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</row>
    <row r="764">
      <c r="A764" s="551"/>
      <c r="B764" s="617"/>
      <c r="C764" s="617"/>
      <c r="D764" s="561"/>
      <c r="E764" s="561"/>
      <c r="F764" s="561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</row>
    <row r="765">
      <c r="A765" s="551"/>
      <c r="B765" s="617"/>
      <c r="C765" s="617"/>
      <c r="D765" s="561"/>
      <c r="E765" s="561"/>
      <c r="F765" s="561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</row>
    <row r="766">
      <c r="A766" s="551"/>
      <c r="B766" s="617"/>
      <c r="C766" s="617"/>
      <c r="D766" s="561"/>
      <c r="E766" s="561"/>
      <c r="F766" s="561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</row>
    <row r="767">
      <c r="A767" s="551"/>
      <c r="B767" s="617"/>
      <c r="C767" s="617"/>
      <c r="D767" s="561"/>
      <c r="E767" s="561"/>
      <c r="F767" s="561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</row>
    <row r="768">
      <c r="A768" s="551"/>
      <c r="B768" s="617"/>
      <c r="C768" s="617"/>
      <c r="D768" s="561"/>
      <c r="E768" s="561"/>
      <c r="F768" s="561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</row>
    <row r="769">
      <c r="A769" s="551"/>
      <c r="B769" s="617"/>
      <c r="C769" s="617"/>
      <c r="D769" s="561"/>
      <c r="E769" s="561"/>
      <c r="F769" s="561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</row>
    <row r="770">
      <c r="A770" s="551"/>
      <c r="B770" s="617"/>
      <c r="C770" s="617"/>
      <c r="D770" s="561"/>
      <c r="E770" s="561"/>
      <c r="F770" s="561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</row>
    <row r="771">
      <c r="A771" s="551"/>
      <c r="B771" s="617"/>
      <c r="C771" s="617"/>
      <c r="D771" s="561"/>
      <c r="E771" s="561"/>
      <c r="F771" s="561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</row>
    <row r="772">
      <c r="A772" s="551"/>
      <c r="B772" s="617"/>
      <c r="C772" s="617"/>
      <c r="D772" s="561"/>
      <c r="E772" s="561"/>
      <c r="F772" s="561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</row>
    <row r="773">
      <c r="A773" s="551"/>
      <c r="B773" s="617"/>
      <c r="C773" s="617"/>
      <c r="D773" s="561"/>
      <c r="E773" s="561"/>
      <c r="F773" s="561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</row>
    <row r="774">
      <c r="A774" s="551"/>
      <c r="B774" s="617"/>
      <c r="C774" s="617"/>
      <c r="D774" s="561"/>
      <c r="E774" s="561"/>
      <c r="F774" s="561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</row>
    <row r="775">
      <c r="A775" s="551"/>
      <c r="B775" s="617"/>
      <c r="C775" s="617"/>
      <c r="D775" s="561"/>
      <c r="E775" s="561"/>
      <c r="F775" s="561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</row>
    <row r="776">
      <c r="A776" s="551"/>
      <c r="B776" s="617"/>
      <c r="C776" s="617"/>
      <c r="D776" s="561"/>
      <c r="E776" s="561"/>
      <c r="F776" s="561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</row>
    <row r="777">
      <c r="A777" s="551"/>
      <c r="B777" s="617"/>
      <c r="C777" s="617"/>
      <c r="D777" s="561"/>
      <c r="E777" s="561"/>
      <c r="F777" s="561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</row>
    <row r="778">
      <c r="A778" s="551"/>
      <c r="B778" s="617"/>
      <c r="C778" s="617"/>
      <c r="D778" s="561"/>
      <c r="E778" s="561"/>
      <c r="F778" s="561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</row>
    <row r="779">
      <c r="A779" s="551"/>
      <c r="B779" s="617"/>
      <c r="C779" s="617"/>
      <c r="D779" s="561"/>
      <c r="E779" s="561"/>
      <c r="F779" s="561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</row>
    <row r="780">
      <c r="A780" s="551"/>
      <c r="B780" s="617"/>
      <c r="C780" s="617"/>
      <c r="D780" s="561"/>
      <c r="E780" s="561"/>
      <c r="F780" s="561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</row>
    <row r="781">
      <c r="A781" s="551"/>
      <c r="B781" s="617"/>
      <c r="C781" s="617"/>
      <c r="D781" s="561"/>
      <c r="E781" s="561"/>
      <c r="F781" s="561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</row>
    <row r="782">
      <c r="A782" s="551"/>
      <c r="B782" s="617"/>
      <c r="C782" s="617"/>
      <c r="D782" s="561"/>
      <c r="E782" s="561"/>
      <c r="F782" s="561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</row>
    <row r="783">
      <c r="A783" s="551"/>
      <c r="B783" s="617"/>
      <c r="C783" s="617"/>
      <c r="D783" s="561"/>
      <c r="E783" s="561"/>
      <c r="F783" s="561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</row>
    <row r="784">
      <c r="A784" s="551"/>
      <c r="B784" s="617"/>
      <c r="C784" s="617"/>
      <c r="D784" s="561"/>
      <c r="E784" s="561"/>
      <c r="F784" s="561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</row>
    <row r="785">
      <c r="A785" s="551"/>
      <c r="B785" s="617"/>
      <c r="C785" s="617"/>
      <c r="D785" s="561"/>
      <c r="E785" s="561"/>
      <c r="F785" s="561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</row>
    <row r="786">
      <c r="A786" s="551"/>
      <c r="B786" s="617"/>
      <c r="C786" s="617"/>
      <c r="D786" s="561"/>
      <c r="E786" s="561"/>
      <c r="F786" s="561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</row>
    <row r="787">
      <c r="A787" s="551"/>
      <c r="B787" s="617"/>
      <c r="C787" s="617"/>
      <c r="D787" s="561"/>
      <c r="E787" s="561"/>
      <c r="F787" s="561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</row>
    <row r="788">
      <c r="A788" s="551"/>
      <c r="B788" s="617"/>
      <c r="C788" s="617"/>
      <c r="D788" s="561"/>
      <c r="E788" s="561"/>
      <c r="F788" s="561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</row>
    <row r="789">
      <c r="A789" s="551"/>
      <c r="B789" s="617"/>
      <c r="C789" s="617"/>
      <c r="D789" s="561"/>
      <c r="E789" s="561"/>
      <c r="F789" s="561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</row>
    <row r="790">
      <c r="A790" s="551"/>
      <c r="B790" s="617"/>
      <c r="C790" s="617"/>
      <c r="D790" s="561"/>
      <c r="E790" s="561"/>
      <c r="F790" s="561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</row>
    <row r="791">
      <c r="A791" s="551"/>
      <c r="B791" s="617"/>
      <c r="C791" s="617"/>
      <c r="D791" s="561"/>
      <c r="E791" s="561"/>
      <c r="F791" s="561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</row>
    <row r="792">
      <c r="A792" s="551"/>
      <c r="B792" s="617"/>
      <c r="C792" s="617"/>
      <c r="D792" s="561"/>
      <c r="E792" s="561"/>
      <c r="F792" s="561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</row>
    <row r="793">
      <c r="A793" s="551"/>
      <c r="B793" s="617"/>
      <c r="C793" s="617"/>
      <c r="D793" s="561"/>
      <c r="E793" s="561"/>
      <c r="F793" s="561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</row>
    <row r="794">
      <c r="A794" s="551"/>
      <c r="B794" s="617"/>
      <c r="C794" s="617"/>
      <c r="D794" s="561"/>
      <c r="E794" s="561"/>
      <c r="F794" s="561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</row>
    <row r="795">
      <c r="A795" s="551"/>
      <c r="B795" s="617"/>
      <c r="C795" s="617"/>
      <c r="D795" s="561"/>
      <c r="E795" s="561"/>
      <c r="F795" s="561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</row>
    <row r="796">
      <c r="A796" s="551"/>
      <c r="B796" s="617"/>
      <c r="C796" s="617"/>
      <c r="D796" s="561"/>
      <c r="E796" s="561"/>
      <c r="F796" s="561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</row>
    <row r="797">
      <c r="A797" s="551"/>
      <c r="B797" s="617"/>
      <c r="C797" s="617"/>
      <c r="D797" s="561"/>
      <c r="E797" s="561"/>
      <c r="F797" s="561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</row>
    <row r="798">
      <c r="A798" s="551"/>
      <c r="B798" s="617"/>
      <c r="C798" s="617"/>
      <c r="D798" s="561"/>
      <c r="E798" s="561"/>
      <c r="F798" s="561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</row>
    <row r="799">
      <c r="A799" s="551"/>
      <c r="B799" s="617"/>
      <c r="C799" s="617"/>
      <c r="D799" s="561"/>
      <c r="E799" s="561"/>
      <c r="F799" s="561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</row>
    <row r="800">
      <c r="A800" s="551"/>
      <c r="B800" s="617"/>
      <c r="C800" s="617"/>
      <c r="D800" s="561"/>
      <c r="E800" s="561"/>
      <c r="F800" s="561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</row>
    <row r="801">
      <c r="A801" s="551"/>
      <c r="B801" s="617"/>
      <c r="C801" s="617"/>
      <c r="D801" s="561"/>
      <c r="E801" s="561"/>
      <c r="F801" s="561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</row>
    <row r="802">
      <c r="A802" s="551"/>
      <c r="B802" s="617"/>
      <c r="C802" s="617"/>
      <c r="D802" s="561"/>
      <c r="E802" s="561"/>
      <c r="F802" s="561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</row>
    <row r="803">
      <c r="A803" s="551"/>
      <c r="B803" s="617"/>
      <c r="C803" s="617"/>
      <c r="D803" s="561"/>
      <c r="E803" s="561"/>
      <c r="F803" s="561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</row>
    <row r="804">
      <c r="A804" s="551"/>
      <c r="B804" s="617"/>
      <c r="C804" s="617"/>
      <c r="D804" s="561"/>
      <c r="E804" s="561"/>
      <c r="F804" s="561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</row>
    <row r="805">
      <c r="A805" s="551"/>
      <c r="B805" s="617"/>
      <c r="C805" s="617"/>
      <c r="D805" s="561"/>
      <c r="E805" s="561"/>
      <c r="F805" s="561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</row>
    <row r="806">
      <c r="A806" s="551"/>
      <c r="B806" s="617"/>
      <c r="C806" s="617"/>
      <c r="D806" s="561"/>
      <c r="E806" s="561"/>
      <c r="F806" s="561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</row>
    <row r="807">
      <c r="A807" s="551"/>
      <c r="B807" s="617"/>
      <c r="C807" s="617"/>
      <c r="D807" s="561"/>
      <c r="E807" s="561"/>
      <c r="F807" s="561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</row>
    <row r="808">
      <c r="A808" s="551"/>
      <c r="B808" s="617"/>
      <c r="C808" s="617"/>
      <c r="D808" s="561"/>
      <c r="E808" s="561"/>
      <c r="F808" s="561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</row>
    <row r="809">
      <c r="A809" s="551"/>
      <c r="B809" s="617"/>
      <c r="C809" s="617"/>
      <c r="D809" s="561"/>
      <c r="E809" s="561"/>
      <c r="F809" s="561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</row>
    <row r="810">
      <c r="A810" s="551"/>
      <c r="B810" s="617"/>
      <c r="C810" s="617"/>
      <c r="D810" s="561"/>
      <c r="E810" s="561"/>
      <c r="F810" s="561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</row>
    <row r="811">
      <c r="A811" s="551"/>
      <c r="B811" s="617"/>
      <c r="C811" s="617"/>
      <c r="D811" s="561"/>
      <c r="E811" s="561"/>
      <c r="F811" s="561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</row>
    <row r="812">
      <c r="A812" s="551"/>
      <c r="B812" s="617"/>
      <c r="C812" s="617"/>
      <c r="D812" s="561"/>
      <c r="E812" s="561"/>
      <c r="F812" s="561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</row>
    <row r="813">
      <c r="A813" s="551"/>
      <c r="B813" s="617"/>
      <c r="C813" s="617"/>
      <c r="D813" s="561"/>
      <c r="E813" s="561"/>
      <c r="F813" s="561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</row>
    <row r="814">
      <c r="A814" s="551"/>
      <c r="B814" s="617"/>
      <c r="C814" s="617"/>
      <c r="D814" s="561"/>
      <c r="E814" s="561"/>
      <c r="F814" s="561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</row>
    <row r="815">
      <c r="A815" s="551"/>
      <c r="B815" s="617"/>
      <c r="C815" s="617"/>
      <c r="D815" s="561"/>
      <c r="E815" s="561"/>
      <c r="F815" s="561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</row>
    <row r="816">
      <c r="A816" s="551"/>
      <c r="B816" s="617"/>
      <c r="C816" s="617"/>
      <c r="D816" s="561"/>
      <c r="E816" s="561"/>
      <c r="F816" s="561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</row>
    <row r="817">
      <c r="A817" s="551"/>
      <c r="B817" s="617"/>
      <c r="C817" s="617"/>
      <c r="D817" s="561"/>
      <c r="E817" s="561"/>
      <c r="F817" s="561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</row>
    <row r="818">
      <c r="A818" s="551"/>
      <c r="B818" s="617"/>
      <c r="C818" s="617"/>
      <c r="D818" s="561"/>
      <c r="E818" s="561"/>
      <c r="F818" s="561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</row>
    <row r="819">
      <c r="A819" s="551"/>
      <c r="B819" s="617"/>
      <c r="C819" s="617"/>
      <c r="D819" s="561"/>
      <c r="E819" s="561"/>
      <c r="F819" s="561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</row>
    <row r="820">
      <c r="A820" s="551"/>
      <c r="B820" s="617"/>
      <c r="C820" s="617"/>
      <c r="D820" s="561"/>
      <c r="E820" s="561"/>
      <c r="F820" s="561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</row>
    <row r="821">
      <c r="A821" s="551"/>
      <c r="B821" s="617"/>
      <c r="C821" s="617"/>
      <c r="D821" s="561"/>
      <c r="E821" s="561"/>
      <c r="F821" s="561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</row>
    <row r="822">
      <c r="A822" s="551"/>
      <c r="B822" s="617"/>
      <c r="C822" s="617"/>
      <c r="D822" s="561"/>
      <c r="E822" s="561"/>
      <c r="F822" s="561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</row>
    <row r="823">
      <c r="A823" s="551"/>
      <c r="B823" s="617"/>
      <c r="C823" s="617"/>
      <c r="D823" s="561"/>
      <c r="E823" s="561"/>
      <c r="F823" s="561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</row>
    <row r="824">
      <c r="A824" s="551"/>
      <c r="B824" s="617"/>
      <c r="C824" s="617"/>
      <c r="D824" s="561"/>
      <c r="E824" s="561"/>
      <c r="F824" s="561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</row>
    <row r="825">
      <c r="A825" s="551"/>
      <c r="B825" s="617"/>
      <c r="C825" s="617"/>
      <c r="D825" s="561"/>
      <c r="E825" s="561"/>
      <c r="F825" s="561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</row>
    <row r="826">
      <c r="A826" s="551"/>
      <c r="B826" s="617"/>
      <c r="C826" s="617"/>
      <c r="D826" s="561"/>
      <c r="E826" s="561"/>
      <c r="F826" s="561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</row>
    <row r="827">
      <c r="A827" s="551"/>
      <c r="B827" s="617"/>
      <c r="C827" s="617"/>
      <c r="D827" s="561"/>
      <c r="E827" s="561"/>
      <c r="F827" s="561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</row>
    <row r="828">
      <c r="A828" s="551"/>
      <c r="B828" s="617"/>
      <c r="C828" s="617"/>
      <c r="D828" s="561"/>
      <c r="E828" s="561"/>
      <c r="F828" s="561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</row>
    <row r="829">
      <c r="A829" s="551"/>
      <c r="B829" s="617"/>
      <c r="C829" s="617"/>
      <c r="D829" s="561"/>
      <c r="E829" s="561"/>
      <c r="F829" s="561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</row>
    <row r="830">
      <c r="A830" s="551"/>
      <c r="B830" s="617"/>
      <c r="C830" s="617"/>
      <c r="D830" s="561"/>
      <c r="E830" s="561"/>
      <c r="F830" s="561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</row>
    <row r="831">
      <c r="A831" s="551"/>
      <c r="B831" s="617"/>
      <c r="C831" s="617"/>
      <c r="D831" s="561"/>
      <c r="E831" s="561"/>
      <c r="F831" s="561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</row>
    <row r="832">
      <c r="A832" s="551"/>
      <c r="B832" s="617"/>
      <c r="C832" s="617"/>
      <c r="D832" s="561"/>
      <c r="E832" s="561"/>
      <c r="F832" s="561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</row>
    <row r="833">
      <c r="A833" s="551"/>
      <c r="B833" s="617"/>
      <c r="C833" s="617"/>
      <c r="D833" s="561"/>
      <c r="E833" s="561"/>
      <c r="F833" s="561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</row>
    <row r="834">
      <c r="A834" s="551"/>
      <c r="B834" s="617"/>
      <c r="C834" s="617"/>
      <c r="D834" s="561"/>
      <c r="E834" s="561"/>
      <c r="F834" s="561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</row>
    <row r="835">
      <c r="A835" s="551"/>
      <c r="B835" s="617"/>
      <c r="C835" s="617"/>
      <c r="D835" s="561"/>
      <c r="E835" s="561"/>
      <c r="F835" s="561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</row>
    <row r="836">
      <c r="A836" s="551"/>
      <c r="B836" s="617"/>
      <c r="C836" s="617"/>
      <c r="D836" s="561"/>
      <c r="E836" s="561"/>
      <c r="F836" s="561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</row>
    <row r="837">
      <c r="A837" s="551"/>
      <c r="B837" s="617"/>
      <c r="C837" s="617"/>
      <c r="D837" s="561"/>
      <c r="E837" s="561"/>
      <c r="F837" s="561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</row>
    <row r="838">
      <c r="A838" s="551"/>
      <c r="B838" s="617"/>
      <c r="C838" s="617"/>
      <c r="D838" s="561"/>
      <c r="E838" s="561"/>
      <c r="F838" s="561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</row>
    <row r="839">
      <c r="A839" s="551"/>
      <c r="B839" s="617"/>
      <c r="C839" s="617"/>
      <c r="D839" s="561"/>
      <c r="E839" s="561"/>
      <c r="F839" s="561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</row>
    <row r="840">
      <c r="A840" s="551"/>
      <c r="B840" s="617"/>
      <c r="C840" s="617"/>
      <c r="D840" s="561"/>
      <c r="E840" s="561"/>
      <c r="F840" s="561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</row>
    <row r="841">
      <c r="A841" s="551"/>
      <c r="B841" s="617"/>
      <c r="C841" s="617"/>
      <c r="D841" s="561"/>
      <c r="E841" s="561"/>
      <c r="F841" s="561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</row>
    <row r="842">
      <c r="A842" s="551"/>
      <c r="B842" s="617"/>
      <c r="C842" s="617"/>
      <c r="D842" s="561"/>
      <c r="E842" s="561"/>
      <c r="F842" s="561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</row>
    <row r="843">
      <c r="A843" s="551"/>
      <c r="B843" s="617"/>
      <c r="C843" s="617"/>
      <c r="D843" s="561"/>
      <c r="E843" s="561"/>
      <c r="F843" s="561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</row>
    <row r="844">
      <c r="A844" s="551"/>
      <c r="B844" s="617"/>
      <c r="C844" s="617"/>
      <c r="D844" s="561"/>
      <c r="E844" s="561"/>
      <c r="F844" s="561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</row>
    <row r="845">
      <c r="A845" s="551"/>
      <c r="B845" s="617"/>
      <c r="C845" s="617"/>
      <c r="D845" s="561"/>
      <c r="E845" s="561"/>
      <c r="F845" s="561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</row>
    <row r="846">
      <c r="A846" s="551"/>
      <c r="B846" s="617"/>
      <c r="C846" s="617"/>
      <c r="D846" s="561"/>
      <c r="E846" s="561"/>
      <c r="F846" s="561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</row>
    <row r="847">
      <c r="A847" s="551"/>
      <c r="B847" s="617"/>
      <c r="C847" s="617"/>
      <c r="D847" s="561"/>
      <c r="E847" s="561"/>
      <c r="F847" s="561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</row>
    <row r="848">
      <c r="A848" s="551"/>
      <c r="B848" s="617"/>
      <c r="C848" s="617"/>
      <c r="D848" s="561"/>
      <c r="E848" s="561"/>
      <c r="F848" s="561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</row>
    <row r="849">
      <c r="A849" s="551"/>
      <c r="B849" s="617"/>
      <c r="C849" s="617"/>
      <c r="D849" s="561"/>
      <c r="E849" s="561"/>
      <c r="F849" s="561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</row>
    <row r="850">
      <c r="A850" s="551"/>
      <c r="B850" s="617"/>
      <c r="C850" s="617"/>
      <c r="D850" s="561"/>
      <c r="E850" s="561"/>
      <c r="F850" s="561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</row>
    <row r="851">
      <c r="A851" s="551"/>
      <c r="B851" s="617"/>
      <c r="C851" s="617"/>
      <c r="D851" s="561"/>
      <c r="E851" s="561"/>
      <c r="F851" s="561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</row>
    <row r="852">
      <c r="A852" s="551"/>
      <c r="B852" s="617"/>
      <c r="C852" s="617"/>
      <c r="D852" s="561"/>
      <c r="E852" s="561"/>
      <c r="F852" s="561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</row>
    <row r="853">
      <c r="A853" s="551"/>
      <c r="B853" s="617"/>
      <c r="C853" s="617"/>
      <c r="D853" s="561"/>
      <c r="E853" s="561"/>
      <c r="F853" s="561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</row>
    <row r="854">
      <c r="A854" s="551"/>
      <c r="B854" s="617"/>
      <c r="C854" s="617"/>
      <c r="D854" s="561"/>
      <c r="E854" s="561"/>
      <c r="F854" s="561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</row>
    <row r="855">
      <c r="A855" s="551"/>
      <c r="B855" s="617"/>
      <c r="C855" s="617"/>
      <c r="D855" s="561"/>
      <c r="E855" s="561"/>
      <c r="F855" s="561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</row>
    <row r="856">
      <c r="A856" s="551"/>
      <c r="B856" s="617"/>
      <c r="C856" s="617"/>
      <c r="D856" s="561"/>
      <c r="E856" s="561"/>
      <c r="F856" s="561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</row>
    <row r="857">
      <c r="A857" s="551"/>
      <c r="B857" s="617"/>
      <c r="C857" s="617"/>
      <c r="D857" s="561"/>
      <c r="E857" s="561"/>
      <c r="F857" s="561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</row>
    <row r="858">
      <c r="A858" s="551"/>
      <c r="B858" s="617"/>
      <c r="C858" s="617"/>
      <c r="D858" s="561"/>
      <c r="E858" s="561"/>
      <c r="F858" s="561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</row>
    <row r="859">
      <c r="A859" s="551"/>
      <c r="B859" s="617"/>
      <c r="C859" s="617"/>
      <c r="D859" s="561"/>
      <c r="E859" s="561"/>
      <c r="F859" s="561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</row>
    <row r="860">
      <c r="A860" s="551"/>
      <c r="B860" s="617"/>
      <c r="C860" s="617"/>
      <c r="D860" s="561"/>
      <c r="E860" s="561"/>
      <c r="F860" s="561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</row>
    <row r="861">
      <c r="A861" s="551"/>
      <c r="B861" s="617"/>
      <c r="C861" s="617"/>
      <c r="D861" s="561"/>
      <c r="E861" s="561"/>
      <c r="F861" s="561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</row>
    <row r="862">
      <c r="A862" s="551"/>
      <c r="B862" s="617"/>
      <c r="C862" s="617"/>
      <c r="D862" s="561"/>
      <c r="E862" s="561"/>
      <c r="F862" s="561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</row>
    <row r="863">
      <c r="A863" s="551"/>
      <c r="B863" s="617"/>
      <c r="C863" s="617"/>
      <c r="D863" s="561"/>
      <c r="E863" s="561"/>
      <c r="F863" s="561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</row>
    <row r="864">
      <c r="A864" s="551"/>
      <c r="B864" s="617"/>
      <c r="C864" s="617"/>
      <c r="D864" s="561"/>
      <c r="E864" s="561"/>
      <c r="F864" s="561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</row>
    <row r="865">
      <c r="A865" s="551"/>
      <c r="B865" s="617"/>
      <c r="C865" s="617"/>
      <c r="D865" s="561"/>
      <c r="E865" s="561"/>
      <c r="F865" s="561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</row>
    <row r="866">
      <c r="A866" s="551"/>
      <c r="B866" s="617"/>
      <c r="C866" s="617"/>
      <c r="D866" s="561"/>
      <c r="E866" s="561"/>
      <c r="F866" s="561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</row>
    <row r="867">
      <c r="A867" s="551"/>
      <c r="B867" s="617"/>
      <c r="C867" s="617"/>
      <c r="D867" s="561"/>
      <c r="E867" s="561"/>
      <c r="F867" s="561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</row>
    <row r="868">
      <c r="A868" s="551"/>
      <c r="B868" s="617"/>
      <c r="C868" s="617"/>
      <c r="D868" s="561"/>
      <c r="E868" s="561"/>
      <c r="F868" s="561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</row>
    <row r="869">
      <c r="A869" s="551"/>
      <c r="B869" s="617"/>
      <c r="C869" s="617"/>
      <c r="D869" s="561"/>
      <c r="E869" s="561"/>
      <c r="F869" s="561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</row>
    <row r="870">
      <c r="A870" s="551"/>
      <c r="B870" s="617"/>
      <c r="C870" s="617"/>
      <c r="D870" s="561"/>
      <c r="E870" s="561"/>
      <c r="F870" s="561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</row>
    <row r="871">
      <c r="A871" s="551"/>
      <c r="B871" s="617"/>
      <c r="C871" s="617"/>
      <c r="D871" s="561"/>
      <c r="E871" s="561"/>
      <c r="F871" s="561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</row>
    <row r="872">
      <c r="A872" s="551"/>
      <c r="B872" s="617"/>
      <c r="C872" s="617"/>
      <c r="D872" s="561"/>
      <c r="E872" s="561"/>
      <c r="F872" s="561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</row>
    <row r="873">
      <c r="A873" s="551"/>
      <c r="B873" s="617"/>
      <c r="C873" s="617"/>
      <c r="D873" s="561"/>
      <c r="E873" s="561"/>
      <c r="F873" s="561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</row>
    <row r="874">
      <c r="A874" s="551"/>
      <c r="B874" s="617"/>
      <c r="C874" s="617"/>
      <c r="D874" s="561"/>
      <c r="E874" s="561"/>
      <c r="F874" s="561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</row>
    <row r="875">
      <c r="A875" s="551"/>
      <c r="B875" s="617"/>
      <c r="C875" s="617"/>
      <c r="D875" s="561"/>
      <c r="E875" s="561"/>
      <c r="F875" s="561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</row>
    <row r="876">
      <c r="A876" s="551"/>
      <c r="B876" s="617"/>
      <c r="C876" s="617"/>
      <c r="D876" s="561"/>
      <c r="E876" s="561"/>
      <c r="F876" s="561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</row>
    <row r="877">
      <c r="A877" s="551"/>
      <c r="B877" s="617"/>
      <c r="C877" s="617"/>
      <c r="D877" s="561"/>
      <c r="E877" s="561"/>
      <c r="F877" s="561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</row>
    <row r="878">
      <c r="A878" s="551"/>
      <c r="B878" s="617"/>
      <c r="C878" s="617"/>
      <c r="D878" s="561"/>
      <c r="E878" s="561"/>
      <c r="F878" s="561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</row>
    <row r="879">
      <c r="A879" s="551"/>
      <c r="B879" s="617"/>
      <c r="C879" s="617"/>
      <c r="D879" s="561"/>
      <c r="E879" s="561"/>
      <c r="F879" s="561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</row>
    <row r="880">
      <c r="A880" s="551"/>
      <c r="B880" s="617"/>
      <c r="C880" s="617"/>
      <c r="D880" s="561"/>
      <c r="E880" s="561"/>
      <c r="F880" s="561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</row>
    <row r="881">
      <c r="A881" s="551"/>
      <c r="B881" s="617"/>
      <c r="C881" s="617"/>
      <c r="D881" s="561"/>
      <c r="E881" s="561"/>
      <c r="F881" s="561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</row>
    <row r="882">
      <c r="A882" s="551"/>
      <c r="B882" s="617"/>
      <c r="C882" s="617"/>
      <c r="D882" s="561"/>
      <c r="E882" s="561"/>
      <c r="F882" s="561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</row>
    <row r="883">
      <c r="A883" s="551"/>
      <c r="B883" s="617"/>
      <c r="C883" s="617"/>
      <c r="D883" s="561"/>
      <c r="E883" s="561"/>
      <c r="F883" s="561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</row>
    <row r="884">
      <c r="A884" s="551"/>
      <c r="B884" s="617"/>
      <c r="C884" s="617"/>
      <c r="D884" s="561"/>
      <c r="E884" s="561"/>
      <c r="F884" s="561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</row>
    <row r="885">
      <c r="A885" s="551"/>
      <c r="B885" s="617"/>
      <c r="C885" s="617"/>
      <c r="D885" s="561"/>
      <c r="E885" s="561"/>
      <c r="F885" s="561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</row>
    <row r="886">
      <c r="A886" s="551"/>
      <c r="B886" s="617"/>
      <c r="C886" s="617"/>
      <c r="D886" s="561"/>
      <c r="E886" s="561"/>
      <c r="F886" s="561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</row>
    <row r="887">
      <c r="A887" s="551"/>
      <c r="B887" s="617"/>
      <c r="C887" s="617"/>
      <c r="D887" s="561"/>
      <c r="E887" s="561"/>
      <c r="F887" s="561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</row>
    <row r="888">
      <c r="A888" s="551"/>
      <c r="B888" s="617"/>
      <c r="C888" s="617"/>
      <c r="D888" s="561"/>
      <c r="E888" s="561"/>
      <c r="F888" s="561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</row>
    <row r="889">
      <c r="A889" s="551"/>
      <c r="B889" s="617"/>
      <c r="C889" s="617"/>
      <c r="D889" s="561"/>
      <c r="E889" s="561"/>
      <c r="F889" s="561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</row>
    <row r="890">
      <c r="A890" s="551"/>
      <c r="B890" s="617"/>
      <c r="C890" s="617"/>
      <c r="D890" s="561"/>
      <c r="E890" s="561"/>
      <c r="F890" s="561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</row>
    <row r="891">
      <c r="A891" s="551"/>
      <c r="B891" s="617"/>
      <c r="C891" s="617"/>
      <c r="D891" s="561"/>
      <c r="E891" s="561"/>
      <c r="F891" s="561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</row>
    <row r="892">
      <c r="A892" s="551"/>
      <c r="B892" s="617"/>
      <c r="C892" s="617"/>
      <c r="D892" s="561"/>
      <c r="E892" s="561"/>
      <c r="F892" s="561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</row>
    <row r="893">
      <c r="A893" s="551"/>
      <c r="B893" s="617"/>
      <c r="C893" s="617"/>
      <c r="D893" s="561"/>
      <c r="E893" s="561"/>
      <c r="F893" s="561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</row>
    <row r="894">
      <c r="A894" s="551"/>
      <c r="B894" s="617"/>
      <c r="C894" s="617"/>
      <c r="D894" s="561"/>
      <c r="E894" s="561"/>
      <c r="F894" s="561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</row>
    <row r="895">
      <c r="A895" s="551"/>
      <c r="B895" s="617"/>
      <c r="C895" s="617"/>
      <c r="D895" s="561"/>
      <c r="E895" s="561"/>
      <c r="F895" s="561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</row>
    <row r="896">
      <c r="A896" s="551"/>
      <c r="B896" s="617"/>
      <c r="C896" s="617"/>
      <c r="D896" s="561"/>
      <c r="E896" s="561"/>
      <c r="F896" s="561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</row>
    <row r="897">
      <c r="A897" s="551"/>
      <c r="B897" s="617"/>
      <c r="C897" s="617"/>
      <c r="D897" s="561"/>
      <c r="E897" s="561"/>
      <c r="F897" s="561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</row>
    <row r="898">
      <c r="A898" s="551"/>
      <c r="B898" s="617"/>
      <c r="C898" s="617"/>
      <c r="D898" s="561"/>
      <c r="E898" s="561"/>
      <c r="F898" s="561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</row>
    <row r="899">
      <c r="A899" s="551"/>
      <c r="B899" s="617"/>
      <c r="C899" s="617"/>
      <c r="D899" s="561"/>
      <c r="E899" s="561"/>
      <c r="F899" s="561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</row>
    <row r="900">
      <c r="A900" s="551"/>
      <c r="B900" s="617"/>
      <c r="C900" s="617"/>
      <c r="D900" s="561"/>
      <c r="E900" s="561"/>
      <c r="F900" s="561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</row>
    <row r="901">
      <c r="A901" s="551"/>
      <c r="B901" s="617"/>
      <c r="C901" s="617"/>
      <c r="D901" s="561"/>
      <c r="E901" s="561"/>
      <c r="F901" s="561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</row>
    <row r="902">
      <c r="A902" s="551"/>
      <c r="B902" s="617"/>
      <c r="C902" s="617"/>
      <c r="D902" s="561"/>
      <c r="E902" s="561"/>
      <c r="F902" s="561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</row>
    <row r="903">
      <c r="A903" s="551"/>
      <c r="B903" s="617"/>
      <c r="C903" s="617"/>
      <c r="D903" s="561"/>
      <c r="E903" s="561"/>
      <c r="F903" s="561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</row>
    <row r="904">
      <c r="A904" s="551"/>
      <c r="B904" s="617"/>
      <c r="C904" s="617"/>
      <c r="D904" s="561"/>
      <c r="E904" s="561"/>
      <c r="F904" s="561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</row>
    <row r="905">
      <c r="A905" s="551"/>
      <c r="B905" s="617"/>
      <c r="C905" s="617"/>
      <c r="D905" s="561"/>
      <c r="E905" s="561"/>
      <c r="F905" s="561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</row>
    <row r="906">
      <c r="A906" s="551"/>
      <c r="B906" s="617"/>
      <c r="C906" s="617"/>
      <c r="D906" s="561"/>
      <c r="E906" s="561"/>
      <c r="F906" s="561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</row>
    <row r="907">
      <c r="A907" s="551"/>
      <c r="B907" s="617"/>
      <c r="C907" s="617"/>
      <c r="D907" s="561"/>
      <c r="E907" s="561"/>
      <c r="F907" s="561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</row>
    <row r="908">
      <c r="A908" s="551"/>
      <c r="B908" s="617"/>
      <c r="C908" s="617"/>
      <c r="D908" s="561"/>
      <c r="E908" s="561"/>
      <c r="F908" s="561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</row>
    <row r="909">
      <c r="A909" s="551"/>
      <c r="B909" s="617"/>
      <c r="C909" s="617"/>
      <c r="D909" s="561"/>
      <c r="E909" s="561"/>
      <c r="F909" s="561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</row>
    <row r="910">
      <c r="A910" s="551"/>
      <c r="B910" s="617"/>
      <c r="C910" s="617"/>
      <c r="D910" s="561"/>
      <c r="E910" s="561"/>
      <c r="F910" s="561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</row>
    <row r="911">
      <c r="A911" s="551"/>
      <c r="B911" s="617"/>
      <c r="C911" s="617"/>
      <c r="D911" s="561"/>
      <c r="E911" s="561"/>
      <c r="F911" s="561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</row>
    <row r="912">
      <c r="A912" s="551"/>
      <c r="B912" s="617"/>
      <c r="C912" s="617"/>
      <c r="D912" s="561"/>
      <c r="E912" s="561"/>
      <c r="F912" s="561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</row>
    <row r="913">
      <c r="A913" s="551"/>
      <c r="B913" s="617"/>
      <c r="C913" s="617"/>
      <c r="D913" s="561"/>
      <c r="E913" s="561"/>
      <c r="F913" s="561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</row>
    <row r="914">
      <c r="A914" s="551"/>
      <c r="B914" s="617"/>
      <c r="C914" s="617"/>
      <c r="D914" s="561"/>
      <c r="E914" s="561"/>
      <c r="F914" s="561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</row>
    <row r="915">
      <c r="A915" s="551"/>
      <c r="B915" s="617"/>
      <c r="C915" s="617"/>
      <c r="D915" s="561"/>
      <c r="E915" s="561"/>
      <c r="F915" s="561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</row>
    <row r="916">
      <c r="A916" s="551"/>
      <c r="B916" s="617"/>
      <c r="C916" s="617"/>
      <c r="D916" s="561"/>
      <c r="E916" s="561"/>
      <c r="F916" s="561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</row>
    <row r="917">
      <c r="A917" s="551"/>
      <c r="B917" s="617"/>
      <c r="C917" s="617"/>
      <c r="D917" s="561"/>
      <c r="E917" s="561"/>
      <c r="F917" s="561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</row>
    <row r="918">
      <c r="A918" s="551"/>
      <c r="B918" s="617"/>
      <c r="C918" s="617"/>
      <c r="D918" s="561"/>
      <c r="E918" s="561"/>
      <c r="F918" s="561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</row>
    <row r="919">
      <c r="A919" s="551"/>
      <c r="B919" s="617"/>
      <c r="C919" s="617"/>
      <c r="D919" s="561"/>
      <c r="E919" s="561"/>
      <c r="F919" s="561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</row>
    <row r="920">
      <c r="A920" s="551"/>
      <c r="B920" s="617"/>
      <c r="C920" s="617"/>
      <c r="D920" s="561"/>
      <c r="E920" s="561"/>
      <c r="F920" s="561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</row>
    <row r="921">
      <c r="A921" s="551"/>
      <c r="B921" s="617"/>
      <c r="C921" s="617"/>
      <c r="D921" s="561"/>
      <c r="E921" s="561"/>
      <c r="F921" s="561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</row>
    <row r="922">
      <c r="A922" s="551"/>
      <c r="B922" s="617"/>
      <c r="C922" s="617"/>
      <c r="D922" s="561"/>
      <c r="E922" s="561"/>
      <c r="F922" s="561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</row>
    <row r="923">
      <c r="A923" s="551"/>
      <c r="B923" s="617"/>
      <c r="C923" s="617"/>
      <c r="D923" s="561"/>
      <c r="E923" s="561"/>
      <c r="F923" s="561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</row>
    <row r="924">
      <c r="A924" s="551"/>
      <c r="B924" s="617"/>
      <c r="C924" s="617"/>
      <c r="D924" s="561"/>
      <c r="E924" s="561"/>
      <c r="F924" s="561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</row>
    <row r="925">
      <c r="A925" s="551"/>
      <c r="B925" s="617"/>
      <c r="C925" s="617"/>
      <c r="D925" s="561"/>
      <c r="E925" s="561"/>
      <c r="F925" s="561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</row>
    <row r="926">
      <c r="A926" s="551"/>
      <c r="B926" s="617"/>
      <c r="C926" s="617"/>
      <c r="D926" s="561"/>
      <c r="E926" s="561"/>
      <c r="F926" s="561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</row>
    <row r="927">
      <c r="A927" s="551"/>
      <c r="B927" s="617"/>
      <c r="C927" s="617"/>
      <c r="D927" s="561"/>
      <c r="E927" s="561"/>
      <c r="F927" s="561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</row>
    <row r="928">
      <c r="A928" s="551"/>
      <c r="B928" s="617"/>
      <c r="C928" s="617"/>
      <c r="D928" s="561"/>
      <c r="E928" s="561"/>
      <c r="F928" s="561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</row>
    <row r="929">
      <c r="A929" s="551"/>
      <c r="B929" s="617"/>
      <c r="C929" s="617"/>
      <c r="D929" s="561"/>
      <c r="E929" s="561"/>
      <c r="F929" s="561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</row>
    <row r="930">
      <c r="A930" s="551"/>
      <c r="B930" s="617"/>
      <c r="C930" s="617"/>
      <c r="D930" s="561"/>
      <c r="E930" s="561"/>
      <c r="F930" s="561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</row>
    <row r="931">
      <c r="A931" s="551"/>
      <c r="B931" s="617"/>
      <c r="C931" s="617"/>
      <c r="D931" s="561"/>
      <c r="E931" s="561"/>
      <c r="F931" s="561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</row>
    <row r="932">
      <c r="A932" s="551"/>
      <c r="B932" s="617"/>
      <c r="C932" s="617"/>
      <c r="D932" s="561"/>
      <c r="E932" s="561"/>
      <c r="F932" s="561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</row>
    <row r="933">
      <c r="A933" s="551"/>
      <c r="B933" s="617"/>
      <c r="C933" s="617"/>
      <c r="D933" s="561"/>
      <c r="E933" s="561"/>
      <c r="F933" s="561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</row>
    <row r="934">
      <c r="A934" s="551"/>
      <c r="B934" s="617"/>
      <c r="C934" s="617"/>
      <c r="D934" s="561"/>
      <c r="E934" s="561"/>
      <c r="F934" s="561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</row>
    <row r="935">
      <c r="A935" s="551"/>
      <c r="B935" s="617"/>
      <c r="C935" s="617"/>
      <c r="D935" s="561"/>
      <c r="E935" s="561"/>
      <c r="F935" s="561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</row>
    <row r="936">
      <c r="A936" s="551"/>
      <c r="B936" s="617"/>
      <c r="C936" s="617"/>
      <c r="D936" s="561"/>
      <c r="E936" s="561"/>
      <c r="F936" s="561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</row>
    <row r="937">
      <c r="A937" s="551"/>
      <c r="B937" s="617"/>
      <c r="C937" s="617"/>
      <c r="D937" s="561"/>
      <c r="E937" s="561"/>
      <c r="F937" s="561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</row>
    <row r="938">
      <c r="A938" s="551"/>
      <c r="B938" s="617"/>
      <c r="C938" s="617"/>
      <c r="D938" s="561"/>
      <c r="E938" s="561"/>
      <c r="F938" s="561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</row>
    <row r="939">
      <c r="A939" s="551"/>
      <c r="B939" s="617"/>
      <c r="C939" s="617"/>
      <c r="D939" s="561"/>
      <c r="E939" s="561"/>
      <c r="F939" s="561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</row>
    <row r="940">
      <c r="A940" s="551"/>
      <c r="B940" s="617"/>
      <c r="C940" s="617"/>
      <c r="D940" s="561"/>
      <c r="E940" s="561"/>
      <c r="F940" s="561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</row>
    <row r="941">
      <c r="A941" s="551"/>
      <c r="B941" s="617"/>
      <c r="C941" s="617"/>
      <c r="D941" s="561"/>
      <c r="E941" s="561"/>
      <c r="F941" s="561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</row>
    <row r="942">
      <c r="A942" s="551"/>
      <c r="B942" s="617"/>
      <c r="C942" s="617"/>
      <c r="D942" s="561"/>
      <c r="E942" s="561"/>
      <c r="F942" s="561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</row>
    <row r="943">
      <c r="A943" s="551"/>
      <c r="B943" s="617"/>
      <c r="C943" s="617"/>
      <c r="D943" s="561"/>
      <c r="E943" s="561"/>
      <c r="F943" s="561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</row>
    <row r="944">
      <c r="A944" s="551"/>
      <c r="B944" s="617"/>
      <c r="C944" s="617"/>
      <c r="D944" s="561"/>
      <c r="E944" s="561"/>
      <c r="F944" s="561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</row>
    <row r="945">
      <c r="A945" s="551"/>
      <c r="B945" s="617"/>
      <c r="C945" s="617"/>
      <c r="D945" s="561"/>
      <c r="E945" s="561"/>
      <c r="F945" s="561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</row>
    <row r="946">
      <c r="A946" s="551"/>
      <c r="B946" s="617"/>
      <c r="C946" s="617"/>
      <c r="D946" s="561"/>
      <c r="E946" s="561"/>
      <c r="F946" s="561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</row>
    <row r="947">
      <c r="A947" s="551"/>
      <c r="B947" s="617"/>
      <c r="C947" s="617"/>
      <c r="D947" s="561"/>
      <c r="E947" s="561"/>
      <c r="F947" s="561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</row>
    <row r="948">
      <c r="A948" s="551"/>
      <c r="B948" s="617"/>
      <c r="C948" s="617"/>
      <c r="D948" s="561"/>
      <c r="E948" s="561"/>
      <c r="F948" s="561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</row>
    <row r="949">
      <c r="A949" s="551"/>
      <c r="B949" s="617"/>
      <c r="C949" s="617"/>
      <c r="D949" s="561"/>
      <c r="E949" s="561"/>
      <c r="F949" s="561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</row>
    <row r="950">
      <c r="A950" s="551"/>
      <c r="B950" s="617"/>
      <c r="C950" s="617"/>
      <c r="D950" s="561"/>
      <c r="E950" s="561"/>
      <c r="F950" s="561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</row>
    <row r="951">
      <c r="A951" s="551"/>
      <c r="B951" s="617"/>
      <c r="C951" s="617"/>
      <c r="D951" s="561"/>
      <c r="E951" s="561"/>
      <c r="F951" s="561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</row>
    <row r="952">
      <c r="A952" s="551"/>
      <c r="B952" s="617"/>
      <c r="C952" s="617"/>
      <c r="D952" s="561"/>
      <c r="E952" s="561"/>
      <c r="F952" s="561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</row>
    <row r="953">
      <c r="A953" s="551"/>
      <c r="B953" s="617"/>
      <c r="C953" s="617"/>
      <c r="D953" s="561"/>
      <c r="E953" s="561"/>
      <c r="F953" s="561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</row>
    <row r="954">
      <c r="A954" s="551"/>
      <c r="B954" s="617"/>
      <c r="C954" s="617"/>
      <c r="D954" s="561"/>
      <c r="E954" s="561"/>
      <c r="F954" s="561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</row>
    <row r="955">
      <c r="A955" s="551"/>
      <c r="B955" s="617"/>
      <c r="C955" s="617"/>
      <c r="D955" s="561"/>
      <c r="E955" s="561"/>
      <c r="F955" s="561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</row>
    <row r="956">
      <c r="A956" s="551"/>
      <c r="B956" s="617"/>
      <c r="C956" s="617"/>
      <c r="D956" s="561"/>
      <c r="E956" s="561"/>
      <c r="F956" s="561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</row>
    <row r="957">
      <c r="A957" s="551"/>
      <c r="B957" s="617"/>
      <c r="C957" s="617"/>
      <c r="D957" s="561"/>
      <c r="E957" s="561"/>
      <c r="F957" s="561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</row>
    <row r="958">
      <c r="A958" s="551"/>
      <c r="B958" s="617"/>
      <c r="C958" s="617"/>
      <c r="D958" s="561"/>
      <c r="E958" s="561"/>
      <c r="F958" s="561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</row>
    <row r="959">
      <c r="A959" s="551"/>
      <c r="B959" s="617"/>
      <c r="C959" s="617"/>
      <c r="D959" s="561"/>
      <c r="E959" s="561"/>
      <c r="F959" s="561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</row>
    <row r="960">
      <c r="A960" s="551"/>
      <c r="B960" s="617"/>
      <c r="C960" s="617"/>
      <c r="D960" s="561"/>
      <c r="E960" s="561"/>
      <c r="F960" s="561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</row>
    <row r="961">
      <c r="A961" s="551"/>
      <c r="B961" s="617"/>
      <c r="C961" s="617"/>
      <c r="D961" s="561"/>
      <c r="E961" s="561"/>
      <c r="F961" s="561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</row>
    <row r="962">
      <c r="A962" s="551"/>
      <c r="B962" s="617"/>
      <c r="C962" s="617"/>
      <c r="D962" s="561"/>
      <c r="E962" s="561"/>
      <c r="F962" s="561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</row>
    <row r="963">
      <c r="A963" s="551"/>
      <c r="B963" s="617"/>
      <c r="C963" s="617"/>
      <c r="D963" s="561"/>
      <c r="E963" s="561"/>
      <c r="F963" s="561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</row>
    <row r="964">
      <c r="A964" s="551"/>
      <c r="B964" s="617"/>
      <c r="C964" s="617"/>
      <c r="D964" s="561"/>
      <c r="E964" s="561"/>
      <c r="F964" s="561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</row>
    <row r="965">
      <c r="A965" s="551"/>
      <c r="B965" s="617"/>
      <c r="C965" s="617"/>
      <c r="D965" s="561"/>
      <c r="E965" s="561"/>
      <c r="F965" s="561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</row>
    <row r="966">
      <c r="A966" s="551"/>
      <c r="B966" s="617"/>
      <c r="C966" s="617"/>
      <c r="D966" s="561"/>
      <c r="E966" s="561"/>
      <c r="F966" s="561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</row>
    <row r="967">
      <c r="A967" s="551"/>
      <c r="B967" s="617"/>
      <c r="C967" s="617"/>
      <c r="D967" s="561"/>
      <c r="E967" s="561"/>
      <c r="F967" s="561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</row>
    <row r="968">
      <c r="A968" s="551"/>
      <c r="B968" s="617"/>
      <c r="C968" s="617"/>
      <c r="D968" s="561"/>
      <c r="E968" s="561"/>
      <c r="F968" s="561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</row>
    <row r="969">
      <c r="A969" s="551"/>
      <c r="B969" s="617"/>
      <c r="C969" s="617"/>
      <c r="D969" s="561"/>
      <c r="E969" s="561"/>
      <c r="F969" s="561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</row>
    <row r="970">
      <c r="A970" s="551"/>
      <c r="B970" s="617"/>
      <c r="C970" s="617"/>
      <c r="D970" s="561"/>
      <c r="E970" s="561"/>
      <c r="F970" s="561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</row>
    <row r="971">
      <c r="A971" s="551"/>
      <c r="B971" s="617"/>
      <c r="C971" s="617"/>
      <c r="D971" s="561"/>
      <c r="E971" s="561"/>
      <c r="F971" s="561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</row>
    <row r="972">
      <c r="A972" s="551"/>
      <c r="B972" s="617"/>
      <c r="C972" s="617"/>
      <c r="D972" s="561"/>
      <c r="E972" s="561"/>
      <c r="F972" s="561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</row>
    <row r="973">
      <c r="A973" s="551"/>
      <c r="B973" s="617"/>
      <c r="C973" s="617"/>
      <c r="D973" s="561"/>
      <c r="E973" s="561"/>
      <c r="F973" s="561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</row>
    <row r="974">
      <c r="A974" s="551"/>
      <c r="B974" s="617"/>
      <c r="C974" s="617"/>
      <c r="D974" s="561"/>
      <c r="E974" s="561"/>
      <c r="F974" s="561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</row>
    <row r="975">
      <c r="A975" s="551"/>
      <c r="B975" s="617"/>
      <c r="C975" s="617"/>
      <c r="D975" s="561"/>
      <c r="E975" s="561"/>
      <c r="F975" s="561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</row>
    <row r="976">
      <c r="A976" s="551"/>
      <c r="B976" s="617"/>
      <c r="C976" s="617"/>
      <c r="D976" s="561"/>
      <c r="E976" s="561"/>
      <c r="F976" s="561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</row>
    <row r="977">
      <c r="A977" s="551"/>
      <c r="B977" s="617"/>
      <c r="C977" s="617"/>
      <c r="D977" s="561"/>
      <c r="E977" s="561"/>
      <c r="F977" s="561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</row>
    <row r="978">
      <c r="A978" s="551"/>
      <c r="B978" s="617"/>
      <c r="C978" s="617"/>
      <c r="D978" s="561"/>
      <c r="E978" s="561"/>
      <c r="F978" s="561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</row>
    <row r="979">
      <c r="A979" s="551"/>
      <c r="B979" s="617"/>
      <c r="C979" s="617"/>
      <c r="D979" s="561"/>
      <c r="E979" s="561"/>
      <c r="F979" s="561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</row>
    <row r="980">
      <c r="A980" s="551"/>
      <c r="B980" s="617"/>
      <c r="C980" s="617"/>
      <c r="D980" s="561"/>
      <c r="E980" s="561"/>
      <c r="F980" s="561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</row>
    <row r="981">
      <c r="A981" s="551"/>
      <c r="B981" s="617"/>
      <c r="C981" s="617"/>
      <c r="D981" s="561"/>
      <c r="E981" s="561"/>
      <c r="F981" s="561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</row>
    <row r="982">
      <c r="A982" s="551"/>
      <c r="B982" s="617"/>
      <c r="C982" s="617"/>
      <c r="D982" s="561"/>
      <c r="E982" s="561"/>
      <c r="F982" s="561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</row>
    <row r="983">
      <c r="A983" s="551"/>
      <c r="B983" s="617"/>
      <c r="C983" s="617"/>
      <c r="D983" s="561"/>
      <c r="E983" s="561"/>
      <c r="F983" s="561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</row>
    <row r="984">
      <c r="A984" s="551"/>
      <c r="B984" s="617"/>
      <c r="C984" s="617"/>
      <c r="D984" s="561"/>
      <c r="E984" s="561"/>
      <c r="F984" s="561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</row>
    <row r="985">
      <c r="A985" s="551"/>
      <c r="B985" s="617"/>
      <c r="C985" s="617"/>
      <c r="D985" s="561"/>
      <c r="E985" s="561"/>
      <c r="F985" s="561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</row>
    <row r="986">
      <c r="A986" s="551"/>
      <c r="B986" s="617"/>
      <c r="C986" s="617"/>
      <c r="D986" s="561"/>
      <c r="E986" s="561"/>
      <c r="F986" s="561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</row>
    <row r="987">
      <c r="A987" s="551"/>
      <c r="B987" s="617"/>
      <c r="C987" s="617"/>
      <c r="D987" s="561"/>
      <c r="E987" s="561"/>
      <c r="F987" s="561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</row>
    <row r="988">
      <c r="A988" s="551"/>
      <c r="B988" s="617"/>
      <c r="C988" s="617"/>
      <c r="D988" s="561"/>
      <c r="E988" s="561"/>
      <c r="F988" s="561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</row>
    <row r="989">
      <c r="A989" s="551"/>
      <c r="B989" s="617"/>
      <c r="C989" s="617"/>
      <c r="D989" s="561"/>
      <c r="E989" s="561"/>
      <c r="F989" s="561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</row>
    <row r="990">
      <c r="A990" s="551"/>
      <c r="B990" s="617"/>
      <c r="C990" s="617"/>
      <c r="D990" s="561"/>
      <c r="E990" s="561"/>
      <c r="F990" s="561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</row>
    <row r="991">
      <c r="A991" s="551"/>
      <c r="B991" s="617"/>
      <c r="C991" s="617"/>
      <c r="D991" s="561"/>
      <c r="E991" s="561"/>
      <c r="F991" s="561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</row>
    <row r="992">
      <c r="A992" s="551"/>
      <c r="B992" s="617"/>
      <c r="C992" s="617"/>
      <c r="D992" s="561"/>
      <c r="E992" s="561"/>
      <c r="F992" s="561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</row>
    <row r="993">
      <c r="A993" s="551"/>
      <c r="B993" s="617"/>
      <c r="C993" s="617"/>
      <c r="D993" s="561"/>
      <c r="E993" s="561"/>
      <c r="F993" s="561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</row>
    <row r="994">
      <c r="A994" s="551"/>
      <c r="B994" s="617"/>
      <c r="C994" s="617"/>
      <c r="D994" s="561"/>
      <c r="E994" s="561"/>
      <c r="F994" s="561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</row>
    <row r="995">
      <c r="A995" s="551"/>
      <c r="B995" s="617"/>
      <c r="C995" s="617"/>
      <c r="D995" s="561"/>
      <c r="E995" s="561"/>
      <c r="F995" s="561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</row>
    <row r="996">
      <c r="A996" s="551"/>
      <c r="B996" s="617"/>
      <c r="C996" s="617"/>
      <c r="D996" s="561"/>
      <c r="E996" s="561"/>
      <c r="F996" s="561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</row>
    <row r="997">
      <c r="A997" s="551"/>
      <c r="B997" s="617"/>
      <c r="C997" s="617"/>
      <c r="D997" s="561"/>
      <c r="E997" s="561"/>
      <c r="F997" s="561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</row>
    <row r="998">
      <c r="A998" s="551"/>
      <c r="B998" s="617"/>
      <c r="C998" s="617"/>
      <c r="D998" s="561"/>
      <c r="E998" s="561"/>
      <c r="F998" s="561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</row>
    <row r="999">
      <c r="A999" s="551"/>
      <c r="B999" s="617"/>
      <c r="C999" s="617"/>
      <c r="D999" s="561"/>
      <c r="E999" s="561"/>
      <c r="F999" s="561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</row>
    <row r="1000">
      <c r="A1000" s="551"/>
      <c r="B1000" s="617"/>
      <c r="C1000" s="617"/>
      <c r="D1000" s="561"/>
      <c r="E1000" s="561"/>
      <c r="F1000" s="561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</row>
    <row r="1001">
      <c r="A1001" s="551"/>
      <c r="B1001" s="617"/>
      <c r="C1001" s="617"/>
      <c r="D1001" s="561"/>
      <c r="E1001" s="561"/>
      <c r="F1001" s="561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</row>
    <row r="1002">
      <c r="A1002" s="551"/>
      <c r="B1002" s="617"/>
      <c r="C1002" s="617"/>
      <c r="D1002" s="561"/>
      <c r="E1002" s="561"/>
      <c r="F1002" s="561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</row>
    <row r="1003">
      <c r="A1003" s="551"/>
      <c r="B1003" s="617"/>
      <c r="C1003" s="617"/>
      <c r="D1003" s="561"/>
      <c r="E1003" s="561"/>
      <c r="F1003" s="561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</row>
    <row r="1004">
      <c r="A1004" s="551"/>
      <c r="B1004" s="617"/>
      <c r="C1004" s="617"/>
      <c r="D1004" s="561"/>
      <c r="E1004" s="561"/>
      <c r="F1004" s="561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</row>
    <row r="1005">
      <c r="A1005" s="551"/>
      <c r="B1005" s="617"/>
      <c r="C1005" s="617"/>
      <c r="D1005" s="561"/>
      <c r="E1005" s="561"/>
      <c r="F1005" s="561"/>
      <c r="G1005" s="561"/>
      <c r="H1005" s="561"/>
      <c r="I1005" s="561"/>
      <c r="J1005" s="561"/>
      <c r="K1005" s="561"/>
      <c r="L1005" s="561"/>
      <c r="M1005" s="561"/>
      <c r="N1005" s="561"/>
      <c r="O1005" s="561"/>
      <c r="P1005" s="561"/>
      <c r="Q1005" s="561"/>
      <c r="R1005" s="561"/>
    </row>
    <row r="1006">
      <c r="A1006" s="551"/>
      <c r="B1006" s="617"/>
      <c r="C1006" s="617"/>
      <c r="D1006" s="561"/>
      <c r="E1006" s="561"/>
      <c r="F1006" s="561"/>
      <c r="G1006" s="561"/>
      <c r="H1006" s="561"/>
      <c r="I1006" s="561"/>
      <c r="J1006" s="561"/>
      <c r="K1006" s="561"/>
      <c r="L1006" s="561"/>
      <c r="M1006" s="561"/>
      <c r="N1006" s="561"/>
      <c r="O1006" s="561"/>
      <c r="P1006" s="561"/>
      <c r="Q1006" s="561"/>
      <c r="R1006" s="561"/>
    </row>
    <row r="1007">
      <c r="A1007" s="551"/>
      <c r="B1007" s="617"/>
      <c r="C1007" s="617"/>
      <c r="D1007" s="561"/>
      <c r="E1007" s="561"/>
      <c r="F1007" s="561"/>
      <c r="G1007" s="561"/>
      <c r="H1007" s="561"/>
      <c r="I1007" s="561"/>
      <c r="J1007" s="561"/>
      <c r="K1007" s="561"/>
      <c r="L1007" s="561"/>
      <c r="M1007" s="561"/>
      <c r="N1007" s="561"/>
      <c r="O1007" s="561"/>
      <c r="P1007" s="561"/>
      <c r="Q1007" s="561"/>
      <c r="R1007" s="561"/>
    </row>
    <row r="1008">
      <c r="A1008" s="551"/>
      <c r="B1008" s="617"/>
      <c r="C1008" s="617"/>
      <c r="D1008" s="561"/>
      <c r="E1008" s="561"/>
      <c r="F1008" s="561"/>
      <c r="G1008" s="561"/>
      <c r="H1008" s="561"/>
      <c r="I1008" s="561"/>
      <c r="J1008" s="561"/>
      <c r="K1008" s="561"/>
      <c r="L1008" s="561"/>
      <c r="M1008" s="561"/>
      <c r="N1008" s="561"/>
      <c r="O1008" s="561"/>
      <c r="P1008" s="561"/>
      <c r="Q1008" s="561"/>
      <c r="R1008" s="561"/>
    </row>
    <row r="1009">
      <c r="A1009" s="551"/>
      <c r="B1009" s="617"/>
      <c r="C1009" s="617"/>
      <c r="D1009" s="561"/>
      <c r="E1009" s="561"/>
      <c r="F1009" s="561"/>
      <c r="G1009" s="561"/>
      <c r="H1009" s="561"/>
      <c r="I1009" s="561"/>
      <c r="J1009" s="561"/>
      <c r="K1009" s="561"/>
      <c r="L1009" s="561"/>
      <c r="M1009" s="561"/>
      <c r="N1009" s="561"/>
      <c r="O1009" s="561"/>
      <c r="P1009" s="561"/>
      <c r="Q1009" s="561"/>
      <c r="R1009" s="561"/>
    </row>
    <row r="1010">
      <c r="A1010" s="551"/>
      <c r="B1010" s="617"/>
      <c r="C1010" s="617"/>
      <c r="D1010" s="561"/>
      <c r="E1010" s="561"/>
      <c r="F1010" s="561"/>
      <c r="G1010" s="561"/>
      <c r="H1010" s="561"/>
      <c r="I1010" s="561"/>
      <c r="J1010" s="561"/>
      <c r="K1010" s="561"/>
      <c r="L1010" s="561"/>
      <c r="M1010" s="561"/>
      <c r="N1010" s="561"/>
      <c r="O1010" s="561"/>
      <c r="P1010" s="561"/>
      <c r="Q1010" s="561"/>
      <c r="R1010" s="561"/>
    </row>
    <row r="1011">
      <c r="A1011" s="551"/>
      <c r="B1011" s="617"/>
      <c r="C1011" s="617"/>
      <c r="D1011" s="561"/>
      <c r="E1011" s="561"/>
      <c r="F1011" s="561"/>
      <c r="G1011" s="561"/>
      <c r="H1011" s="561"/>
      <c r="I1011" s="561"/>
      <c r="J1011" s="561"/>
      <c r="K1011" s="561"/>
      <c r="L1011" s="561"/>
      <c r="M1011" s="561"/>
      <c r="N1011" s="561"/>
      <c r="O1011" s="561"/>
      <c r="P1011" s="561"/>
      <c r="Q1011" s="561"/>
      <c r="R1011" s="561"/>
    </row>
    <row r="1012">
      <c r="A1012" s="551"/>
      <c r="B1012" s="617"/>
      <c r="C1012" s="617"/>
      <c r="D1012" s="561"/>
      <c r="E1012" s="561"/>
      <c r="F1012" s="561"/>
      <c r="G1012" s="561"/>
      <c r="H1012" s="561"/>
      <c r="I1012" s="561"/>
      <c r="J1012" s="561"/>
      <c r="K1012" s="561"/>
      <c r="L1012" s="561"/>
      <c r="M1012" s="561"/>
      <c r="N1012" s="561"/>
      <c r="O1012" s="561"/>
      <c r="P1012" s="561"/>
      <c r="Q1012" s="561"/>
      <c r="R1012" s="561"/>
    </row>
    <row r="1013">
      <c r="A1013" s="551"/>
      <c r="B1013" s="617"/>
      <c r="C1013" s="617"/>
      <c r="D1013" s="561"/>
      <c r="E1013" s="561"/>
      <c r="F1013" s="561"/>
      <c r="G1013" s="561"/>
      <c r="H1013" s="561"/>
      <c r="I1013" s="561"/>
      <c r="J1013" s="561"/>
      <c r="K1013" s="561"/>
      <c r="L1013" s="561"/>
      <c r="M1013" s="561"/>
      <c r="N1013" s="561"/>
      <c r="O1013" s="561"/>
      <c r="P1013" s="561"/>
      <c r="Q1013" s="561"/>
      <c r="R1013" s="561"/>
    </row>
    <row r="1014">
      <c r="A1014" s="551"/>
      <c r="B1014" s="617"/>
      <c r="C1014" s="617"/>
      <c r="D1014" s="561"/>
      <c r="E1014" s="561"/>
      <c r="F1014" s="561"/>
      <c r="G1014" s="561"/>
      <c r="H1014" s="561"/>
      <c r="I1014" s="561"/>
      <c r="J1014" s="561"/>
      <c r="K1014" s="561"/>
      <c r="L1014" s="561"/>
      <c r="M1014" s="561"/>
      <c r="N1014" s="561"/>
      <c r="O1014" s="561"/>
      <c r="P1014" s="561"/>
      <c r="Q1014" s="561"/>
      <c r="R1014" s="561"/>
    </row>
    <row r="1015">
      <c r="A1015" s="551"/>
      <c r="B1015" s="617"/>
      <c r="C1015" s="617"/>
      <c r="D1015" s="561"/>
      <c r="E1015" s="561"/>
      <c r="F1015" s="561"/>
      <c r="G1015" s="561"/>
      <c r="H1015" s="561"/>
      <c r="I1015" s="561"/>
      <c r="J1015" s="561"/>
      <c r="K1015" s="561"/>
      <c r="L1015" s="561"/>
      <c r="M1015" s="561"/>
      <c r="N1015" s="561"/>
      <c r="O1015" s="561"/>
      <c r="P1015" s="561"/>
      <c r="Q1015" s="561"/>
      <c r="R1015" s="561"/>
    </row>
    <row r="1016">
      <c r="A1016" s="551"/>
      <c r="B1016" s="617"/>
      <c r="C1016" s="617"/>
      <c r="D1016" s="561"/>
      <c r="E1016" s="561"/>
      <c r="F1016" s="561"/>
      <c r="G1016" s="561"/>
      <c r="H1016" s="561"/>
      <c r="I1016" s="561"/>
      <c r="J1016" s="561"/>
      <c r="K1016" s="561"/>
      <c r="L1016" s="561"/>
      <c r="M1016" s="561"/>
      <c r="N1016" s="561"/>
      <c r="O1016" s="561"/>
      <c r="P1016" s="561"/>
      <c r="Q1016" s="561"/>
      <c r="R1016" s="561"/>
    </row>
    <row r="1017">
      <c r="A1017" s="551"/>
      <c r="B1017" s="617"/>
      <c r="C1017" s="617"/>
      <c r="D1017" s="561"/>
      <c r="E1017" s="561"/>
      <c r="F1017" s="561"/>
      <c r="G1017" s="561"/>
      <c r="H1017" s="561"/>
      <c r="I1017" s="561"/>
      <c r="J1017" s="561"/>
      <c r="K1017" s="561"/>
      <c r="L1017" s="561"/>
      <c r="M1017" s="561"/>
      <c r="N1017" s="561"/>
      <c r="O1017" s="561"/>
      <c r="P1017" s="561"/>
      <c r="Q1017" s="561"/>
      <c r="R1017" s="561"/>
    </row>
    <row r="1018">
      <c r="A1018" s="551"/>
      <c r="B1018" s="617"/>
      <c r="C1018" s="617"/>
      <c r="D1018" s="561"/>
      <c r="E1018" s="561"/>
      <c r="F1018" s="561"/>
      <c r="G1018" s="561"/>
      <c r="H1018" s="561"/>
      <c r="I1018" s="561"/>
      <c r="J1018" s="561"/>
      <c r="K1018" s="561"/>
      <c r="L1018" s="561"/>
      <c r="M1018" s="561"/>
      <c r="N1018" s="561"/>
      <c r="O1018" s="561"/>
      <c r="P1018" s="561"/>
      <c r="Q1018" s="561"/>
      <c r="R1018" s="561"/>
    </row>
    <row r="1019">
      <c r="A1019" s="551"/>
      <c r="B1019" s="617"/>
      <c r="C1019" s="617"/>
      <c r="D1019" s="561"/>
      <c r="E1019" s="561"/>
      <c r="F1019" s="561"/>
      <c r="G1019" s="561"/>
      <c r="H1019" s="561"/>
      <c r="I1019" s="561"/>
      <c r="J1019" s="561"/>
      <c r="K1019" s="561"/>
      <c r="L1019" s="561"/>
      <c r="M1019" s="561"/>
      <c r="N1019" s="561"/>
      <c r="O1019" s="561"/>
      <c r="P1019" s="561"/>
      <c r="Q1019" s="561"/>
      <c r="R1019" s="561"/>
    </row>
    <row r="1020">
      <c r="A1020" s="551"/>
      <c r="B1020" s="617"/>
      <c r="C1020" s="617"/>
      <c r="D1020" s="561"/>
      <c r="E1020" s="561"/>
      <c r="F1020" s="561"/>
      <c r="G1020" s="561"/>
      <c r="H1020" s="561"/>
      <c r="I1020" s="561"/>
      <c r="J1020" s="561"/>
      <c r="K1020" s="561"/>
      <c r="L1020" s="561"/>
      <c r="M1020" s="561"/>
      <c r="N1020" s="561"/>
      <c r="O1020" s="561"/>
      <c r="P1020" s="561"/>
      <c r="Q1020" s="561"/>
      <c r="R1020" s="561"/>
    </row>
    <row r="1021">
      <c r="A1021" s="551"/>
      <c r="B1021" s="617"/>
      <c r="C1021" s="617"/>
      <c r="D1021" s="561"/>
      <c r="E1021" s="561"/>
      <c r="F1021" s="561"/>
      <c r="G1021" s="561"/>
      <c r="H1021" s="561"/>
      <c r="I1021" s="561"/>
      <c r="J1021" s="561"/>
      <c r="K1021" s="561"/>
      <c r="L1021" s="561"/>
      <c r="M1021" s="561"/>
      <c r="N1021" s="561"/>
      <c r="O1021" s="561"/>
      <c r="P1021" s="561"/>
      <c r="Q1021" s="561"/>
      <c r="R1021" s="561"/>
    </row>
    <row r="1022">
      <c r="A1022" s="551"/>
      <c r="B1022" s="617"/>
      <c r="C1022" s="617"/>
      <c r="D1022" s="561"/>
      <c r="E1022" s="561"/>
      <c r="F1022" s="561"/>
      <c r="G1022" s="561"/>
      <c r="H1022" s="561"/>
      <c r="I1022" s="561"/>
      <c r="J1022" s="561"/>
      <c r="K1022" s="561"/>
      <c r="L1022" s="561"/>
      <c r="M1022" s="561"/>
      <c r="N1022" s="561"/>
      <c r="O1022" s="561"/>
      <c r="P1022" s="561"/>
      <c r="Q1022" s="561"/>
      <c r="R1022" s="561"/>
    </row>
    <row r="1023">
      <c r="A1023" s="551"/>
      <c r="B1023" s="617"/>
      <c r="C1023" s="617"/>
      <c r="D1023" s="561"/>
      <c r="E1023" s="561"/>
      <c r="F1023" s="561"/>
      <c r="G1023" s="561"/>
      <c r="H1023" s="561"/>
      <c r="I1023" s="561"/>
      <c r="J1023" s="561"/>
      <c r="K1023" s="561"/>
      <c r="L1023" s="561"/>
      <c r="M1023" s="561"/>
      <c r="N1023" s="561"/>
      <c r="O1023" s="561"/>
      <c r="P1023" s="561"/>
      <c r="Q1023" s="561"/>
      <c r="R1023" s="561"/>
    </row>
    <row r="1024">
      <c r="A1024" s="551"/>
      <c r="B1024" s="617"/>
      <c r="C1024" s="617"/>
      <c r="D1024" s="561"/>
      <c r="E1024" s="561"/>
      <c r="F1024" s="561"/>
      <c r="G1024" s="561"/>
      <c r="H1024" s="561"/>
      <c r="I1024" s="561"/>
      <c r="J1024" s="561"/>
      <c r="K1024" s="561"/>
      <c r="L1024" s="561"/>
      <c r="M1024" s="561"/>
      <c r="N1024" s="561"/>
      <c r="O1024" s="561"/>
      <c r="P1024" s="561"/>
      <c r="Q1024" s="561"/>
      <c r="R1024" s="561"/>
    </row>
    <row r="1025">
      <c r="A1025" s="551"/>
      <c r="B1025" s="617"/>
      <c r="C1025" s="617"/>
      <c r="D1025" s="561"/>
      <c r="E1025" s="561"/>
      <c r="F1025" s="561"/>
      <c r="G1025" s="561"/>
      <c r="H1025" s="561"/>
      <c r="I1025" s="561"/>
      <c r="J1025" s="561"/>
      <c r="K1025" s="561"/>
      <c r="L1025" s="561"/>
      <c r="M1025" s="561"/>
      <c r="N1025" s="561"/>
      <c r="O1025" s="561"/>
      <c r="P1025" s="561"/>
      <c r="Q1025" s="561"/>
      <c r="R1025" s="561"/>
    </row>
    <row r="1026">
      <c r="A1026" s="551"/>
      <c r="B1026" s="617"/>
      <c r="C1026" s="617"/>
      <c r="D1026" s="561"/>
      <c r="E1026" s="561"/>
      <c r="F1026" s="561"/>
      <c r="G1026" s="561"/>
      <c r="H1026" s="561"/>
      <c r="I1026" s="561"/>
      <c r="J1026" s="561"/>
      <c r="K1026" s="561"/>
      <c r="L1026" s="561"/>
      <c r="M1026" s="561"/>
      <c r="N1026" s="561"/>
      <c r="O1026" s="561"/>
      <c r="P1026" s="561"/>
      <c r="Q1026" s="561"/>
      <c r="R1026" s="561"/>
    </row>
    <row r="1027">
      <c r="A1027" s="551"/>
      <c r="B1027" s="617"/>
      <c r="C1027" s="617"/>
      <c r="D1027" s="561"/>
      <c r="E1027" s="561"/>
      <c r="F1027" s="561"/>
      <c r="G1027" s="561"/>
      <c r="H1027" s="561"/>
      <c r="I1027" s="561"/>
      <c r="J1027" s="561"/>
      <c r="K1027" s="561"/>
      <c r="L1027" s="561"/>
      <c r="M1027" s="561"/>
      <c r="N1027" s="561"/>
      <c r="O1027" s="561"/>
      <c r="P1027" s="561"/>
      <c r="Q1027" s="561"/>
      <c r="R1027" s="561"/>
    </row>
    <row r="1028">
      <c r="A1028" s="551"/>
      <c r="B1028" s="617"/>
      <c r="C1028" s="617"/>
      <c r="D1028" s="561"/>
      <c r="E1028" s="561"/>
      <c r="F1028" s="561"/>
      <c r="G1028" s="561"/>
      <c r="H1028" s="561"/>
      <c r="I1028" s="561"/>
      <c r="J1028" s="561"/>
      <c r="K1028" s="561"/>
      <c r="L1028" s="561"/>
      <c r="M1028" s="561"/>
      <c r="N1028" s="561"/>
      <c r="O1028" s="561"/>
      <c r="P1028" s="561"/>
      <c r="Q1028" s="561"/>
      <c r="R1028" s="561"/>
    </row>
    <row r="1029">
      <c r="A1029" s="551"/>
      <c r="B1029" s="617"/>
      <c r="C1029" s="617"/>
      <c r="D1029" s="561"/>
      <c r="E1029" s="561"/>
      <c r="F1029" s="561"/>
      <c r="G1029" s="561"/>
      <c r="H1029" s="561"/>
      <c r="I1029" s="561"/>
      <c r="J1029" s="561"/>
      <c r="K1029" s="561"/>
      <c r="L1029" s="561"/>
      <c r="M1029" s="561"/>
      <c r="N1029" s="561"/>
      <c r="O1029" s="561"/>
      <c r="P1029" s="561"/>
      <c r="Q1029" s="561"/>
      <c r="R1029" s="561"/>
    </row>
    <row r="1030">
      <c r="A1030" s="551"/>
      <c r="B1030" s="617"/>
      <c r="C1030" s="617"/>
      <c r="D1030" s="561"/>
      <c r="E1030" s="561"/>
      <c r="F1030" s="561"/>
      <c r="G1030" s="561"/>
      <c r="H1030" s="561"/>
      <c r="I1030" s="561"/>
      <c r="J1030" s="561"/>
      <c r="K1030" s="561"/>
      <c r="L1030" s="561"/>
      <c r="M1030" s="561"/>
      <c r="N1030" s="561"/>
      <c r="O1030" s="561"/>
      <c r="P1030" s="561"/>
      <c r="Q1030" s="561"/>
      <c r="R1030" s="561"/>
    </row>
    <row r="1031">
      <c r="A1031" s="551"/>
      <c r="B1031" s="617"/>
      <c r="C1031" s="617"/>
      <c r="D1031" s="561"/>
      <c r="E1031" s="561"/>
      <c r="F1031" s="561"/>
      <c r="G1031" s="561"/>
      <c r="H1031" s="561"/>
      <c r="I1031" s="561"/>
      <c r="J1031" s="561"/>
      <c r="K1031" s="561"/>
      <c r="L1031" s="561"/>
      <c r="M1031" s="561"/>
      <c r="N1031" s="561"/>
      <c r="O1031" s="561"/>
      <c r="P1031" s="561"/>
      <c r="Q1031" s="561"/>
      <c r="R1031" s="561"/>
    </row>
    <row r="1032">
      <c r="A1032" s="551"/>
      <c r="B1032" s="617"/>
      <c r="C1032" s="617"/>
      <c r="D1032" s="561"/>
      <c r="E1032" s="561"/>
      <c r="F1032" s="561"/>
      <c r="G1032" s="561"/>
      <c r="H1032" s="561"/>
      <c r="I1032" s="561"/>
      <c r="J1032" s="561"/>
      <c r="K1032" s="561"/>
      <c r="L1032" s="561"/>
      <c r="M1032" s="561"/>
      <c r="N1032" s="561"/>
      <c r="O1032" s="561"/>
      <c r="P1032" s="561"/>
      <c r="Q1032" s="561"/>
      <c r="R1032" s="561"/>
    </row>
    <row r="1033">
      <c r="A1033" s="551"/>
      <c r="B1033" s="617"/>
      <c r="C1033" s="617"/>
      <c r="D1033" s="561"/>
      <c r="E1033" s="561"/>
      <c r="F1033" s="561"/>
      <c r="G1033" s="561"/>
      <c r="H1033" s="561"/>
      <c r="I1033" s="561"/>
      <c r="J1033" s="561"/>
      <c r="K1033" s="561"/>
      <c r="L1033" s="561"/>
      <c r="M1033" s="561"/>
      <c r="N1033" s="561"/>
      <c r="O1033" s="561"/>
      <c r="P1033" s="561"/>
      <c r="Q1033" s="561"/>
      <c r="R1033" s="561"/>
    </row>
    <row r="1034">
      <c r="A1034" s="551"/>
      <c r="B1034" s="617"/>
      <c r="C1034" s="617"/>
      <c r="D1034" s="561"/>
      <c r="E1034" s="561"/>
      <c r="F1034" s="561"/>
      <c r="G1034" s="561"/>
      <c r="H1034" s="561"/>
      <c r="I1034" s="561"/>
      <c r="J1034" s="561"/>
      <c r="K1034" s="561"/>
      <c r="L1034" s="561"/>
      <c r="M1034" s="561"/>
      <c r="N1034" s="561"/>
      <c r="O1034" s="561"/>
      <c r="P1034" s="561"/>
      <c r="Q1034" s="561"/>
      <c r="R1034" s="561"/>
    </row>
    <row r="1035">
      <c r="A1035" s="551"/>
      <c r="B1035" s="617"/>
      <c r="C1035" s="617"/>
      <c r="D1035" s="561"/>
      <c r="E1035" s="561"/>
      <c r="F1035" s="561"/>
      <c r="G1035" s="561"/>
      <c r="H1035" s="561"/>
      <c r="I1035" s="561"/>
      <c r="J1035" s="561"/>
      <c r="K1035" s="561"/>
      <c r="L1035" s="561"/>
      <c r="M1035" s="561"/>
      <c r="N1035" s="561"/>
      <c r="O1035" s="561"/>
      <c r="P1035" s="561"/>
      <c r="Q1035" s="561"/>
      <c r="R1035" s="561"/>
    </row>
    <row r="1036">
      <c r="A1036" s="551"/>
      <c r="B1036" s="617"/>
      <c r="C1036" s="617"/>
      <c r="D1036" s="561"/>
      <c r="E1036" s="561"/>
      <c r="F1036" s="561"/>
      <c r="G1036" s="561"/>
      <c r="H1036" s="561"/>
      <c r="I1036" s="561"/>
      <c r="J1036" s="561"/>
      <c r="K1036" s="561"/>
      <c r="L1036" s="561"/>
      <c r="M1036" s="561"/>
      <c r="N1036" s="561"/>
      <c r="O1036" s="561"/>
      <c r="P1036" s="561"/>
      <c r="Q1036" s="561"/>
      <c r="R1036" s="561"/>
    </row>
    <row r="1037">
      <c r="A1037" s="551"/>
      <c r="B1037" s="617"/>
      <c r="C1037" s="617"/>
      <c r="D1037" s="561"/>
      <c r="E1037" s="561"/>
      <c r="F1037" s="561"/>
      <c r="G1037" s="561"/>
      <c r="H1037" s="561"/>
      <c r="I1037" s="561"/>
      <c r="J1037" s="561"/>
      <c r="K1037" s="561"/>
      <c r="L1037" s="561"/>
      <c r="M1037" s="561"/>
      <c r="N1037" s="561"/>
      <c r="O1037" s="561"/>
      <c r="P1037" s="561"/>
      <c r="Q1037" s="561"/>
      <c r="R1037" s="561"/>
    </row>
    <row r="1038">
      <c r="A1038" s="551"/>
      <c r="B1038" s="617"/>
      <c r="C1038" s="617"/>
      <c r="D1038" s="561"/>
      <c r="E1038" s="561"/>
      <c r="F1038" s="561"/>
      <c r="G1038" s="561"/>
      <c r="H1038" s="561"/>
      <c r="I1038" s="561"/>
      <c r="J1038" s="561"/>
      <c r="K1038" s="561"/>
      <c r="L1038" s="561"/>
      <c r="M1038" s="561"/>
      <c r="N1038" s="561"/>
      <c r="O1038" s="561"/>
      <c r="P1038" s="561"/>
      <c r="Q1038" s="561"/>
      <c r="R1038" s="561"/>
    </row>
    <row r="1039">
      <c r="A1039" s="551"/>
      <c r="B1039" s="617"/>
      <c r="C1039" s="617"/>
      <c r="D1039" s="561"/>
      <c r="E1039" s="561"/>
      <c r="F1039" s="561"/>
      <c r="G1039" s="561"/>
      <c r="H1039" s="561"/>
      <c r="I1039" s="561"/>
      <c r="J1039" s="561"/>
      <c r="K1039" s="561"/>
      <c r="L1039" s="561"/>
      <c r="M1039" s="561"/>
      <c r="N1039" s="561"/>
      <c r="O1039" s="561"/>
      <c r="P1039" s="561"/>
      <c r="Q1039" s="561"/>
      <c r="R1039" s="561"/>
    </row>
    <row r="1040">
      <c r="A1040" s="551"/>
      <c r="B1040" s="617"/>
      <c r="C1040" s="617"/>
      <c r="D1040" s="561"/>
      <c r="E1040" s="561"/>
      <c r="F1040" s="561"/>
      <c r="G1040" s="561"/>
      <c r="H1040" s="561"/>
      <c r="I1040" s="561"/>
      <c r="J1040" s="561"/>
      <c r="K1040" s="561"/>
      <c r="L1040" s="561"/>
      <c r="M1040" s="561"/>
      <c r="N1040" s="561"/>
      <c r="O1040" s="561"/>
      <c r="P1040" s="561"/>
      <c r="Q1040" s="561"/>
      <c r="R1040" s="561"/>
    </row>
    <row r="1041">
      <c r="A1041" s="551"/>
      <c r="B1041" s="617"/>
      <c r="C1041" s="617"/>
      <c r="D1041" s="561"/>
      <c r="E1041" s="561"/>
      <c r="F1041" s="561"/>
      <c r="G1041" s="561"/>
      <c r="H1041" s="561"/>
      <c r="I1041" s="561"/>
      <c r="J1041" s="561"/>
      <c r="K1041" s="561"/>
      <c r="L1041" s="561"/>
      <c r="M1041" s="561"/>
      <c r="N1041" s="561"/>
      <c r="O1041" s="561"/>
      <c r="P1041" s="561"/>
      <c r="Q1041" s="561"/>
      <c r="R1041" s="561"/>
    </row>
    <row r="1042">
      <c r="A1042" s="551"/>
      <c r="B1042" s="617"/>
      <c r="C1042" s="617"/>
      <c r="D1042" s="561"/>
      <c r="E1042" s="561"/>
      <c r="F1042" s="561"/>
      <c r="G1042" s="561"/>
      <c r="H1042" s="561"/>
      <c r="I1042" s="561"/>
      <c r="J1042" s="561"/>
      <c r="K1042" s="561"/>
      <c r="L1042" s="561"/>
      <c r="M1042" s="561"/>
      <c r="N1042" s="561"/>
      <c r="O1042" s="561"/>
      <c r="P1042" s="561"/>
      <c r="Q1042" s="561"/>
      <c r="R1042" s="561"/>
    </row>
    <row r="1043">
      <c r="A1043" s="551"/>
      <c r="B1043" s="617"/>
      <c r="C1043" s="617"/>
      <c r="D1043" s="561"/>
      <c r="E1043" s="561"/>
      <c r="F1043" s="561"/>
      <c r="G1043" s="561"/>
      <c r="H1043" s="561"/>
      <c r="I1043" s="561"/>
      <c r="J1043" s="561"/>
      <c r="K1043" s="561"/>
      <c r="L1043" s="561"/>
      <c r="M1043" s="561"/>
      <c r="N1043" s="561"/>
      <c r="O1043" s="561"/>
      <c r="P1043" s="561"/>
      <c r="Q1043" s="561"/>
      <c r="R1043" s="561"/>
    </row>
    <row r="1044">
      <c r="A1044" s="551"/>
      <c r="B1044" s="617"/>
      <c r="C1044" s="617"/>
      <c r="D1044" s="561"/>
      <c r="E1044" s="561"/>
      <c r="F1044" s="561"/>
      <c r="G1044" s="561"/>
      <c r="H1044" s="561"/>
      <c r="I1044" s="561"/>
      <c r="J1044" s="561"/>
      <c r="K1044" s="561"/>
      <c r="L1044" s="561"/>
      <c r="M1044" s="561"/>
      <c r="N1044" s="561"/>
      <c r="O1044" s="561"/>
      <c r="P1044" s="561"/>
      <c r="Q1044" s="561"/>
      <c r="R1044" s="561"/>
    </row>
    <row r="1045">
      <c r="A1045" s="551"/>
      <c r="B1045" s="617"/>
      <c r="C1045" s="617"/>
      <c r="D1045" s="561"/>
      <c r="E1045" s="561"/>
      <c r="F1045" s="561"/>
      <c r="G1045" s="561"/>
      <c r="H1045" s="561"/>
      <c r="I1045" s="561"/>
      <c r="J1045" s="561"/>
      <c r="K1045" s="561"/>
      <c r="L1045" s="561"/>
      <c r="M1045" s="561"/>
      <c r="N1045" s="561"/>
      <c r="O1045" s="561"/>
      <c r="P1045" s="561"/>
      <c r="Q1045" s="561"/>
      <c r="R1045" s="561"/>
    </row>
    <row r="1046">
      <c r="A1046" s="551"/>
      <c r="B1046" s="617"/>
      <c r="C1046" s="617"/>
      <c r="D1046" s="561"/>
      <c r="E1046" s="561"/>
      <c r="F1046" s="561"/>
      <c r="G1046" s="561"/>
      <c r="H1046" s="561"/>
      <c r="I1046" s="561"/>
      <c r="J1046" s="561"/>
      <c r="K1046" s="561"/>
      <c r="L1046" s="561"/>
      <c r="M1046" s="561"/>
      <c r="N1046" s="561"/>
      <c r="O1046" s="561"/>
      <c r="P1046" s="561"/>
      <c r="Q1046" s="561"/>
      <c r="R1046" s="561"/>
    </row>
    <row r="1047">
      <c r="A1047" s="551"/>
      <c r="B1047" s="617"/>
      <c r="C1047" s="617"/>
      <c r="D1047" s="561"/>
      <c r="E1047" s="561"/>
      <c r="F1047" s="561"/>
      <c r="G1047" s="561"/>
      <c r="H1047" s="561"/>
      <c r="I1047" s="561"/>
      <c r="J1047" s="561"/>
      <c r="K1047" s="561"/>
      <c r="L1047" s="561"/>
      <c r="M1047" s="561"/>
      <c r="N1047" s="561"/>
      <c r="O1047" s="561"/>
      <c r="P1047" s="561"/>
      <c r="Q1047" s="561"/>
      <c r="R1047" s="561"/>
    </row>
    <row r="1048">
      <c r="A1048" s="551"/>
      <c r="B1048" s="617"/>
      <c r="C1048" s="617"/>
      <c r="D1048" s="561"/>
      <c r="E1048" s="561"/>
      <c r="F1048" s="561"/>
      <c r="G1048" s="561"/>
      <c r="H1048" s="561"/>
      <c r="I1048" s="561"/>
      <c r="J1048" s="561"/>
      <c r="K1048" s="561"/>
      <c r="L1048" s="561"/>
      <c r="M1048" s="561"/>
      <c r="N1048" s="561"/>
      <c r="O1048" s="561"/>
      <c r="P1048" s="561"/>
      <c r="Q1048" s="561"/>
      <c r="R1048" s="561"/>
    </row>
    <row r="1049">
      <c r="A1049" s="551"/>
      <c r="B1049" s="617"/>
      <c r="C1049" s="617"/>
      <c r="D1049" s="561"/>
      <c r="E1049" s="561"/>
      <c r="F1049" s="561"/>
      <c r="G1049" s="561"/>
      <c r="H1049" s="561"/>
      <c r="I1049" s="561"/>
      <c r="J1049" s="561"/>
      <c r="K1049" s="561"/>
      <c r="L1049" s="561"/>
      <c r="M1049" s="561"/>
      <c r="N1049" s="561"/>
      <c r="O1049" s="561"/>
      <c r="P1049" s="561"/>
      <c r="Q1049" s="561"/>
      <c r="R1049" s="561"/>
    </row>
    <row r="1050">
      <c r="A1050" s="551"/>
      <c r="B1050" s="617"/>
      <c r="C1050" s="617"/>
      <c r="D1050" s="561"/>
      <c r="E1050" s="561"/>
      <c r="F1050" s="561"/>
      <c r="G1050" s="561"/>
      <c r="H1050" s="561"/>
      <c r="I1050" s="561"/>
      <c r="J1050" s="561"/>
      <c r="K1050" s="561"/>
      <c r="L1050" s="561"/>
      <c r="M1050" s="561"/>
      <c r="N1050" s="561"/>
      <c r="O1050" s="561"/>
      <c r="P1050" s="561"/>
      <c r="Q1050" s="561"/>
      <c r="R1050" s="561"/>
    </row>
    <row r="1051">
      <c r="A1051" s="551"/>
      <c r="B1051" s="617"/>
      <c r="C1051" s="617"/>
      <c r="D1051" s="561"/>
      <c r="E1051" s="561"/>
      <c r="F1051" s="561"/>
      <c r="G1051" s="561"/>
      <c r="H1051" s="561"/>
      <c r="I1051" s="561"/>
      <c r="J1051" s="561"/>
      <c r="K1051" s="561"/>
      <c r="L1051" s="561"/>
      <c r="M1051" s="561"/>
      <c r="N1051" s="561"/>
      <c r="O1051" s="561"/>
      <c r="P1051" s="561"/>
      <c r="Q1051" s="561"/>
      <c r="R1051" s="561"/>
    </row>
    <row r="1052">
      <c r="A1052" s="551"/>
      <c r="B1052" s="617"/>
      <c r="C1052" s="617"/>
      <c r="D1052" s="561"/>
      <c r="E1052" s="561"/>
      <c r="F1052" s="561"/>
      <c r="G1052" s="561"/>
      <c r="H1052" s="561"/>
      <c r="I1052" s="561"/>
      <c r="J1052" s="561"/>
      <c r="K1052" s="561"/>
      <c r="L1052" s="561"/>
      <c r="M1052" s="561"/>
      <c r="N1052" s="561"/>
      <c r="O1052" s="561"/>
      <c r="P1052" s="561"/>
      <c r="Q1052" s="561"/>
      <c r="R1052" s="561"/>
    </row>
    <row r="1053">
      <c r="A1053" s="551"/>
      <c r="B1053" s="617"/>
      <c r="C1053" s="617"/>
      <c r="D1053" s="561"/>
      <c r="E1053" s="561"/>
      <c r="F1053" s="561"/>
      <c r="G1053" s="561"/>
      <c r="H1053" s="561"/>
      <c r="I1053" s="561"/>
      <c r="J1053" s="561"/>
      <c r="K1053" s="561"/>
      <c r="L1053" s="561"/>
      <c r="M1053" s="561"/>
      <c r="N1053" s="561"/>
      <c r="O1053" s="561"/>
      <c r="P1053" s="561"/>
      <c r="Q1053" s="561"/>
      <c r="R1053" s="561"/>
    </row>
    <row r="1054">
      <c r="A1054" s="551"/>
      <c r="B1054" s="617"/>
      <c r="C1054" s="617"/>
      <c r="D1054" s="561"/>
      <c r="E1054" s="561"/>
      <c r="F1054" s="561"/>
      <c r="G1054" s="561"/>
      <c r="H1054" s="561"/>
      <c r="I1054" s="561"/>
      <c r="J1054" s="561"/>
      <c r="K1054" s="561"/>
      <c r="L1054" s="561"/>
      <c r="M1054" s="561"/>
      <c r="N1054" s="561"/>
      <c r="O1054" s="561"/>
      <c r="P1054" s="561"/>
      <c r="Q1054" s="561"/>
      <c r="R1054" s="561"/>
    </row>
    <row r="1055">
      <c r="A1055" s="551"/>
      <c r="B1055" s="617"/>
      <c r="C1055" s="617"/>
      <c r="D1055" s="561"/>
      <c r="E1055" s="561"/>
      <c r="F1055" s="561"/>
      <c r="G1055" s="561"/>
      <c r="H1055" s="561"/>
      <c r="I1055" s="561"/>
      <c r="J1055" s="561"/>
      <c r="K1055" s="561"/>
      <c r="L1055" s="561"/>
      <c r="M1055" s="561"/>
      <c r="N1055" s="561"/>
      <c r="O1055" s="561"/>
      <c r="P1055" s="561"/>
      <c r="Q1055" s="561"/>
      <c r="R1055" s="561"/>
    </row>
    <row r="1056">
      <c r="A1056" s="551"/>
      <c r="B1056" s="617"/>
      <c r="C1056" s="617"/>
      <c r="D1056" s="561"/>
      <c r="E1056" s="561"/>
      <c r="F1056" s="561"/>
      <c r="G1056" s="561"/>
      <c r="H1056" s="561"/>
      <c r="I1056" s="561"/>
      <c r="J1056" s="561"/>
      <c r="K1056" s="561"/>
      <c r="L1056" s="561"/>
      <c r="M1056" s="561"/>
      <c r="N1056" s="561"/>
      <c r="O1056" s="561"/>
      <c r="P1056" s="561"/>
      <c r="Q1056" s="561"/>
      <c r="R1056" s="561"/>
    </row>
  </sheetData>
  <autoFilter ref="$B$9:$I$117"/>
  <mergeCells count="1">
    <mergeCell ref="B8:I8"/>
  </mergeCells>
  <conditionalFormatting sqref="C3:C7 E3:I7 J3:R1056 D4:D7 C9:C78 D9:D70 E9:I1056 B52:B62 D79:D1056 C80:C86">
    <cfRule type="cellIs" dxfId="0" priority="1" operator="lessThan">
      <formula>0</formula>
    </cfRule>
  </conditionalFormatting>
  <drawing r:id="rId2"/>
  <legacyDrawing r:id="rId3"/>
</worksheet>
</file>