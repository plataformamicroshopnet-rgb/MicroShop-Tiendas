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d3876d4a7c9bd529/Personal/"/>
    </mc:Choice>
  </mc:AlternateContent>
  <xr:revisionPtr revIDLastSave="127" documentId="13_ncr:1_{47225E21-5F44-44B6-91B3-BE715F6DC094}" xr6:coauthVersionLast="47" xr6:coauthVersionMax="47" xr10:uidLastSave="{AA077959-B3A0-46E1-B989-98DF2CB58470}"/>
  <bookViews>
    <workbookView xWindow="-98" yWindow="-98" windowWidth="21795" windowHeight="13695" tabRatio="847" xr2:uid="{00000000-000D-0000-FFFF-FFFF00000000}"/>
  </bookViews>
  <sheets>
    <sheet name="Retrospectiva Creditos" sheetId="12" r:id="rId1"/>
    <sheet name="Liquidez Angel Luis" sheetId="15" r:id="rId2"/>
    <sheet name="Prestamos" sheetId="19" r:id="rId3"/>
    <sheet name="Rentabilidad PISOS y PEx 2022" sheetId="18" r:id="rId4"/>
    <sheet name="Pagos Extras 2021" sheetId="17" r:id="rId5"/>
    <sheet name="Pagos Extras 2020" sheetId="16" r:id="rId6"/>
    <sheet name="Año 2008 y 2019" sheetId="2" r:id="rId7"/>
    <sheet name="Año 2000 al 2011" sheetId="4" r:id="rId8"/>
    <sheet name="Año 2009" sheetId="1" r:id="rId9"/>
    <sheet name="Cuadro de Amortización" sheetId="13" r:id="rId10"/>
    <sheet name="Intereses de mi Padre (3)" sheetId="9" r:id="rId11"/>
    <sheet name="Intereses de mi Padre (2)" sheetId="8" r:id="rId12"/>
    <sheet name="Intereses de mi Padre" sheetId="3" r:id="rId13"/>
  </sheets>
  <definedNames>
    <definedName name="_xlnm.Print_Area" localSheetId="12">'Intereses de mi Padre'!$B$23:$G$34</definedName>
    <definedName name="_xlnm.Print_Area" localSheetId="11">'Intereses de mi Padre (2)'!#REF!</definedName>
    <definedName name="_xlnm.Print_Area" localSheetId="10">'Intereses de mi Padre (3)'!#REF!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5" l="1"/>
  <c r="T28" i="12"/>
  <c r="T27" i="12"/>
  <c r="T26" i="12"/>
  <c r="T25" i="12"/>
  <c r="S28" i="12"/>
  <c r="S27" i="12"/>
  <c r="S26" i="12"/>
  <c r="S25" i="12"/>
  <c r="S32" i="12"/>
  <c r="S21" i="12"/>
  <c r="S16" i="12"/>
  <c r="S22" i="12" s="1"/>
  <c r="S24" i="12" s="1"/>
  <c r="S22" i="15"/>
  <c r="T21" i="15"/>
  <c r="T20" i="15"/>
  <c r="T19" i="15"/>
  <c r="T18" i="15"/>
  <c r="T17" i="15"/>
  <c r="T16" i="15"/>
  <c r="T15" i="15"/>
  <c r="T13" i="15"/>
  <c r="T12" i="15"/>
  <c r="T11" i="15"/>
  <c r="T10" i="15"/>
  <c r="T9" i="15"/>
  <c r="T8" i="15"/>
  <c r="T7" i="15"/>
  <c r="T6" i="15"/>
  <c r="T5" i="15"/>
  <c r="T4" i="15"/>
  <c r="T3" i="15"/>
  <c r="G10" i="18"/>
  <c r="R4" i="15"/>
  <c r="F15" i="15"/>
  <c r="Q22" i="15"/>
  <c r="R21" i="15"/>
  <c r="R20" i="15"/>
  <c r="R19" i="15"/>
  <c r="R18" i="15"/>
  <c r="R17" i="15"/>
  <c r="R16" i="15"/>
  <c r="R15" i="15"/>
  <c r="R13" i="15"/>
  <c r="R12" i="15"/>
  <c r="R11" i="15"/>
  <c r="R10" i="15"/>
  <c r="R9" i="15"/>
  <c r="R8" i="15"/>
  <c r="R7" i="15"/>
  <c r="R6" i="15"/>
  <c r="R5" i="15"/>
  <c r="R3" i="15"/>
  <c r="R28" i="12"/>
  <c r="R27" i="12"/>
  <c r="R26" i="12"/>
  <c r="R25" i="12"/>
  <c r="R21" i="12"/>
  <c r="R16" i="12"/>
  <c r="Q25" i="12"/>
  <c r="Q16" i="12"/>
  <c r="Q22" i="12" s="1"/>
  <c r="Q24" i="12" s="1"/>
  <c r="R22" i="12"/>
  <c r="R24" i="12"/>
  <c r="O22" i="15"/>
  <c r="P21" i="15"/>
  <c r="P20" i="15"/>
  <c r="P19" i="15"/>
  <c r="P18" i="15"/>
  <c r="P17" i="15"/>
  <c r="P16" i="15"/>
  <c r="P15" i="15"/>
  <c r="P13" i="15"/>
  <c r="P12" i="15"/>
  <c r="P11" i="15"/>
  <c r="P10" i="15"/>
  <c r="P9" i="15"/>
  <c r="P8" i="15"/>
  <c r="P7" i="15"/>
  <c r="P6" i="15"/>
  <c r="P5" i="15"/>
  <c r="P4" i="15"/>
  <c r="P3" i="15"/>
  <c r="Q28" i="12"/>
  <c r="Q27" i="12"/>
  <c r="Q26" i="12"/>
  <c r="Q21" i="12"/>
  <c r="C10" i="19"/>
  <c r="C9" i="19"/>
  <c r="C11" i="19"/>
  <c r="I4" i="18"/>
  <c r="I5" i="18"/>
  <c r="P32" i="12"/>
  <c r="P21" i="12"/>
  <c r="P16" i="12"/>
  <c r="P22" i="12" s="1"/>
  <c r="P24" i="12" s="1"/>
  <c r="P33" i="12" s="1"/>
  <c r="M22" i="15"/>
  <c r="N21" i="15"/>
  <c r="N20" i="15"/>
  <c r="N19" i="15"/>
  <c r="N18" i="15"/>
  <c r="N17" i="15"/>
  <c r="N16" i="15"/>
  <c r="N15" i="15"/>
  <c r="N13" i="15"/>
  <c r="N12" i="15"/>
  <c r="N11" i="15"/>
  <c r="N10" i="15"/>
  <c r="N9" i="15"/>
  <c r="N8" i="15"/>
  <c r="N7" i="15"/>
  <c r="N6" i="15"/>
  <c r="N5" i="15"/>
  <c r="N4" i="15"/>
  <c r="N3" i="15"/>
  <c r="O7" i="19"/>
  <c r="O8" i="19"/>
  <c r="L7" i="19"/>
  <c r="L8" i="19"/>
  <c r="I7" i="19"/>
  <c r="I8" i="19"/>
  <c r="F15" i="19"/>
  <c r="F16" i="19"/>
  <c r="F7" i="19"/>
  <c r="F8" i="19"/>
  <c r="D5" i="18"/>
  <c r="L4" i="15"/>
  <c r="D3" i="18"/>
  <c r="L19" i="15"/>
  <c r="J19" i="15"/>
  <c r="H19" i="15"/>
  <c r="F19" i="15"/>
  <c r="D15" i="18"/>
  <c r="D14" i="18"/>
  <c r="D10" i="18"/>
  <c r="D9" i="18"/>
  <c r="D7" i="18"/>
  <c r="D6" i="18"/>
  <c r="D4" i="18"/>
  <c r="D12" i="18"/>
  <c r="D12" i="17"/>
  <c r="D10" i="17"/>
  <c r="C16" i="18"/>
  <c r="D13" i="18"/>
  <c r="D11" i="18"/>
  <c r="J6" i="18"/>
  <c r="I6" i="18"/>
  <c r="J5" i="18"/>
  <c r="J4" i="18"/>
  <c r="H8" i="17"/>
  <c r="H12" i="17"/>
  <c r="G14" i="17"/>
  <c r="G13" i="17"/>
  <c r="G12" i="17"/>
  <c r="T21" i="12"/>
  <c r="T16" i="12"/>
  <c r="F13" i="15"/>
  <c r="L12" i="15"/>
  <c r="L8" i="15"/>
  <c r="J8" i="15"/>
  <c r="H8" i="15"/>
  <c r="F8" i="15"/>
  <c r="I6" i="17"/>
  <c r="I5" i="17"/>
  <c r="I4" i="17"/>
  <c r="L18" i="15"/>
  <c r="J18" i="15"/>
  <c r="H18" i="15"/>
  <c r="F18" i="15"/>
  <c r="G9" i="17"/>
  <c r="G8" i="17"/>
  <c r="G10" i="17"/>
  <c r="J6" i="17"/>
  <c r="K6" i="17"/>
  <c r="J7" i="15"/>
  <c r="J6" i="15"/>
  <c r="L21" i="15"/>
  <c r="L20" i="15"/>
  <c r="L17" i="15"/>
  <c r="L16" i="15"/>
  <c r="L15" i="15"/>
  <c r="L13" i="15"/>
  <c r="L11" i="15"/>
  <c r="L10" i="15"/>
  <c r="L9" i="15"/>
  <c r="L7" i="15"/>
  <c r="L6" i="15"/>
  <c r="L5" i="15"/>
  <c r="L3" i="15"/>
  <c r="K22" i="15"/>
  <c r="D13" i="17"/>
  <c r="F11" i="15"/>
  <c r="C16" i="17"/>
  <c r="D6" i="17"/>
  <c r="D5" i="17"/>
  <c r="J5" i="17"/>
  <c r="K5" i="17"/>
  <c r="J4" i="17"/>
  <c r="K4" i="17"/>
  <c r="A1" i="12"/>
  <c r="D11" i="17"/>
  <c r="H7" i="15"/>
  <c r="F7" i="15"/>
  <c r="H6" i="15"/>
  <c r="D3" i="17"/>
  <c r="J17" i="15"/>
  <c r="H17" i="15"/>
  <c r="F17" i="15"/>
  <c r="D14" i="17"/>
  <c r="O21" i="12"/>
  <c r="O16" i="12"/>
  <c r="O22" i="12" s="1"/>
  <c r="O24" i="12" s="1"/>
  <c r="O33" i="12" s="1"/>
  <c r="O34" i="12" s="1"/>
  <c r="I22" i="15"/>
  <c r="J21" i="15"/>
  <c r="J20" i="15"/>
  <c r="J16" i="15"/>
  <c r="J15" i="15"/>
  <c r="J13" i="15"/>
  <c r="J12" i="15"/>
  <c r="J11" i="15"/>
  <c r="J10" i="15"/>
  <c r="J9" i="15"/>
  <c r="J5" i="15"/>
  <c r="J4" i="15"/>
  <c r="J3" i="15"/>
  <c r="D19" i="16"/>
  <c r="D16" i="16"/>
  <c r="N16" i="12"/>
  <c r="D4" i="16"/>
  <c r="D24" i="16"/>
  <c r="D15" i="16"/>
  <c r="D12" i="16"/>
  <c r="D10" i="16"/>
  <c r="D7" i="16"/>
  <c r="D5" i="16"/>
  <c r="D3" i="16"/>
  <c r="C25" i="16"/>
  <c r="F20" i="15"/>
  <c r="H4" i="15"/>
  <c r="G23" i="13"/>
  <c r="H16" i="15"/>
  <c r="F16" i="15"/>
  <c r="G22" i="13"/>
  <c r="H13" i="15"/>
  <c r="G21" i="13"/>
  <c r="G20" i="13"/>
  <c r="G19" i="13"/>
  <c r="G18" i="13"/>
  <c r="G6" i="13"/>
  <c r="G7" i="13"/>
  <c r="G8" i="13"/>
  <c r="G9" i="13"/>
  <c r="G10" i="13"/>
  <c r="G11" i="13"/>
  <c r="G12" i="13"/>
  <c r="G13" i="13"/>
  <c r="G14" i="13"/>
  <c r="G15" i="13"/>
  <c r="G16" i="13"/>
  <c r="G17" i="13"/>
  <c r="M16" i="12"/>
  <c r="M22" i="12" s="1"/>
  <c r="M24" i="12" s="1"/>
  <c r="H15" i="15"/>
  <c r="G22" i="15"/>
  <c r="H21" i="15"/>
  <c r="H12" i="15"/>
  <c r="H11" i="15"/>
  <c r="H10" i="15"/>
  <c r="H9" i="15"/>
  <c r="H5" i="15"/>
  <c r="H3" i="15"/>
  <c r="N21" i="12"/>
  <c r="L32" i="12"/>
  <c r="L33" i="12" s="1"/>
  <c r="K32" i="12"/>
  <c r="K33" i="12" s="1"/>
  <c r="J32" i="12"/>
  <c r="J33" i="12" s="1"/>
  <c r="I32" i="12"/>
  <c r="I16" i="12"/>
  <c r="I22" i="12" s="1"/>
  <c r="I24" i="12" s="1"/>
  <c r="I33" i="12" s="1"/>
  <c r="I21" i="12"/>
  <c r="H32" i="12"/>
  <c r="H33" i="12" s="1"/>
  <c r="G32" i="12"/>
  <c r="G33" i="12" s="1"/>
  <c r="F32" i="12"/>
  <c r="E32" i="12"/>
  <c r="E33" i="12" s="1"/>
  <c r="E34" i="12" s="1"/>
  <c r="D32" i="12"/>
  <c r="C32" i="12"/>
  <c r="B32" i="12"/>
  <c r="B16" i="12"/>
  <c r="B22" i="12"/>
  <c r="B24" i="12"/>
  <c r="B33" i="12"/>
  <c r="F12" i="15"/>
  <c r="B6" i="13"/>
  <c r="B7" i="13"/>
  <c r="B8" i="13"/>
  <c r="B9" i="13"/>
  <c r="B10" i="13"/>
  <c r="B11" i="13"/>
  <c r="B12" i="13"/>
  <c r="B13" i="13"/>
  <c r="B14" i="13"/>
  <c r="B15" i="13"/>
  <c r="B16" i="13"/>
  <c r="F9" i="15"/>
  <c r="F21" i="15"/>
  <c r="E22" i="15"/>
  <c r="C22" i="15"/>
  <c r="F10" i="15"/>
  <c r="F5" i="15"/>
  <c r="F3" i="15"/>
  <c r="M21" i="12"/>
  <c r="W11" i="2"/>
  <c r="U11" i="2"/>
  <c r="W13" i="2"/>
  <c r="S11" i="2"/>
  <c r="X10" i="2"/>
  <c r="X9" i="2"/>
  <c r="X8" i="2"/>
  <c r="X7" i="2"/>
  <c r="X6" i="2"/>
  <c r="X5" i="2"/>
  <c r="X4" i="2"/>
  <c r="X3" i="2"/>
  <c r="V6" i="2"/>
  <c r="V5" i="2"/>
  <c r="V4" i="2"/>
  <c r="V3" i="2"/>
  <c r="Q11" i="2"/>
  <c r="O11" i="2"/>
  <c r="Q13" i="2"/>
  <c r="V10" i="2"/>
  <c r="V9" i="2"/>
  <c r="V8" i="2"/>
  <c r="V7" i="2"/>
  <c r="AK11" i="2"/>
  <c r="L21" i="12"/>
  <c r="L16" i="12"/>
  <c r="L22" i="12"/>
  <c r="L24" i="12"/>
  <c r="D16" i="12"/>
  <c r="D22" i="12"/>
  <c r="D24" i="12" s="1"/>
  <c r="D33" i="12" s="1"/>
  <c r="C16" i="12"/>
  <c r="C22" i="12"/>
  <c r="C24" i="12"/>
  <c r="C33" i="12" s="1"/>
  <c r="C34" i="12" s="1"/>
  <c r="E16" i="12"/>
  <c r="E22" i="12" s="1"/>
  <c r="E24" i="12" s="1"/>
  <c r="G16" i="12"/>
  <c r="G21" i="12"/>
  <c r="F16" i="12"/>
  <c r="F21" i="12"/>
  <c r="H16" i="12"/>
  <c r="H21" i="12"/>
  <c r="H22" i="12" s="1"/>
  <c r="H24" i="12" s="1"/>
  <c r="K21" i="12"/>
  <c r="J21" i="12"/>
  <c r="J16" i="12"/>
  <c r="J22" i="12" s="1"/>
  <c r="J24" i="12" s="1"/>
  <c r="K16" i="12"/>
  <c r="K22" i="12" s="1"/>
  <c r="K24" i="12" s="1"/>
  <c r="G11" i="2"/>
  <c r="Y13" i="2"/>
  <c r="AE13" i="2"/>
  <c r="Y14" i="2"/>
  <c r="Y19" i="2"/>
  <c r="AL11" i="2"/>
  <c r="S13" i="2"/>
  <c r="T11" i="2"/>
  <c r="T6" i="2"/>
  <c r="T5" i="2"/>
  <c r="T4" i="2"/>
  <c r="T3" i="2"/>
  <c r="R11" i="2"/>
  <c r="R5" i="2"/>
  <c r="R6" i="2"/>
  <c r="R4" i="2"/>
  <c r="R3" i="2"/>
  <c r="R10" i="2"/>
  <c r="R8" i="2"/>
  <c r="R9" i="2"/>
  <c r="R7" i="2"/>
  <c r="AJ11" i="2"/>
  <c r="J4" i="2"/>
  <c r="C6" i="2"/>
  <c r="D6" i="2"/>
  <c r="C7" i="2"/>
  <c r="D7" i="2"/>
  <c r="C3" i="2"/>
  <c r="D3" i="2"/>
  <c r="C8" i="2"/>
  <c r="F8" i="2"/>
  <c r="C4" i="2"/>
  <c r="D4" i="2"/>
  <c r="C9" i="2"/>
  <c r="D9" i="2"/>
  <c r="B11" i="2"/>
  <c r="A11" i="2"/>
  <c r="B13" i="2"/>
  <c r="D10" i="2"/>
  <c r="E11" i="2"/>
  <c r="H11" i="2"/>
  <c r="F10" i="2"/>
  <c r="F9" i="2"/>
  <c r="F4" i="2"/>
  <c r="AI11" i="2"/>
  <c r="T10" i="2"/>
  <c r="T8" i="2"/>
  <c r="T9" i="2"/>
  <c r="T7" i="2"/>
  <c r="H8" i="2"/>
  <c r="H9" i="2"/>
  <c r="H7" i="2"/>
  <c r="H4" i="2"/>
  <c r="H3" i="2"/>
  <c r="H6" i="2"/>
  <c r="J7" i="2"/>
  <c r="J3" i="2"/>
  <c r="J6" i="2"/>
  <c r="L4" i="2"/>
  <c r="L3" i="2"/>
  <c r="L6" i="2"/>
  <c r="P5" i="2"/>
  <c r="P4" i="2"/>
  <c r="P3" i="2"/>
  <c r="P6" i="2"/>
  <c r="N6" i="2"/>
  <c r="N3" i="2"/>
  <c r="N4" i="2"/>
  <c r="E6" i="9"/>
  <c r="F6" i="9"/>
  <c r="E4" i="9"/>
  <c r="F4" i="9"/>
  <c r="L7" i="2"/>
  <c r="N7" i="2"/>
  <c r="P7" i="2"/>
  <c r="L9" i="2"/>
  <c r="N9" i="2"/>
  <c r="P9" i="2"/>
  <c r="L8" i="2"/>
  <c r="N8" i="2"/>
  <c r="P8" i="2"/>
  <c r="L10" i="2"/>
  <c r="N10" i="2"/>
  <c r="P10" i="2"/>
  <c r="AH11" i="2"/>
  <c r="M11" i="2"/>
  <c r="K11" i="2"/>
  <c r="N11" i="2"/>
  <c r="I11" i="2"/>
  <c r="L11" i="2"/>
  <c r="I13" i="2"/>
  <c r="G11" i="1"/>
  <c r="E13" i="8"/>
  <c r="F13" i="8"/>
  <c r="E11" i="8"/>
  <c r="F11" i="8"/>
  <c r="AG11" i="2"/>
  <c r="E6" i="8"/>
  <c r="F6" i="8"/>
  <c r="E4" i="8"/>
  <c r="F4" i="8"/>
  <c r="H10" i="2"/>
  <c r="AF11" i="2"/>
  <c r="J9" i="2"/>
  <c r="J8" i="2"/>
  <c r="J10" i="2"/>
  <c r="E11" i="1"/>
  <c r="AD11" i="2"/>
  <c r="G13" i="2"/>
  <c r="G15" i="4"/>
  <c r="E15" i="4"/>
  <c r="F17" i="4"/>
  <c r="D15" i="4"/>
  <c r="E17" i="4"/>
  <c r="C2" i="4"/>
  <c r="C5" i="4"/>
  <c r="C8" i="4"/>
  <c r="C13" i="4"/>
  <c r="C10" i="4"/>
  <c r="C12" i="4"/>
  <c r="C14" i="4"/>
  <c r="C15" i="4"/>
  <c r="D17" i="4"/>
  <c r="B15" i="4"/>
  <c r="K15" i="4"/>
  <c r="J15" i="4"/>
  <c r="I15" i="4"/>
  <c r="H15" i="4"/>
  <c r="D36" i="3"/>
  <c r="F36" i="3"/>
  <c r="F37" i="3"/>
  <c r="D37" i="3"/>
  <c r="D30" i="3"/>
  <c r="E30" i="3"/>
  <c r="E31" i="3"/>
  <c r="F30" i="3"/>
  <c r="F31" i="3"/>
  <c r="D31" i="3"/>
  <c r="D24" i="3"/>
  <c r="F24" i="3"/>
  <c r="F25" i="3"/>
  <c r="D25" i="3"/>
  <c r="D16" i="3"/>
  <c r="F16" i="3"/>
  <c r="F17" i="3"/>
  <c r="D17" i="3"/>
  <c r="C17" i="3"/>
  <c r="D5" i="3"/>
  <c r="G5" i="3"/>
  <c r="G6" i="3"/>
  <c r="E5" i="3"/>
  <c r="E6" i="3"/>
  <c r="F5" i="3"/>
  <c r="F6" i="3"/>
  <c r="C6" i="3"/>
  <c r="AE11" i="2"/>
  <c r="AC11" i="2"/>
  <c r="AB11" i="2"/>
  <c r="AA11" i="2"/>
  <c r="B38" i="1"/>
  <c r="G16" i="3"/>
  <c r="G17" i="3"/>
  <c r="G24" i="3"/>
  <c r="G25" i="3"/>
  <c r="G30" i="3"/>
  <c r="G31" i="3"/>
  <c r="G36" i="3"/>
  <c r="G37" i="3"/>
  <c r="K13" i="2"/>
  <c r="F3" i="2"/>
  <c r="P11" i="2"/>
  <c r="F6" i="2"/>
  <c r="C11" i="2"/>
  <c r="D11" i="2"/>
  <c r="E16" i="3"/>
  <c r="E17" i="3"/>
  <c r="E24" i="3"/>
  <c r="E25" i="3"/>
  <c r="E36" i="3"/>
  <c r="E37" i="3"/>
  <c r="O13" i="2"/>
  <c r="F7" i="2"/>
  <c r="M13" i="2"/>
  <c r="F11" i="2"/>
  <c r="U13" i="2"/>
  <c r="X11" i="2"/>
  <c r="C17" i="4"/>
  <c r="E13" i="2"/>
  <c r="D6" i="3"/>
  <c r="D8" i="2"/>
  <c r="C13" i="2"/>
  <c r="J11" i="2"/>
  <c r="V11" i="2"/>
  <c r="M32" i="12"/>
  <c r="N32" i="12"/>
  <c r="D25" i="16"/>
  <c r="D16" i="17"/>
  <c r="O32" i="12"/>
  <c r="F22" i="12"/>
  <c r="F24" i="12"/>
  <c r="F33" i="12" s="1"/>
  <c r="G22" i="12"/>
  <c r="G24" i="12"/>
  <c r="C12" i="19"/>
  <c r="D16" i="18"/>
  <c r="N22" i="12"/>
  <c r="N24" i="12"/>
  <c r="N33" i="12"/>
  <c r="O24" i="15" l="1"/>
  <c r="Q24" i="15"/>
  <c r="R32" i="12"/>
  <c r="R33" i="12" s="1"/>
  <c r="S33" i="12"/>
  <c r="M33" i="12"/>
  <c r="M34" i="12" s="1"/>
  <c r="F34" i="12"/>
  <c r="I34" i="12"/>
  <c r="D34" i="12"/>
  <c r="J34" i="12"/>
  <c r="K34" i="12"/>
  <c r="L34" i="12"/>
  <c r="G34" i="12"/>
  <c r="H34" i="12"/>
  <c r="P34" i="12"/>
  <c r="I24" i="15"/>
  <c r="M24" i="15"/>
  <c r="Q32" i="12"/>
  <c r="Q33" i="12" s="1"/>
  <c r="Q34" i="12" s="1"/>
  <c r="F22" i="15"/>
  <c r="L22" i="15"/>
  <c r="K24" i="15"/>
  <c r="P22" i="15"/>
  <c r="N22" i="15"/>
  <c r="J22" i="15"/>
  <c r="H22" i="15"/>
  <c r="E24" i="15"/>
  <c r="S24" i="15"/>
  <c r="G24" i="15"/>
  <c r="T22" i="15"/>
  <c r="T32" i="12"/>
  <c r="R22" i="15"/>
  <c r="T22" i="12"/>
  <c r="T24" i="12" s="1"/>
  <c r="S34" i="12" l="1"/>
  <c r="N34" i="12"/>
  <c r="R34" i="12"/>
  <c r="T33" i="12"/>
  <c r="T3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Luis Almaraz González</author>
  </authors>
  <commentList>
    <comment ref="N4" authorId="0" shapeId="0" xr:uid="{E39E3A28-5BEF-4DCF-BC26-F8E53AF15923}">
      <text>
        <r>
          <rPr>
            <b/>
            <sz val="9"/>
            <color rgb="FF000000"/>
            <rFont val="Tahoma"/>
            <family val="2"/>
          </rPr>
          <t>Me deven en subvenciones unos 9.000€ (Junta de Castilla y León + Ayuntamiento)</t>
        </r>
      </text>
    </comment>
    <comment ref="O4" authorId="0" shapeId="0" xr:uid="{9783CF02-6D17-4DC4-BB27-F7CFF032E9B2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O5" authorId="0" shapeId="0" xr:uid="{C909E096-F168-494C-A7E7-3C901A51C256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P5" authorId="0" shapeId="0" xr:uid="{DD129F2A-3F5C-FA4E-8D15-48CD8E5A6208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Q5" authorId="0" shapeId="0" xr:uid="{6576011D-6609-4219-A07E-8961B7D3B7C0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R5" authorId="0" shapeId="0" xr:uid="{696B3BF6-1C21-4B75-BC84-B6E781308385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S5" authorId="0" shapeId="0" xr:uid="{8E72B6F3-30C9-4DD5-9EAB-2DAC70C2D5ED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T5" authorId="0" shapeId="0" xr:uid="{88BBF96E-674F-42D2-B752-6630C20A8F77}">
      <text>
        <r>
          <rPr>
            <b/>
            <sz val="9"/>
            <color rgb="FF000000"/>
            <rFont val="Tahoma"/>
            <family val="2"/>
          </rPr>
          <t xml:space="preserve">(Junta de Castilla y León + Ayuntamiento PAGADA) + Devolución de deposito del prestamo:
</t>
        </r>
        <r>
          <rPr>
            <b/>
            <sz val="9"/>
            <color rgb="FF000000"/>
            <rFont val="Tahoma"/>
            <family val="2"/>
          </rPr>
          <t>2.970€</t>
        </r>
      </text>
    </comment>
    <comment ref="N8" authorId="0" shapeId="0" xr:uid="{95C37831-20F0-46B9-82F5-D9A8E0A3CA6D}">
      <text>
        <r>
          <rPr>
            <b/>
            <sz val="9"/>
            <color rgb="FF000000"/>
            <rFont val="Tahoma"/>
            <family val="2"/>
          </rPr>
          <t>Subvenciones ISO pendientes de cobrar. deven en subvenciones unos 8.670€ (Junta de Castilla y León + Ayuntamiento PAGADA) + Devolución de anticipo</t>
        </r>
      </text>
    </comment>
    <comment ref="K23" authorId="0" shapeId="0" xr:uid="{6FE0FDC6-E19F-4229-8BE8-62F392FCFE71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L23" authorId="0" shapeId="0" xr:uid="{229024E4-5500-472E-9CE1-07ED302B6498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M23" authorId="0" shapeId="0" xr:uid="{99CD7EE3-DEE5-4043-A1DA-21FF63892983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N23" authorId="0" shapeId="0" xr:uid="{973BDBF6-3035-4E86-9551-AD6989C2E114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O23" authorId="0" shapeId="0" xr:uid="{BE408B27-6D73-4D35-A0F6-794D779C1A93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P23" authorId="0" shapeId="0" xr:uid="{4F75E68A-1D42-46C2-96B5-C1810C172F53}">
      <text>
        <r>
          <rPr>
            <b/>
            <sz val="9"/>
            <color indexed="81"/>
            <rFont val="Tahoma"/>
            <family val="2"/>
          </rPr>
          <t>13.137€ por 30 meses = 394.110€</t>
        </r>
      </text>
    </comment>
    <comment ref="Q23" authorId="0" shapeId="0" xr:uid="{04F8FD2B-E04F-4E03-B24B-A1498A31B436}">
      <text>
        <r>
          <rPr>
            <b/>
            <sz val="9"/>
            <color indexed="81"/>
            <rFont val="Tahoma"/>
            <family val="2"/>
          </rPr>
          <t>Antes 13.137€ ahora 17.659€ X 30 Meses = 529.770€</t>
        </r>
      </text>
    </comment>
    <comment ref="R23" authorId="0" shapeId="0" xr:uid="{04FD7FFE-78D4-424B-9716-563E133A23A1}">
      <text>
        <r>
          <rPr>
            <b/>
            <sz val="9"/>
            <color indexed="81"/>
            <rFont val="Tahoma"/>
            <family val="2"/>
          </rPr>
          <t>Antes 13.137€ ahora 17.659€ X 30 Meses = 529.770€</t>
        </r>
      </text>
    </comment>
    <comment ref="S23" authorId="0" shapeId="0" xr:uid="{10862798-5395-4E14-8F4E-1965C20AB6D8}">
      <text>
        <r>
          <rPr>
            <b/>
            <sz val="9"/>
            <color indexed="81"/>
            <rFont val="Tahoma"/>
            <family val="2"/>
          </rPr>
          <t>Antes 13.137€ ahora 17.659€ X 30 Meses = 529.770€</t>
        </r>
      </text>
    </comment>
    <comment ref="T23" authorId="0" shapeId="0" xr:uid="{76835353-3CD7-4763-903B-DCEB7E5625D5}">
      <text>
        <r>
          <rPr>
            <b/>
            <sz val="9"/>
            <color indexed="81"/>
            <rFont val="Tahoma"/>
            <family val="2"/>
          </rPr>
          <t>Antes 13.137€ ahora 17.659€ X 30 Meses = 529.770€</t>
        </r>
      </text>
    </comment>
    <comment ref="N29" authorId="0" shapeId="0" xr:uid="{7F20F2F2-0F1C-4806-8DF2-FD36C3DCDFD6}">
      <text>
        <r>
          <rPr>
            <b/>
            <sz val="9"/>
            <color rgb="FF000000"/>
            <rFont val="Tahoma"/>
            <family val="2"/>
          </rPr>
          <t xml:space="preserve">Piso Avenida Campoamor Nº30 
</t>
        </r>
        <r>
          <rPr>
            <sz val="9"/>
            <color rgb="FF000000"/>
            <rFont val="Tahoma"/>
            <family val="2"/>
          </rPr>
          <t>Precio de compra 153.000€ incluido 13.000€ en mano
Escriturado por 140.000€
Obras 20.295€
Varios 2.137,55€
Mobiliario 6.594€
Hacienda y Notaría 12.757€
Total 194.573,55€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O29" authorId="0" shapeId="0" xr:uid="{F7C41CB1-2B77-47F8-A065-21019A6B11FE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121.259,69€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</t>
        </r>
      </text>
    </comment>
    <comment ref="P29" authorId="0" shapeId="0" xr:uid="{6C3A3EF4-D9CE-46F8-AA3A-2EC42E9D2304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
Instalación de Caldera de Gas individual 3.040€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124.299,69€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</t>
        </r>
      </text>
    </comment>
    <comment ref="Q29" authorId="0" shapeId="0" xr:uid="{07996D31-0D32-40BD-8AFB-267C6C319516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
Instalación de Caldera de Gas individual 3.040€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124.299,69€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</t>
        </r>
      </text>
    </comment>
    <comment ref="R29" authorId="0" shapeId="0" xr:uid="{C863B550-9F33-4552-A3EA-C483FF69EB7C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
Instalación de Caldera de Gas individual 3.040€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124.299,69€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</t>
        </r>
      </text>
    </comment>
    <comment ref="S29" authorId="0" shapeId="0" xr:uid="{6EF84962-67CB-46DD-932F-0AA2DEDDCCBC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Actualmente 268.000€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
Instalación de Caldera de Gas individual 3.040€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124.299,69€
Actuamente 144.000€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
Actualmente 200.000€</t>
        </r>
      </text>
    </comment>
    <comment ref="T29" authorId="0" shapeId="0" xr:uid="{81C61666-B701-4713-87C4-0AA7C64A5CBC}">
      <text>
        <r>
          <rPr>
            <b/>
            <sz val="9"/>
            <color indexed="81"/>
            <rFont val="Tahoma"/>
            <family val="2"/>
          </rPr>
          <t xml:space="preserve">Piso Avenida Campoamor Nº30 
</t>
        </r>
        <r>
          <rPr>
            <sz val="9"/>
            <color indexed="81"/>
            <rFont val="Tahoma"/>
            <family val="2"/>
          </rPr>
          <t xml:space="preserve">Precio de compra 153.000€ incluido 13.000€ en mano
Escriturado por 140.000€
Obras 20.295€
Varios 2.137,55€
Mobiliario 6.594€
Hacienda y Notaría 12.757€
</t>
        </r>
        <r>
          <rPr>
            <b/>
            <sz val="9"/>
            <color indexed="81"/>
            <rFont val="Tahoma"/>
            <family val="2"/>
          </rPr>
          <t xml:space="preserve">Total 194.573,55€
Actualmente 268.000€
Piso Calle El Recreo Nº 13, 2º
</t>
        </r>
        <r>
          <rPr>
            <sz val="9"/>
            <color indexed="81"/>
            <rFont val="Tahoma"/>
            <family val="2"/>
          </rPr>
          <t xml:space="preserve">Precio de compra 93.000€
Escriturado por 93.000€
Obras 11.259,05€
Instalación de Caldera de Gas individual 3.040€ 
Mobiliario 8.377,55€
Varios 1.183,09€
Hacienda y Notaría 7.440€
</t>
        </r>
        <r>
          <rPr>
            <b/>
            <sz val="9"/>
            <color indexed="81"/>
            <rFont val="Tahoma"/>
            <family val="2"/>
          </rPr>
          <t xml:space="preserve">Total 124.299,69€
Actuamente 144.000€
Piso Calle Villaviciosa Nº28-32, 2ºA
</t>
        </r>
        <r>
          <rPr>
            <sz val="9"/>
            <color indexed="81"/>
            <rFont val="Tahoma"/>
            <family val="2"/>
          </rPr>
          <t xml:space="preserve">145.000€ precio Piso incluido 10.000€ en mano
Escriturado 135.000€
10.800€ Impuestos Hacienda 8%
Mobiliario 2.046€
</t>
        </r>
        <r>
          <rPr>
            <b/>
            <sz val="9"/>
            <color indexed="81"/>
            <rFont val="Tahoma"/>
            <family val="2"/>
          </rPr>
          <t>Total 157.846€
Actualmente 200.000€</t>
        </r>
      </text>
    </comment>
    <comment ref="A30" authorId="0" shapeId="0" xr:uid="{A9E8970D-D2B3-4087-A166-D58E578FD8FA}">
      <text>
        <r>
          <rPr>
            <b/>
            <sz val="9"/>
            <color indexed="81"/>
            <rFont val="Tahoma"/>
            <family val="2"/>
          </rPr>
          <t>Antes incluia el Chalet de Asturias 380.000€
ACTUALMENTE PISOS principe de Vergara y C/ Independencia
450.000€ Principe de Vergara
125.000€ C/ Independencia con plaza de Garaje propia</t>
        </r>
      </text>
    </comment>
    <comment ref="M30" authorId="0" shapeId="0" xr:uid="{6B57C666-6341-4BFD-82CD-63FA3589DE7E}">
      <text>
        <r>
          <rPr>
            <b/>
            <sz val="11"/>
            <color rgb="FF000000"/>
            <rFont val="Tahoma"/>
            <family val="2"/>
          </rPr>
          <t>Venta del Chalet en Enero del 2019</t>
        </r>
      </text>
    </comment>
    <comment ref="S30" authorId="0" shapeId="0" xr:uid="{BF16740F-CC54-4D9A-B979-9F1C461268BF}">
      <text>
        <r>
          <rPr>
            <b/>
            <sz val="9"/>
            <color indexed="81"/>
            <rFont val="Tahoma"/>
            <family val="2"/>
          </rPr>
          <t>Actuallizaacióon de valor de los pisos Noviembre 2025 
Principe de Vergara 450.000€ 
Principe de Vergara 450.000€ Actualmente 510.000€</t>
        </r>
      </text>
    </comment>
    <comment ref="T30" authorId="0" shapeId="0" xr:uid="{7B380E0A-E243-425A-9C94-7B3438A6A6D8}">
      <text>
        <r>
          <rPr>
            <b/>
            <sz val="9"/>
            <color indexed="81"/>
            <rFont val="Tahoma"/>
            <family val="2"/>
          </rPr>
          <t>Actuallizaacióon de valor de los pisos Noviembre 2025 
Principe de Vergara 450.000€ 
Principe de Vergara 450.000€ Actualmente 510.000€</t>
        </r>
      </text>
    </comment>
    <comment ref="M31" authorId="0" shapeId="0" xr:uid="{E4206CEE-305A-44DC-9E3B-4CEDA6BEBDC6}">
      <text>
        <r>
          <rPr>
            <b/>
            <sz val="10"/>
            <color indexed="81"/>
            <rFont val="Tahoma"/>
            <family val="2"/>
          </rPr>
          <t>comprado el 11 de Enero 2019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Luis Almaraz González</author>
  </authors>
  <commentList>
    <comment ref="K4" authorId="0" shapeId="0" xr:uid="{EF8DF254-7D3F-48CC-88E0-62F7B94579D5}">
      <text>
        <r>
          <rPr>
            <b/>
            <sz val="10"/>
            <color rgb="FF000000"/>
            <rFont val="Tahoma"/>
            <family val="2"/>
          </rPr>
          <t>Incluye 30195,45€ Herencia de mi Padre</t>
        </r>
      </text>
    </comment>
    <comment ref="O6" authorId="0" shapeId="0" xr:uid="{375B16C5-E355-49CA-86A9-1E544F76790A}">
      <text>
        <r>
          <rPr>
            <b/>
            <sz val="9"/>
            <color indexed="81"/>
            <rFont val="Tahoma"/>
            <family val="2"/>
          </rPr>
          <t>750€ mes. Contrato Firmado el 17 de Agosto de 2023
(Valido desde el 1 de septiembre de 2023)
AHORA 767,25</t>
        </r>
      </text>
    </comment>
    <comment ref="Q6" authorId="0" shapeId="0" xr:uid="{9AD4DEB2-0BE1-4F88-9A38-6A20CB6FC3A3}">
      <text>
        <r>
          <rPr>
            <b/>
            <sz val="9"/>
            <color indexed="81"/>
            <rFont val="Tahoma"/>
            <family val="2"/>
          </rPr>
          <t>750€ mes. Contrato Firmado el 17 de Agosto de 2023
(Valido desde el 1 de septiembre de 2023)
AHORA 767,25
825€ mes Nuevo conntrato desde el 1 de Abril 2025</t>
        </r>
      </text>
    </comment>
    <comment ref="S6" authorId="0" shapeId="0" xr:uid="{5C3932F2-526F-49AA-94EA-056649DD9F2D}">
      <text>
        <r>
          <rPr>
            <b/>
            <sz val="9"/>
            <color indexed="81"/>
            <rFont val="Tahoma"/>
            <family val="2"/>
          </rPr>
          <t>750€ mes. Contrato Firmado el 17 de Agosto de 2023
(Valido desde el 1 de septiembre de 2023)
AHORA 767,25
825€ mes Nuevo Contrato desde el 1 de Abril 2025
853,05€ Nueva subida pago de Mayo 20026</t>
        </r>
      </text>
    </comment>
    <comment ref="O7" authorId="0" shapeId="0" xr:uid="{39AE4EA6-6543-4FC3-993B-A0BB72E03FD3}">
      <text>
        <r>
          <rPr>
            <b/>
            <sz val="9"/>
            <color indexed="81"/>
            <rFont val="Tahoma"/>
            <family val="2"/>
          </rPr>
          <t>550€ Contrato firmado el 22 de Marzo de 2021</t>
        </r>
      </text>
    </comment>
    <comment ref="Q7" authorId="0" shapeId="0" xr:uid="{95B3F758-CD14-4193-BCA6-90B92F89113C}">
      <text>
        <r>
          <rPr>
            <b/>
            <sz val="9"/>
            <color indexed="81"/>
            <rFont val="Tahoma"/>
            <family val="2"/>
          </rPr>
          <t>550€ Contrato firmado el 22 de Marzo de 2021
625€ Nuevo contrato firmado desde el 1 de Abril de 2025</t>
        </r>
      </text>
    </comment>
    <comment ref="S7" authorId="0" shapeId="0" xr:uid="{EA1DC704-799D-4A66-AD94-5571CCAF75A7}">
      <text>
        <r>
          <rPr>
            <b/>
            <sz val="9"/>
            <color indexed="81"/>
            <rFont val="Tahoma"/>
            <family val="2"/>
          </rPr>
          <t xml:space="preserve">550€ Contrato firmado el 22 de Marzo de 2021
625€ Nuevo contrato firmado desde el 1 de Abril de 2025
646,25€ Nueva subida pago de Mayo 20026 </t>
        </r>
      </text>
    </comment>
    <comment ref="O8" authorId="0" shapeId="0" xr:uid="{C93D54AF-A0E8-40E0-B3AD-76651085C58B}">
      <text>
        <r>
          <rPr>
            <b/>
            <sz val="9"/>
            <color indexed="81"/>
            <rFont val="Tahoma"/>
            <family val="2"/>
          </rPr>
          <t>567,60€ Nueva Renta desde enero 2024
Contrato Firmado el 1 de Enero de 2022</t>
        </r>
      </text>
    </comment>
    <comment ref="Q8" authorId="0" shapeId="0" xr:uid="{5911B4B0-FE9E-4623-AAE5-88A0738BA6B8}">
      <text>
        <r>
          <rPr>
            <b/>
            <sz val="9"/>
            <color indexed="81"/>
            <rFont val="Tahoma"/>
            <family val="2"/>
          </rPr>
          <t>567,60€ Nueva Renta desde enero 2024
Contrato Firmado el 1 de Enero de 2022</t>
        </r>
      </text>
    </comment>
    <comment ref="S8" authorId="0" shapeId="0" xr:uid="{831C1986-3750-44E2-98FD-4C24F65C9432}">
      <text>
        <r>
          <rPr>
            <b/>
            <sz val="9"/>
            <color indexed="81"/>
            <rFont val="Tahoma"/>
            <family val="2"/>
          </rPr>
          <t>567,60€ Nueva Renta desde enero 2025
Contrato Firmado el 1 de Enero de 2022 
598,66€ Nueva Renta desde Enero 2026</t>
        </r>
      </text>
    </comment>
    <comment ref="I12" authorId="0" shapeId="0" xr:uid="{B987DEA4-E86E-4180-B47B-55064E5F6688}">
      <text>
        <r>
          <rPr>
            <sz val="9"/>
            <color rgb="FF000000"/>
            <rFont val="Tahoma"/>
            <family val="2"/>
          </rPr>
          <t xml:space="preserve">Hasta el 15 de Marzo de 2022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Total deuda 145.000€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2" authorId="0" shapeId="0" xr:uid="{0498CEA4-9830-4987-ADE5-8D2A6301698B}">
      <text>
        <r>
          <rPr>
            <b/>
            <sz val="9"/>
            <color rgb="FF000000"/>
            <rFont val="Tahoma"/>
            <family val="2"/>
          </rPr>
          <t>Del 25 de Marzo 2022 hasta el 25 de Junio 2022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145.000€ + 90.000€ Total de deuda </t>
        </r>
        <r>
          <rPr>
            <b/>
            <sz val="9"/>
            <color rgb="FF000000"/>
            <rFont val="Tahoma"/>
            <family val="2"/>
          </rPr>
          <t>235.000€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2" authorId="0" shapeId="0" xr:uid="{433F82C4-D481-4666-B288-7C5B1987E75B}">
      <text>
        <r>
          <rPr>
            <b/>
            <sz val="9"/>
            <color rgb="FF000000"/>
            <rFont val="Tahoma"/>
            <family val="2"/>
          </rPr>
          <t>Del 25 de Marzo 2022 hasta el 25 de Junio 2022</t>
        </r>
        <r>
          <rPr>
            <sz val="9"/>
            <color rgb="FF000000"/>
            <rFont val="Tahoma"/>
            <family val="2"/>
          </rPr>
          <t xml:space="preserve">
145.000€ + 90.000€ Total de deuda </t>
        </r>
        <r>
          <rPr>
            <b/>
            <sz val="9"/>
            <color rgb="FF000000"/>
            <rFont val="Tahoma"/>
            <family val="2"/>
          </rPr>
          <t>235.000€
DÍA 23 DE AGOSTO TRANSFERENCIA DE MICRO INFOR A MI DE 35.000€ PARA QUITAR HIPOTECA
ME DEVE LA EMPRESA 200.000€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O12" authorId="0" shapeId="0" xr:uid="{CE9E6D9B-0897-4088-AD5D-26B147AEA2DB}">
      <text>
        <r>
          <rPr>
            <b/>
            <sz val="9"/>
            <color rgb="FF000000"/>
            <rFont val="Tahoma"/>
            <family val="2"/>
          </rPr>
          <t>Del 25 de Marzo 2022 hasta el 25 de Junio 2022</t>
        </r>
        <r>
          <rPr>
            <sz val="9"/>
            <color rgb="FF000000"/>
            <rFont val="Tahoma"/>
            <family val="2"/>
          </rPr>
          <t xml:space="preserve">
145.000€ + 90.000€ Total de deuda </t>
        </r>
        <r>
          <rPr>
            <b/>
            <sz val="9"/>
            <color rgb="FF000000"/>
            <rFont val="Tahoma"/>
            <family val="2"/>
          </rPr>
          <t>235.000€
DÍA 23 DE AGOSTO TRANSFERENCIA DE MICRO INFOR A MI DE 35.000€ PARA QUITAR HIPOTECA
ME DEVE LA EMPRESA 200.000€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Q12" authorId="0" shapeId="0" xr:uid="{0B3ED0C9-5D9D-4FBF-8AF8-96FC97BE7E6F}">
      <text>
        <r>
          <rPr>
            <b/>
            <sz val="9"/>
            <color rgb="FF000000"/>
            <rFont val="Tahoma"/>
            <family val="2"/>
          </rPr>
          <t>Del 25 de Marzo 2022 hasta el 25 de Junio 2022</t>
        </r>
        <r>
          <rPr>
            <sz val="9"/>
            <color rgb="FF000000"/>
            <rFont val="Tahoma"/>
            <family val="2"/>
          </rPr>
          <t xml:space="preserve">
145.000€ + 90.000€ Total de deuda </t>
        </r>
        <r>
          <rPr>
            <b/>
            <sz val="9"/>
            <color rgb="FF000000"/>
            <rFont val="Tahoma"/>
            <family val="2"/>
          </rPr>
          <t>235.000€
DÍA 23 DE AGOSTO TRANSFERENCIA DE MICRO INFOR A MI DE 35.000€ PARA QUITAR HIPOTECA
ME DEVE LA EMPRESA 200.000€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S12" authorId="0" shapeId="0" xr:uid="{956D807A-5630-4870-91B6-E26213D9BDA9}">
      <text>
        <r>
          <rPr>
            <b/>
            <sz val="9"/>
            <color rgb="FF000000"/>
            <rFont val="Tahoma"/>
            <family val="2"/>
          </rPr>
          <t>Del 25 de Marzo 2022 hasta el 25 de Junio 2022</t>
        </r>
        <r>
          <rPr>
            <sz val="9"/>
            <color rgb="FF000000"/>
            <rFont val="Tahoma"/>
            <family val="2"/>
          </rPr>
          <t xml:space="preserve">
145.000€ + 90.000€ Total de deuda </t>
        </r>
        <r>
          <rPr>
            <b/>
            <sz val="9"/>
            <color rgb="FF000000"/>
            <rFont val="Tahoma"/>
            <family val="2"/>
          </rPr>
          <t>235.000€
DÍA 23 DE AGOSTO TRANSFERENCIA DE MICRO INFOR A MI DE 35.000€ PARA QUITAR HIPOTECA
ME DEVE LA EMPRESA 200.000€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O15" authorId="0" shapeId="0" xr:uid="{10B3E607-D1E9-4B05-89B9-72076A128574}">
      <text>
        <r>
          <rPr>
            <b/>
            <sz val="9"/>
            <color indexed="81"/>
            <rFont val="Tahoma"/>
            <family val="2"/>
          </rPr>
          <t>2.160€ Sueldo Mensual desde Enero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" authorId="0" shapeId="0" xr:uid="{67296D1B-470C-44D5-819E-0B8A3CE440A9}">
      <text>
        <r>
          <rPr>
            <b/>
            <sz val="9"/>
            <color indexed="81"/>
            <rFont val="Tahoma"/>
            <family val="2"/>
          </rPr>
          <t>2.160€ Sueldo Mensual desde Enero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" authorId="0" shapeId="0" xr:uid="{1F657F55-A3B9-4BFC-B2E6-5E2EFD49E4D6}">
      <text>
        <r>
          <rPr>
            <b/>
            <sz val="9"/>
            <color indexed="81"/>
            <rFont val="Tahoma"/>
            <family val="2"/>
          </rPr>
          <t>2.160€ Sueldo Mensual desde Enero 2024
2.225€ Sueldo Mensual desde Enero 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 xr:uid="{578D75CA-F1CF-4A04-A674-981CC0F37900}">
      <text>
        <r>
          <rPr>
            <b/>
            <sz val="9"/>
            <color indexed="81"/>
            <rFont val="Tahoma"/>
            <family val="2"/>
          </rPr>
          <t>153.000€ Compra del Piso +12.757€ de Impuestos y gastos de Gestoría</t>
        </r>
      </text>
    </comment>
    <comment ref="I16" authorId="0" shapeId="0" xr:uid="{58D7C776-B755-476A-A38C-5625B54E0EF6}">
      <text>
        <r>
          <rPr>
            <b/>
            <sz val="9"/>
            <color rgb="FF000000"/>
            <rFont val="Tahoma"/>
            <family val="2"/>
          </rPr>
          <t>153.000€ Compra del Piso +12.757€ de Impuestos y gastos de Gestoría</t>
        </r>
      </text>
    </comment>
    <comment ref="K16" authorId="0" shapeId="0" xr:uid="{D2078053-4543-4467-AE5E-9A3DCEC19ACD}">
      <text>
        <r>
          <rPr>
            <b/>
            <sz val="9"/>
            <color indexed="81"/>
            <rFont val="Tahoma"/>
            <family val="2"/>
          </rPr>
          <t>153.000€ Compra del Piso +12.757€ de Impuestos y gastos de Gestoría</t>
        </r>
      </text>
    </comment>
    <comment ref="M16" authorId="0" shapeId="0" xr:uid="{4C79258C-3BCC-4996-8B1C-72165463A6F6}">
      <text>
        <r>
          <rPr>
            <b/>
            <sz val="9"/>
            <color rgb="FF000000"/>
            <rFont val="Tahoma"/>
            <family val="2"/>
          </rPr>
          <t>153.000€ Compra del Piso +12.757€ de Impuestos y gastos de Gestoría</t>
        </r>
      </text>
    </comment>
    <comment ref="O16" authorId="0" shapeId="0" xr:uid="{45C5FE07-81AC-4FA5-8F4B-C33838C04D4A}">
      <text>
        <r>
          <rPr>
            <b/>
            <sz val="9"/>
            <color rgb="FF000000"/>
            <rFont val="Tahoma"/>
            <family val="2"/>
          </rPr>
          <t>153.000€ Compra del Piso +12.757€ de Impuestos y gastos de Gestoría</t>
        </r>
      </text>
    </comment>
    <comment ref="Q16" authorId="0" shapeId="0" xr:uid="{B027AF30-939E-4767-B925-E9C4E26683DE}">
      <text>
        <r>
          <rPr>
            <b/>
            <sz val="9"/>
            <color rgb="FF000000"/>
            <rFont val="Tahoma"/>
            <family val="2"/>
          </rPr>
          <t>153.000€ Compra del Piso +12.757€ de Impuestos y gastos de Gestoría</t>
        </r>
      </text>
    </comment>
    <comment ref="S16" authorId="0" shapeId="0" xr:uid="{08305388-1A31-4C9F-BDEB-2CD35F42D7AE}">
      <text>
        <r>
          <rPr>
            <b/>
            <sz val="9"/>
            <color rgb="FF000000"/>
            <rFont val="Tahoma"/>
            <family val="2"/>
          </rPr>
          <t>153.000€ Compra del Piso +12.757€ de Impuestos y gastos de Gestoría</t>
        </r>
      </text>
    </comment>
    <comment ref="I17" authorId="0" shapeId="0" xr:uid="{0C4AAEF4-22B1-4A7B-9E06-80DC4A7C5A44}">
      <text>
        <r>
          <rPr>
            <b/>
            <sz val="9"/>
            <color indexed="81"/>
            <rFont val="Tahoma"/>
            <family val="2"/>
          </rPr>
          <t>93.000€ Compra de Piso
7.440 Impuestos de hacienda 8%</t>
        </r>
      </text>
    </comment>
    <comment ref="K17" authorId="0" shapeId="0" xr:uid="{082B2FD7-CDFD-43CA-9281-ABB9509C73B7}">
      <text>
        <r>
          <rPr>
            <b/>
            <sz val="9"/>
            <color rgb="FF000000"/>
            <rFont val="Tahoma"/>
            <family val="2"/>
          </rPr>
          <t xml:space="preserve">93.000€ Compra de Piso
</t>
        </r>
        <r>
          <rPr>
            <b/>
            <sz val="9"/>
            <color rgb="FF000000"/>
            <rFont val="Tahoma"/>
            <family val="2"/>
          </rPr>
          <t>7.440 Impuestos de hacienda 8%</t>
        </r>
      </text>
    </comment>
    <comment ref="M17" authorId="0" shapeId="0" xr:uid="{683E0ED7-5A71-4478-B516-E842FB5AC5DC}">
      <text>
        <r>
          <rPr>
            <b/>
            <sz val="9"/>
            <color rgb="FF000000"/>
            <rFont val="Tahoma"/>
            <family val="2"/>
          </rPr>
          <t xml:space="preserve">93.000€ Compra de Piso
</t>
        </r>
        <r>
          <rPr>
            <b/>
            <sz val="9"/>
            <color rgb="FF000000"/>
            <rFont val="Tahoma"/>
            <family val="2"/>
          </rPr>
          <t>7.440 Impuestos de hacienda 8%</t>
        </r>
      </text>
    </comment>
    <comment ref="O17" authorId="0" shapeId="0" xr:uid="{AF91A777-7243-4A2E-8138-CB41197F2A86}">
      <text>
        <r>
          <rPr>
            <b/>
            <sz val="9"/>
            <color rgb="FF000000"/>
            <rFont val="Tahoma"/>
            <family val="2"/>
          </rPr>
          <t xml:space="preserve">93.000€ Compra de Piso
</t>
        </r>
        <r>
          <rPr>
            <b/>
            <sz val="9"/>
            <color rgb="FF000000"/>
            <rFont val="Tahoma"/>
            <family val="2"/>
          </rPr>
          <t>7.440 Impuestos de hacienda 8%</t>
        </r>
      </text>
    </comment>
    <comment ref="Q17" authorId="0" shapeId="0" xr:uid="{BC36CBCF-FD50-4A1F-A903-C2A91CD9194C}">
      <text>
        <r>
          <rPr>
            <b/>
            <sz val="9"/>
            <color rgb="FF000000"/>
            <rFont val="Tahoma"/>
            <family val="2"/>
          </rPr>
          <t xml:space="preserve">93.000€ Compra de Piso
</t>
        </r>
        <r>
          <rPr>
            <b/>
            <sz val="9"/>
            <color rgb="FF000000"/>
            <rFont val="Tahoma"/>
            <family val="2"/>
          </rPr>
          <t>7.440 Impuestos de hacienda 8%</t>
        </r>
      </text>
    </comment>
    <comment ref="S17" authorId="0" shapeId="0" xr:uid="{2BF76AB0-6C49-42F5-A9F5-51F2A2735850}">
      <text>
        <r>
          <rPr>
            <b/>
            <sz val="9"/>
            <color rgb="FF000000"/>
            <rFont val="Tahoma"/>
            <family val="2"/>
          </rPr>
          <t xml:space="preserve">93.000€ Compra de Piso
</t>
        </r>
        <r>
          <rPr>
            <b/>
            <sz val="9"/>
            <color rgb="FF000000"/>
            <rFont val="Tahoma"/>
            <family val="2"/>
          </rPr>
          <t>7.440 Impuestos de hacienda 8%</t>
        </r>
      </text>
    </comment>
    <comment ref="I18" authorId="0" shapeId="0" xr:uid="{530F1F3B-AC3A-43BA-9358-16F44489C67C}">
      <text>
        <r>
          <rPr>
            <b/>
            <sz val="9"/>
            <color indexed="81"/>
            <rFont val="Tahoma"/>
            <family val="2"/>
          </rPr>
          <t>145.000€ precio Piso
10.800€ Impuestos Hacienda 8%
2.046€ Mobiliario (Salón y Habitación)</t>
        </r>
      </text>
    </comment>
    <comment ref="K18" authorId="0" shapeId="0" xr:uid="{B2706B7C-EC70-44A5-8963-8B1E50D72079}">
      <text>
        <r>
          <rPr>
            <b/>
            <sz val="9"/>
            <color rgb="FF000000"/>
            <rFont val="Tahoma"/>
            <family val="2"/>
          </rPr>
          <t xml:space="preserve">145.000€ precio Piso
</t>
        </r>
        <r>
          <rPr>
            <b/>
            <sz val="9"/>
            <color rgb="FF000000"/>
            <rFont val="Tahoma"/>
            <family val="2"/>
          </rPr>
          <t xml:space="preserve">10.800€ Impuestos Hacienda 8%
</t>
        </r>
        <r>
          <rPr>
            <b/>
            <sz val="9"/>
            <color rgb="FF000000"/>
            <rFont val="Tahoma"/>
            <family val="2"/>
          </rPr>
          <t>2.046€ Mobiliario (Salón y Habitación)</t>
        </r>
      </text>
    </comment>
    <comment ref="M18" authorId="0" shapeId="0" xr:uid="{B26A8537-EFF9-4F74-9DD8-B0224796784F}">
      <text>
        <r>
          <rPr>
            <b/>
            <sz val="9"/>
            <color rgb="FF000000"/>
            <rFont val="Tahoma"/>
            <family val="2"/>
          </rPr>
          <t xml:space="preserve">145.000€ precio Piso
</t>
        </r>
        <r>
          <rPr>
            <b/>
            <sz val="9"/>
            <color rgb="FF000000"/>
            <rFont val="Tahoma"/>
            <family val="2"/>
          </rPr>
          <t xml:space="preserve">10.800€ Impuestos Hacienda 8%
</t>
        </r>
        <r>
          <rPr>
            <b/>
            <sz val="9"/>
            <color rgb="FF000000"/>
            <rFont val="Tahoma"/>
            <family val="2"/>
          </rPr>
          <t>2.046€ Mobiliario (Salón y Habitación)</t>
        </r>
      </text>
    </comment>
    <comment ref="O18" authorId="0" shapeId="0" xr:uid="{7E03BDCB-7F9B-494B-A009-474B83062CB2}">
      <text>
        <r>
          <rPr>
            <b/>
            <sz val="9"/>
            <color rgb="FF000000"/>
            <rFont val="Tahoma"/>
            <family val="2"/>
          </rPr>
          <t xml:space="preserve">145.000€ precio Piso
</t>
        </r>
        <r>
          <rPr>
            <b/>
            <sz val="9"/>
            <color rgb="FF000000"/>
            <rFont val="Tahoma"/>
            <family val="2"/>
          </rPr>
          <t xml:space="preserve">10.800€ Impuestos Hacienda 8%
</t>
        </r>
        <r>
          <rPr>
            <b/>
            <sz val="9"/>
            <color rgb="FF000000"/>
            <rFont val="Tahoma"/>
            <family val="2"/>
          </rPr>
          <t>2.046€ Mobiliario (Salón y Habitación)</t>
        </r>
      </text>
    </comment>
    <comment ref="Q18" authorId="0" shapeId="0" xr:uid="{09014E5F-AF89-49D0-8843-74478A7E6A56}">
      <text>
        <r>
          <rPr>
            <b/>
            <sz val="9"/>
            <color rgb="FF000000"/>
            <rFont val="Tahoma"/>
            <family val="2"/>
          </rPr>
          <t xml:space="preserve">145.000€ precio Piso
</t>
        </r>
        <r>
          <rPr>
            <b/>
            <sz val="9"/>
            <color rgb="FF000000"/>
            <rFont val="Tahoma"/>
            <family val="2"/>
          </rPr>
          <t xml:space="preserve">10.800€ Impuestos Hacienda 8%
</t>
        </r>
        <r>
          <rPr>
            <b/>
            <sz val="9"/>
            <color rgb="FF000000"/>
            <rFont val="Tahoma"/>
            <family val="2"/>
          </rPr>
          <t>2.046€ Mobiliario (Salón y Habitación)</t>
        </r>
      </text>
    </comment>
    <comment ref="S18" authorId="0" shapeId="0" xr:uid="{440DF2ED-0700-420C-BF0F-C3DE9A0E8054}">
      <text>
        <r>
          <rPr>
            <b/>
            <sz val="9"/>
            <color rgb="FF000000"/>
            <rFont val="Tahoma"/>
            <family val="2"/>
          </rPr>
          <t xml:space="preserve">145.000€ precio Piso
</t>
        </r>
        <r>
          <rPr>
            <b/>
            <sz val="9"/>
            <color rgb="FF000000"/>
            <rFont val="Tahoma"/>
            <family val="2"/>
          </rPr>
          <t xml:space="preserve">10.800€ Impuestos Hacienda 8%
</t>
        </r>
        <r>
          <rPr>
            <b/>
            <sz val="9"/>
            <color rgb="FF000000"/>
            <rFont val="Tahoma"/>
            <family val="2"/>
          </rPr>
          <t>2.046€ Mobiliario (Salón y Habitación)</t>
        </r>
      </text>
    </comment>
    <comment ref="M19" authorId="0" shapeId="0" xr:uid="{6DBE8040-4F4D-456C-9663-D6E78474BEE0}">
      <text>
        <r>
          <rPr>
            <b/>
            <sz val="9"/>
            <color indexed="81"/>
            <rFont val="Tahoma"/>
            <family val="2"/>
          </rPr>
          <t>23 DE AGOSTO ELIMINADO LA DEUDA DE 41.300€ DEL PRESTAMO</t>
        </r>
      </text>
    </comment>
    <comment ref="O19" authorId="0" shapeId="0" xr:uid="{6E562A85-3900-4EBF-AECB-FF1E3158A430}">
      <text>
        <r>
          <rPr>
            <b/>
            <sz val="9"/>
            <color indexed="81"/>
            <rFont val="Tahoma"/>
            <family val="2"/>
          </rPr>
          <t>23 DE AGOSTO ELIMINADO LA DEUDA DE 41.300€ DEL PRESTAMO</t>
        </r>
      </text>
    </comment>
    <comment ref="Q19" authorId="0" shapeId="0" xr:uid="{C3888B64-3192-4689-8D10-52BCF18E78BB}">
      <text>
        <r>
          <rPr>
            <b/>
            <sz val="9"/>
            <color indexed="81"/>
            <rFont val="Tahoma"/>
            <family val="2"/>
          </rPr>
          <t>23 DE AGOSTO ELIMINADO LA DEUDA DE 41.300€ DEL PRESTAMO</t>
        </r>
      </text>
    </comment>
    <comment ref="S19" authorId="0" shapeId="0" xr:uid="{90037529-6D53-456E-9CDC-6286C06E042C}">
      <text>
        <r>
          <rPr>
            <b/>
            <sz val="9"/>
            <color indexed="81"/>
            <rFont val="Tahoma"/>
            <family val="2"/>
          </rPr>
          <t>23 DE AGOSTO ELIMINADO LA DEUDA DE 41.300€ DEL PRESTAMO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Luis Almaraz González</author>
  </authors>
  <commentList>
    <comment ref="G4" authorId="0" shapeId="0" xr:uid="{430E943B-F46A-4450-AD7E-0C8F59551F47}">
      <text>
        <r>
          <rPr>
            <b/>
            <sz val="9"/>
            <color indexed="81"/>
            <rFont val="Tahoma"/>
            <family val="2"/>
          </rPr>
          <t>Precio de compra 153.000€
Obras 20.295€
Varios 2.137,55€
Mobiliario 6.594€
Hacienda y Notaría 12.757€
Total 194.573,55€
Escriturado por 140.000€</t>
        </r>
      </text>
    </comment>
    <comment ref="G5" authorId="0" shapeId="0" xr:uid="{BF18DC2B-1BBC-4479-899B-179549CC2F25}">
      <text>
        <r>
          <rPr>
            <b/>
            <sz val="9"/>
            <color indexed="81"/>
            <rFont val="Tahoma"/>
            <family val="2"/>
          </rPr>
          <t>93.000€ precio Piso
7.440€ Impuestos Hacienda 8%
11.259,69 Obras Jose Constructor
3.050€ de instalación calefacción de Gas
8.377,55€ Mobiliario Jesús Novomar
1.183,09€ (Lamparas, Edredones, Ajuar, Cortinas)</t>
        </r>
      </text>
    </comment>
    <comment ref="G6" authorId="0" shapeId="0" xr:uid="{8D4455F6-78C1-4399-AAF5-901228D4D48E}">
      <text>
        <r>
          <rPr>
            <b/>
            <sz val="9"/>
            <color indexed="81"/>
            <rFont val="Tahoma"/>
            <family val="2"/>
          </rPr>
          <t>145.000€ precio Piso
10.800€ Impuestos Hacienda 8%
10.000€ en mano
Escriturado 135.000€
Mobiliario 2.046€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Luis Almaraz González</author>
  </authors>
  <commentList>
    <comment ref="G4" authorId="0" shapeId="0" xr:uid="{38D9518E-859B-47F1-B30F-465DE4DAFF60}">
      <text>
        <r>
          <rPr>
            <b/>
            <sz val="9"/>
            <color indexed="81"/>
            <rFont val="Tahoma"/>
            <family val="2"/>
          </rPr>
          <t>Precio de compra 153.000€
Obras 20.295€
Varios 2.137,55€
Mobiliario 6.594€
Hacienda y Notaría 12.757€
Total 194.573,55€
Escriturado por 140.000€</t>
        </r>
      </text>
    </comment>
    <comment ref="G5" authorId="0" shapeId="0" xr:uid="{58B62A33-DE05-4A8B-B83E-EB1A32EEA414}">
      <text>
        <r>
          <rPr>
            <b/>
            <sz val="9"/>
            <color indexed="81"/>
            <rFont val="Tahoma"/>
            <family val="2"/>
          </rPr>
          <t>93.000€ precio Piso
7.440€ Impuestos Hacienda 8%
11.259,69 Obras Jose Constructor
8.377,55€ Mobiliario Jesús Novomar
1.183,09€ (Lamparas, Edredones, Ajuar, Cortinas)</t>
        </r>
      </text>
    </comment>
    <comment ref="G6" authorId="0" shapeId="0" xr:uid="{39863E3C-EDE1-4BBD-9B1B-4CAB3518BF38}">
      <text>
        <r>
          <rPr>
            <b/>
            <sz val="9"/>
            <color indexed="81"/>
            <rFont val="Tahoma"/>
            <family val="2"/>
          </rPr>
          <t>145.000€ precio Piso
10.800€ Impuestos Hacienda 8%
10.000€ en mano
Escriturado 135.000€
Mobiliario 2.046€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A3" authorId="0" shapeId="0" xr:uid="{00000000-0006-0000-0300-000001000000}">
      <text>
        <r>
          <rPr>
            <b/>
            <sz val="14"/>
            <color indexed="8"/>
            <rFont val="Calibri"/>
            <family val="2"/>
          </rPr>
          <t xml:space="preserve">478.000€ Piso Principe de Vergara
</t>
        </r>
        <r>
          <rPr>
            <b/>
            <sz val="14"/>
            <color indexed="8"/>
            <rFont val="Calibri"/>
            <family val="2"/>
          </rPr>
          <t>OJO el prestamo se pidio en el 2008 (lo tengo puesto en le 2007 como orientación a deuda Global)</t>
        </r>
      </text>
    </comment>
    <comment ref="B3" authorId="0" shapeId="0" xr:uid="{00000000-0006-0000-0300-000002000000}">
      <text>
        <r>
          <rPr>
            <sz val="14"/>
            <color indexed="8"/>
            <rFont val="Calibri"/>
            <family val="2"/>
          </rPr>
          <t xml:space="preserve">400.000€ en factura pagado a Jesús el Vecino
</t>
        </r>
        <r>
          <rPr>
            <sz val="14"/>
            <color indexed="8"/>
            <rFont val="Calibri"/>
            <family val="2"/>
          </rPr>
          <t xml:space="preserve">40.000€ en B Pagado a Jesús el Vecino
</t>
        </r>
        <r>
          <rPr>
            <sz val="14"/>
            <color indexed="8"/>
            <rFont val="Calibri"/>
            <family val="2"/>
          </rPr>
          <t xml:space="preserve">20.000€ impuesto de transmisiones (verificar)
</t>
        </r>
        <r>
          <rPr>
            <sz val="14"/>
            <color indexed="8"/>
            <rFont val="Calibri"/>
            <family val="2"/>
          </rPr>
          <t xml:space="preserve">18.000€ Gastos Notario Y Gastos de Registro  +
</t>
        </r>
        <r>
          <rPr>
            <b/>
            <sz val="14"/>
            <color indexed="8"/>
            <rFont val="Calibri"/>
            <family val="2"/>
          </rPr>
          <t>TOTAL: 478.000€</t>
        </r>
      </text>
    </comment>
    <comment ref="Z3" authorId="0" shapeId="0" xr:uid="{00000000-0006-0000-0300-000003000000}">
      <text>
        <r>
          <rPr>
            <b/>
            <sz val="14"/>
            <color indexed="8"/>
            <rFont val="Calibri"/>
            <family val="2"/>
          </rPr>
          <t>Anterior interes al 3,25%</t>
        </r>
      </text>
    </comment>
    <comment ref="AA3" authorId="0" shapeId="0" xr:uid="{00000000-0006-0000-0300-000004000000}">
      <text>
        <r>
          <rPr>
            <b/>
            <sz val="12"/>
            <color indexed="8"/>
            <rFont val="Calibri"/>
            <family val="2"/>
          </rPr>
          <t xml:space="preserve">Intereses al 5,894%
</t>
        </r>
        <r>
          <rPr>
            <b/>
            <sz val="12"/>
            <color indexed="8"/>
            <rFont val="Calibri"/>
            <family val="2"/>
          </rPr>
          <t xml:space="preserve">
</t>
        </r>
        <r>
          <rPr>
            <b/>
            <sz val="12"/>
            <color indexed="8"/>
            <rFont val="Calibri"/>
            <family val="2"/>
          </rPr>
          <t xml:space="preserve">Intereses       1.881,77
</t>
        </r>
        <r>
          <rPr>
            <b/>
            <sz val="12"/>
            <color indexed="8"/>
            <rFont val="Calibri"/>
            <family val="2"/>
          </rPr>
          <t xml:space="preserve">Capital              398,54
</t>
        </r>
        <r>
          <rPr>
            <b/>
            <sz val="12"/>
            <color indexed="8"/>
            <rFont val="Calibri"/>
            <family val="2"/>
          </rPr>
          <t>Total              2.280,62</t>
        </r>
      </text>
    </comment>
    <comment ref="AB3" authorId="0" shapeId="0" xr:uid="{00000000-0006-0000-0300-000005000000}">
      <text>
        <r>
          <rPr>
            <b/>
            <sz val="12"/>
            <color indexed="81"/>
            <rFont val="Calibri"/>
            <family val="2"/>
          </rPr>
          <t>Intereses         508,66
Capital             334,25
Total                843,23</t>
        </r>
      </text>
    </comment>
    <comment ref="AC3" authorId="0" shapeId="0" xr:uid="{00000000-0006-0000-0300-000006000000}">
      <text>
        <r>
          <rPr>
            <b/>
            <sz val="12"/>
            <color indexed="81"/>
            <rFont val="Calibri"/>
            <family val="2"/>
          </rPr>
          <t>Intereses         479,66
Capital             362,66
Total                843,64</t>
        </r>
      </text>
    </comment>
    <comment ref="AD3" authorId="0" shapeId="0" xr:uid="{00000000-0006-0000-0300-000007000000}">
      <text>
        <r>
          <rPr>
            <b/>
            <sz val="12"/>
            <color indexed="81"/>
            <rFont val="Calibri"/>
            <family val="2"/>
          </rPr>
          <t>Intereses         474,70
Capital             368,60
Total                843,6</t>
        </r>
      </text>
    </comment>
    <comment ref="AE3" authorId="0" shapeId="0" xr:uid="{00000000-0006-0000-0300-000008000000}">
      <text>
        <r>
          <rPr>
            <b/>
            <sz val="12"/>
            <color indexed="8"/>
            <rFont val="Calibri"/>
            <family val="2"/>
          </rPr>
          <t xml:space="preserve">Intereses         454,63
</t>
        </r>
        <r>
          <rPr>
            <b/>
            <sz val="12"/>
            <color indexed="8"/>
            <rFont val="Calibri"/>
            <family val="2"/>
          </rPr>
          <t xml:space="preserve">Capital             374,42
</t>
        </r>
        <r>
          <rPr>
            <b/>
            <sz val="12"/>
            <color indexed="8"/>
            <rFont val="Calibri"/>
            <family val="2"/>
          </rPr>
          <t>Total                829,23</t>
        </r>
      </text>
    </comment>
    <comment ref="AF3" authorId="0" shapeId="0" xr:uid="{00000000-0006-0000-0300-000009000000}">
      <text>
        <r>
          <rPr>
            <b/>
            <sz val="12"/>
            <color indexed="8"/>
            <rFont val="Calibri"/>
            <family val="2"/>
          </rPr>
          <t xml:space="preserve">Intereses         365,29
</t>
        </r>
        <r>
          <rPr>
            <b/>
            <sz val="12"/>
            <color indexed="8"/>
            <rFont val="Calibri"/>
            <family val="2"/>
          </rPr>
          <t xml:space="preserve">Capital             330,92
</t>
        </r>
        <r>
          <rPr>
            <b/>
            <sz val="12"/>
            <color indexed="8"/>
            <rFont val="Calibri"/>
            <family val="2"/>
          </rPr>
          <t>Total                 696,58</t>
        </r>
      </text>
    </comment>
    <comment ref="AG3" authorId="0" shapeId="0" xr:uid="{00000000-0006-0000-0300-00000A000000}">
      <text>
        <r>
          <rPr>
            <b/>
            <sz val="12"/>
            <color indexed="8"/>
            <rFont val="Calibri"/>
            <family val="2"/>
          </rPr>
          <t xml:space="preserve">Intereses       348,96
</t>
        </r>
        <r>
          <rPr>
            <b/>
            <sz val="12"/>
            <color indexed="8"/>
            <rFont val="Calibri"/>
            <family val="2"/>
          </rPr>
          <t xml:space="preserve">Capital           335,83
</t>
        </r>
        <r>
          <rPr>
            <b/>
            <sz val="12"/>
            <color indexed="8"/>
            <rFont val="Calibri"/>
            <family val="2"/>
          </rPr>
          <t>Total              674,82</t>
        </r>
      </text>
    </comment>
    <comment ref="AH3" authorId="0" shapeId="0" xr:uid="{00000000-0006-0000-0300-00000B000000}">
      <text>
        <r>
          <rPr>
            <b/>
            <sz val="12"/>
            <color indexed="8"/>
            <rFont val="Calibri"/>
            <family val="2"/>
          </rPr>
          <t xml:space="preserve">Intereses        137,61
</t>
        </r>
        <r>
          <rPr>
            <b/>
            <sz val="12"/>
            <color indexed="8"/>
            <rFont val="Calibri"/>
            <family val="2"/>
          </rPr>
          <t xml:space="preserve">Capital            413,61
</t>
        </r>
        <r>
          <rPr>
            <b/>
            <sz val="12"/>
            <color indexed="8"/>
            <rFont val="Calibri"/>
            <family val="2"/>
          </rPr>
          <t>Total               550,42</t>
        </r>
      </text>
    </comment>
    <comment ref="AI3" authorId="0" shapeId="0" xr:uid="{00000000-0006-0000-0300-00000C000000}">
      <text>
        <r>
          <rPr>
            <b/>
            <sz val="12"/>
            <color indexed="8"/>
            <rFont val="Calibri"/>
            <family val="2"/>
          </rPr>
          <t xml:space="preserve">Intereses          75,01
</t>
        </r>
        <r>
          <rPr>
            <b/>
            <sz val="12"/>
            <color indexed="8"/>
            <rFont val="Calibri"/>
            <family val="2"/>
          </rPr>
          <t xml:space="preserve">Capital            328,48
</t>
        </r>
        <r>
          <rPr>
            <b/>
            <sz val="12"/>
            <color indexed="8"/>
            <rFont val="Calibri"/>
            <family val="2"/>
          </rPr>
          <t>Total               403,49</t>
        </r>
      </text>
    </comment>
    <comment ref="AJ3" authorId="0" shapeId="0" xr:uid="{00000000-0006-0000-0300-00000D000000}">
      <text>
        <r>
          <rPr>
            <b/>
            <sz val="12"/>
            <color indexed="8"/>
            <rFont val="Calibri"/>
            <family val="2"/>
          </rPr>
          <t xml:space="preserve">Intereses          32,10
</t>
        </r>
        <r>
          <rPr>
            <b/>
            <sz val="12"/>
            <color indexed="8"/>
            <rFont val="Calibri"/>
            <family val="2"/>
          </rPr>
          <t xml:space="preserve">Capital            213,51
</t>
        </r>
        <r>
          <rPr>
            <b/>
            <sz val="12"/>
            <color indexed="8"/>
            <rFont val="Calibri"/>
            <family val="2"/>
          </rPr>
          <t>Total               245,61</t>
        </r>
      </text>
    </comment>
    <comment ref="AK3" authorId="0" shapeId="0" xr:uid="{00000000-0006-0000-0300-00000E000000}">
      <text>
        <r>
          <rPr>
            <b/>
            <sz val="12"/>
            <color indexed="8"/>
            <rFont val="Calibri"/>
            <family val="2"/>
          </rPr>
          <t xml:space="preserve">Intereses          10,36
</t>
        </r>
        <r>
          <rPr>
            <b/>
            <sz val="12"/>
            <color indexed="8"/>
            <rFont val="Calibri"/>
            <family val="2"/>
          </rPr>
          <t xml:space="preserve">Capital              88,86
</t>
        </r>
        <r>
          <rPr>
            <b/>
            <sz val="12"/>
            <color indexed="8"/>
            <rFont val="Calibri"/>
            <family val="2"/>
          </rPr>
          <t>Total                 99,22</t>
        </r>
      </text>
    </comment>
    <comment ref="AL3" authorId="0" shapeId="0" xr:uid="{00000000-0006-0000-0300-00000F000000}">
      <text>
        <r>
          <rPr>
            <b/>
            <sz val="12"/>
            <color indexed="8"/>
            <rFont val="Calibri"/>
            <family val="2"/>
          </rPr>
          <t xml:space="preserve">Intereses           8,66
</t>
        </r>
        <r>
          <rPr>
            <b/>
            <sz val="12"/>
            <color indexed="8"/>
            <rFont val="Calibri"/>
            <family val="2"/>
          </rPr>
          <t xml:space="preserve">Capital              74,71
</t>
        </r>
        <r>
          <rPr>
            <b/>
            <sz val="12"/>
            <color indexed="8"/>
            <rFont val="Calibri"/>
            <family val="2"/>
          </rPr>
          <t>Total                 83,37</t>
        </r>
      </text>
    </comment>
    <comment ref="Z4" authorId="0" shapeId="0" xr:uid="{00000000-0006-0000-0300-000010000000}">
      <text>
        <r>
          <rPr>
            <b/>
            <sz val="14"/>
            <color indexed="8"/>
            <rFont val="Calibri"/>
            <family val="2"/>
          </rPr>
          <t>Anterior interes al 3,25%</t>
        </r>
      </text>
    </comment>
    <comment ref="AB4" authorId="0" shapeId="0" xr:uid="{00000000-0006-0000-0300-000011000000}">
      <text>
        <r>
          <rPr>
            <b/>
            <sz val="12"/>
            <color indexed="8"/>
            <rFont val="Calibri"/>
            <family val="2"/>
          </rPr>
          <t xml:space="preserve">Intereses          507,72
</t>
        </r>
        <r>
          <rPr>
            <b/>
            <sz val="12"/>
            <color indexed="8"/>
            <rFont val="Calibri"/>
            <family val="2"/>
          </rPr>
          <t xml:space="preserve">Capital              821,06
</t>
        </r>
        <r>
          <rPr>
            <b/>
            <sz val="12"/>
            <color indexed="8"/>
            <rFont val="Calibri"/>
            <family val="2"/>
          </rPr>
          <t>Total              1.329,12</t>
        </r>
      </text>
    </comment>
    <comment ref="AC4" authorId="0" shapeId="0" xr:uid="{00000000-0006-0000-0300-000012000000}">
      <text>
        <r>
          <rPr>
            <b/>
            <sz val="12"/>
            <color indexed="8"/>
            <rFont val="Calibri"/>
            <family val="2"/>
          </rPr>
          <t xml:space="preserve">Intereses          478,89
</t>
        </r>
        <r>
          <rPr>
            <b/>
            <sz val="12"/>
            <color indexed="8"/>
            <rFont val="Calibri"/>
            <family val="2"/>
          </rPr>
          <t xml:space="preserve">Capital              851,42
</t>
        </r>
        <r>
          <rPr>
            <b/>
            <sz val="12"/>
            <color indexed="8"/>
            <rFont val="Calibri"/>
            <family val="2"/>
          </rPr>
          <t>Total              1.331,45</t>
        </r>
      </text>
    </comment>
    <comment ref="AD4" authorId="0" shapeId="0" xr:uid="{00000000-0006-0000-0300-000013000000}">
      <text>
        <r>
          <rPr>
            <b/>
            <sz val="12"/>
            <color indexed="8"/>
            <rFont val="Calibri"/>
            <family val="2"/>
          </rPr>
          <t xml:space="preserve">Intereses          372,56
</t>
        </r>
        <r>
          <rPr>
            <b/>
            <sz val="12"/>
            <color indexed="8"/>
            <rFont val="Calibri"/>
            <family val="2"/>
          </rPr>
          <t xml:space="preserve">Capital              709,79
</t>
        </r>
        <r>
          <rPr>
            <b/>
            <sz val="12"/>
            <color indexed="8"/>
            <rFont val="Calibri"/>
            <family val="2"/>
          </rPr>
          <t>Total              1.082,70</t>
        </r>
      </text>
    </comment>
    <comment ref="AE4" authorId="0" shapeId="0" xr:uid="{00000000-0006-0000-0300-000014000000}">
      <text>
        <r>
          <rPr>
            <b/>
            <sz val="12"/>
            <color indexed="8"/>
            <rFont val="Calibri"/>
            <family val="2"/>
          </rPr>
          <t xml:space="preserve">Intereses          359,00
</t>
        </r>
        <r>
          <rPr>
            <b/>
            <sz val="12"/>
            <color indexed="8"/>
            <rFont val="Calibri"/>
            <family val="2"/>
          </rPr>
          <t xml:space="preserve">Capital              723,35
</t>
        </r>
        <r>
          <rPr>
            <b/>
            <sz val="12"/>
            <color indexed="8"/>
            <rFont val="Calibri"/>
            <family val="2"/>
          </rPr>
          <t>Total              1.082,71</t>
        </r>
      </text>
    </comment>
    <comment ref="AF4" authorId="0" shapeId="0" xr:uid="{00000000-0006-0000-0300-000015000000}">
      <text>
        <r>
          <rPr>
            <b/>
            <sz val="12"/>
            <color indexed="8"/>
            <rFont val="Calibri"/>
            <family val="2"/>
          </rPr>
          <t xml:space="preserve">Intereses       324,96
</t>
        </r>
        <r>
          <rPr>
            <b/>
            <sz val="12"/>
            <color indexed="8"/>
            <rFont val="Calibri"/>
            <family val="2"/>
          </rPr>
          <t xml:space="preserve">Capital           757,39
</t>
        </r>
        <r>
          <rPr>
            <b/>
            <sz val="12"/>
            <color indexed="8"/>
            <rFont val="Calibri"/>
            <family val="2"/>
          </rPr>
          <t>Total           1.082,35</t>
        </r>
      </text>
    </comment>
    <comment ref="AG4" authorId="0" shapeId="0" xr:uid="{00000000-0006-0000-0300-000016000000}">
      <text>
        <r>
          <rPr>
            <b/>
            <sz val="12"/>
            <color indexed="8"/>
            <rFont val="Calibri"/>
            <family val="2"/>
          </rPr>
          <t xml:space="preserve">Intereses       285,02
</t>
        </r>
        <r>
          <rPr>
            <b/>
            <sz val="12"/>
            <color indexed="8"/>
            <rFont val="Calibri"/>
            <family val="2"/>
          </rPr>
          <t xml:space="preserve">Capital           797,33
</t>
        </r>
        <r>
          <rPr>
            <b/>
            <sz val="12"/>
            <color indexed="8"/>
            <rFont val="Calibri"/>
            <family val="2"/>
          </rPr>
          <t>Total           1.082,35</t>
        </r>
      </text>
    </comment>
    <comment ref="AH4" authorId="0" shapeId="0" xr:uid="{00000000-0006-0000-0300-000017000000}">
      <text>
        <r>
          <rPr>
            <b/>
            <sz val="12"/>
            <color indexed="8"/>
            <rFont val="Calibri"/>
            <family val="2"/>
          </rPr>
          <t xml:space="preserve">Intereses  189,94
</t>
        </r>
        <r>
          <rPr>
            <b/>
            <sz val="12"/>
            <color indexed="8"/>
            <rFont val="Calibri"/>
            <family val="2"/>
          </rPr>
          <t xml:space="preserve">Capital      786,05
</t>
        </r>
        <r>
          <rPr>
            <b/>
            <sz val="12"/>
            <color indexed="8"/>
            <rFont val="Calibri"/>
            <family val="2"/>
          </rPr>
          <t>Total          975,99</t>
        </r>
      </text>
    </comment>
    <comment ref="AI4" authorId="0" shapeId="0" xr:uid="{00000000-0006-0000-0300-000018000000}">
      <text>
        <r>
          <rPr>
            <b/>
            <sz val="12"/>
            <color indexed="8"/>
            <rFont val="Calibri"/>
            <family val="2"/>
          </rPr>
          <t xml:space="preserve">Intereses     82,21
</t>
        </r>
        <r>
          <rPr>
            <b/>
            <sz val="12"/>
            <color indexed="8"/>
            <rFont val="Calibri"/>
            <family val="2"/>
          </rPr>
          <t xml:space="preserve">Capital      817,95
</t>
        </r>
        <r>
          <rPr>
            <b/>
            <sz val="12"/>
            <color indexed="8"/>
            <rFont val="Calibri"/>
            <family val="2"/>
          </rPr>
          <t>Total          900,16</t>
        </r>
      </text>
    </comment>
    <comment ref="AJ4" authorId="0" shapeId="0" xr:uid="{00000000-0006-0000-0300-000019000000}">
      <text>
        <r>
          <rPr>
            <b/>
            <sz val="12"/>
            <color indexed="8"/>
            <rFont val="Calibri"/>
            <family val="2"/>
          </rPr>
          <t xml:space="preserve">Intereses     94,36
</t>
        </r>
        <r>
          <rPr>
            <b/>
            <sz val="12"/>
            <color indexed="8"/>
            <rFont val="Calibri"/>
            <family val="2"/>
          </rPr>
          <t xml:space="preserve">Capital      653,47
</t>
        </r>
        <r>
          <rPr>
            <b/>
            <sz val="12"/>
            <color indexed="8"/>
            <rFont val="Calibri"/>
            <family val="2"/>
          </rPr>
          <t>Total          747,83</t>
        </r>
      </text>
    </comment>
    <comment ref="AK4" authorId="0" shapeId="0" xr:uid="{00000000-0006-0000-0300-00001A000000}">
      <text>
        <r>
          <rPr>
            <b/>
            <sz val="12"/>
            <color indexed="8"/>
            <rFont val="Calibri"/>
            <family val="2"/>
          </rPr>
          <t xml:space="preserve">Intereses    81,17
</t>
        </r>
        <r>
          <rPr>
            <b/>
            <sz val="12"/>
            <color indexed="8"/>
            <rFont val="Calibri"/>
            <family val="2"/>
          </rPr>
          <t xml:space="preserve">Capital      666,66
</t>
        </r>
        <r>
          <rPr>
            <b/>
            <sz val="12"/>
            <color indexed="8"/>
            <rFont val="Calibri"/>
            <family val="2"/>
          </rPr>
          <t>Total          747,83</t>
        </r>
      </text>
    </comment>
    <comment ref="AL4" authorId="0" shapeId="0" xr:uid="{00000000-0006-0000-0300-00001B000000}">
      <text>
        <r>
          <rPr>
            <b/>
            <sz val="12"/>
            <color indexed="8"/>
            <rFont val="Calibri"/>
            <family val="2"/>
          </rPr>
          <t xml:space="preserve">Intereses    65,26
</t>
        </r>
        <r>
          <rPr>
            <b/>
            <sz val="12"/>
            <color indexed="8"/>
            <rFont val="Calibri"/>
            <family val="2"/>
          </rPr>
          <t xml:space="preserve">Capital      553,12
</t>
        </r>
        <r>
          <rPr>
            <b/>
            <sz val="12"/>
            <color indexed="8"/>
            <rFont val="Calibri"/>
            <family val="2"/>
          </rPr>
          <t>Total          618,40</t>
        </r>
      </text>
    </comment>
    <comment ref="A6" authorId="0" shapeId="0" xr:uid="{00000000-0006-0000-0300-00001C000000}">
      <text>
        <r>
          <rPr>
            <b/>
            <sz val="12"/>
            <color indexed="8"/>
            <rFont val="Calibri"/>
            <family val="2"/>
          </rPr>
          <t xml:space="preserve">Angel Luis Chalet CAJA DUERO 
</t>
        </r>
        <r>
          <rPr>
            <b/>
            <sz val="12"/>
            <color indexed="8"/>
            <rFont val="Calibri"/>
            <family val="2"/>
          </rPr>
          <t xml:space="preserve">160.000€ Hipoteca 
</t>
        </r>
        <r>
          <rPr>
            <b/>
            <sz val="12"/>
            <color indexed="8"/>
            <rFont val="Calibri"/>
            <family val="2"/>
          </rPr>
          <t>Nº 0008.7034126671</t>
        </r>
      </text>
    </comment>
    <comment ref="Z6" authorId="0" shapeId="0" xr:uid="{00000000-0006-0000-0300-00001D000000}">
      <text>
        <r>
          <rPr>
            <b/>
            <sz val="14"/>
            <color indexed="8"/>
            <rFont val="Calibri"/>
            <family val="2"/>
          </rPr>
          <t>Anterior interes al 2,75%</t>
        </r>
      </text>
    </comment>
    <comment ref="AA6" authorId="0" shapeId="0" xr:uid="{00000000-0006-0000-0300-00001E000000}">
      <text>
        <r>
          <rPr>
            <b/>
            <sz val="12"/>
            <color indexed="8"/>
            <rFont val="Calibri"/>
            <family val="2"/>
          </rPr>
          <t>Intereses al 6,111%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Intereses          750,61
</t>
        </r>
        <r>
          <rPr>
            <b/>
            <sz val="10"/>
            <color indexed="8"/>
            <rFont val="Calibri"/>
            <family val="2"/>
          </rPr>
          <t xml:space="preserve">Capital              273,34
</t>
        </r>
        <r>
          <rPr>
            <b/>
            <sz val="10"/>
            <color indexed="8"/>
            <rFont val="Calibri"/>
            <family val="2"/>
          </rPr>
          <t>Total              1.023,95</t>
        </r>
      </text>
    </comment>
    <comment ref="AB6" authorId="0" shapeId="0" xr:uid="{00000000-0006-0000-0300-00001F000000}">
      <text>
        <r>
          <rPr>
            <b/>
            <sz val="12"/>
            <color indexed="8"/>
            <rFont val="Calibri"/>
            <family val="2"/>
          </rPr>
          <t>Intereses al 6,111%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Intereses          750,61
</t>
        </r>
        <r>
          <rPr>
            <b/>
            <sz val="10"/>
            <color indexed="8"/>
            <rFont val="Calibri"/>
            <family val="2"/>
          </rPr>
          <t xml:space="preserve">Capital              273,34
</t>
        </r>
        <r>
          <rPr>
            <b/>
            <sz val="10"/>
            <color indexed="8"/>
            <rFont val="Calibri"/>
            <family val="2"/>
          </rPr>
          <t>Total              1.023,95</t>
        </r>
      </text>
    </comment>
    <comment ref="AH6" authorId="0" shapeId="0" xr:uid="{00000000-0006-0000-0300-000020000000}">
      <text>
        <r>
          <rPr>
            <b/>
            <sz val="10"/>
            <color indexed="8"/>
            <rFont val="Calibri"/>
            <family val="2"/>
          </rPr>
          <t xml:space="preserve">Intereses 43,84
</t>
        </r>
        <r>
          <rPr>
            <b/>
            <sz val="10"/>
            <color indexed="8"/>
            <rFont val="Calibri"/>
            <family val="2"/>
          </rPr>
          <t xml:space="preserve">Capital 109,32
</t>
        </r>
        <r>
          <rPr>
            <b/>
            <sz val="10"/>
            <color indexed="8"/>
            <rFont val="Calibri"/>
            <family val="2"/>
          </rPr>
          <t>Total 153,16</t>
        </r>
      </text>
    </comment>
    <comment ref="A7" authorId="0" shapeId="0" xr:uid="{00000000-0006-0000-0300-000021000000}">
      <text>
        <r>
          <rPr>
            <b/>
            <sz val="12"/>
            <color indexed="8"/>
            <rFont val="Calibri"/>
            <family val="2"/>
          </rPr>
          <t xml:space="preserve">Angel Luis Chalet CAJA DUERO
</t>
        </r>
        <r>
          <rPr>
            <b/>
            <sz val="12"/>
            <color indexed="8"/>
            <rFont val="Calibri"/>
            <family val="2"/>
          </rPr>
          <t xml:space="preserve">105.000€ Hipoteca 
</t>
        </r>
        <r>
          <rPr>
            <b/>
            <sz val="12"/>
            <color indexed="8"/>
            <rFont val="Calibri"/>
            <family val="2"/>
          </rPr>
          <t>Nº 0008.7039621728</t>
        </r>
      </text>
    </comment>
    <comment ref="AA7" authorId="0" shapeId="0" xr:uid="{00000000-0006-0000-0300-000022000000}">
      <text>
        <r>
          <rPr>
            <b/>
            <sz val="12"/>
            <color indexed="8"/>
            <rFont val="Calibri"/>
            <family val="2"/>
          </rPr>
          <t>Intereses al 5,498%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Intereses          452,77
</t>
        </r>
        <r>
          <rPr>
            <b/>
            <sz val="10"/>
            <color indexed="8"/>
            <rFont val="Calibri"/>
            <family val="2"/>
          </rPr>
          <t xml:space="preserve">Capital              187,09
</t>
        </r>
        <r>
          <rPr>
            <b/>
            <sz val="10"/>
            <color indexed="8"/>
            <rFont val="Calibri"/>
            <family val="2"/>
          </rPr>
          <t>Total                 641,14</t>
        </r>
      </text>
    </comment>
    <comment ref="AB7" authorId="0" shapeId="0" xr:uid="{00000000-0006-0000-0300-000023000000}">
      <text>
        <r>
          <rPr>
            <b/>
            <sz val="12"/>
            <color indexed="8"/>
            <rFont val="Calibri"/>
            <family val="2"/>
          </rPr>
          <t>Intereses al 5,498%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Intereses          451,05
</t>
        </r>
        <r>
          <rPr>
            <b/>
            <sz val="10"/>
            <color indexed="8"/>
            <rFont val="Calibri"/>
            <family val="2"/>
          </rPr>
          <t xml:space="preserve">Capital              127,46
</t>
        </r>
        <r>
          <rPr>
            <b/>
            <sz val="10"/>
            <color indexed="8"/>
            <rFont val="Calibri"/>
            <family val="2"/>
          </rPr>
          <t>Total                 578,51</t>
        </r>
      </text>
    </comment>
    <comment ref="A8" authorId="0" shapeId="0" xr:uid="{00000000-0006-0000-0300-000024000000}">
      <text>
        <r>
          <rPr>
            <b/>
            <sz val="12"/>
            <color indexed="81"/>
            <rFont val="Calibri"/>
            <family val="2"/>
          </rPr>
          <t>133.000€
Prestamo de Micro Infor Salamanca</t>
        </r>
        <r>
          <rPr>
            <sz val="10"/>
            <color indexed="81"/>
            <rFont val="Calibri"/>
            <family val="2"/>
          </rPr>
          <t xml:space="preserve">
</t>
        </r>
      </text>
    </comment>
    <comment ref="A9" authorId="0" shapeId="0" xr:uid="{00000000-0006-0000-0300-000025000000}">
      <text>
        <r>
          <rPr>
            <b/>
            <sz val="12"/>
            <color indexed="81"/>
            <rFont val="Calibri"/>
            <family val="2"/>
          </rPr>
          <t>15.0000€
Prestamo de mi Padre</t>
        </r>
      </text>
    </comment>
    <comment ref="A10" authorId="0" shapeId="0" xr:uid="{00000000-0006-0000-0300-000026000000}">
      <text>
        <r>
          <rPr>
            <b/>
            <sz val="12"/>
            <color indexed="81"/>
            <rFont val="Calibri"/>
            <family val="2"/>
          </rPr>
          <t>24.000€
Piso Calle Independencia 
Prestamo Nº 0008.7039621582</t>
        </r>
      </text>
    </comment>
    <comment ref="AA10" authorId="0" shapeId="0" xr:uid="{00000000-0006-0000-0300-000027000000}">
      <text>
        <r>
          <rPr>
            <b/>
            <sz val="12"/>
            <color indexed="8"/>
            <rFont val="Calibri"/>
            <family val="2"/>
          </rPr>
          <t>Intereses al 6,498%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Calibri"/>
            <family val="2"/>
          </rPr>
          <t xml:space="preserve">Intereses          117,44
</t>
        </r>
        <r>
          <rPr>
            <b/>
            <sz val="10"/>
            <color indexed="8"/>
            <rFont val="Calibri"/>
            <family val="2"/>
          </rPr>
          <t xml:space="preserve">Capital                89,68
</t>
        </r>
        <r>
          <rPr>
            <b/>
            <sz val="10"/>
            <color indexed="8"/>
            <rFont val="Calibri"/>
            <family val="2"/>
          </rPr>
          <t>Total                 207,12</t>
        </r>
      </text>
    </comment>
    <comment ref="AB10" authorId="0" shapeId="0" xr:uid="{00000000-0006-0000-0300-000028000000}">
      <text>
        <r>
          <rPr>
            <b/>
            <sz val="12"/>
            <color indexed="8"/>
            <rFont val="Calibri"/>
            <family val="2"/>
          </rPr>
          <t xml:space="preserve">Intereses al 6,498%
</t>
        </r>
        <r>
          <rPr>
            <b/>
            <sz val="12"/>
            <color indexed="8"/>
            <rFont val="Calibri"/>
            <family val="2"/>
          </rPr>
          <t xml:space="preserve">
</t>
        </r>
        <r>
          <rPr>
            <b/>
            <sz val="12"/>
            <color indexed="8"/>
            <rFont val="Calibri"/>
            <family val="2"/>
          </rPr>
          <t xml:space="preserve">Intereses            78,56
</t>
        </r>
        <r>
          <rPr>
            <b/>
            <sz val="12"/>
            <color indexed="8"/>
            <rFont val="Calibri"/>
            <family val="2"/>
          </rPr>
          <t xml:space="preserve">Capital                64,82
</t>
        </r>
        <r>
          <rPr>
            <b/>
            <sz val="12"/>
            <color indexed="8"/>
            <rFont val="Calibri"/>
            <family val="2"/>
          </rPr>
          <t>Total                 143,38</t>
        </r>
      </text>
    </comment>
  </commentList>
</comments>
</file>

<file path=xl/sharedStrings.xml><?xml version="1.0" encoding="utf-8"?>
<sst xmlns="http://schemas.openxmlformats.org/spreadsheetml/2006/main" count="523" uniqueCount="321">
  <si>
    <t>Diferencia</t>
  </si>
  <si>
    <t>Plan de Pensiones</t>
  </si>
  <si>
    <t>Prestamo mio a la Empresa</t>
  </si>
  <si>
    <t>Prestamo mio a la Empresa Impuestos</t>
  </si>
  <si>
    <t>Prestamo mio a la Empresa Fin de Mes</t>
  </si>
  <si>
    <t>Sueldos</t>
  </si>
  <si>
    <t>Hacienda</t>
  </si>
  <si>
    <t>Importes</t>
  </si>
  <si>
    <t>Diferencia del 2017 al 2018</t>
  </si>
  <si>
    <t>Diferencia del 2018 al 2019</t>
  </si>
  <si>
    <t>TOTAL</t>
  </si>
  <si>
    <t>Prestamo Empresa Asturias</t>
  </si>
  <si>
    <t>Prestamo Empresa</t>
  </si>
  <si>
    <t>Prestado el día 31 de Enero de 2019</t>
  </si>
  <si>
    <t>Importe</t>
  </si>
  <si>
    <t>Cuotas</t>
  </si>
  <si>
    <t>Mes</t>
  </si>
  <si>
    <t>Pagada</t>
  </si>
  <si>
    <t>IMPORTE INICIAL</t>
  </si>
  <si>
    <t>Febrero</t>
  </si>
  <si>
    <t>OK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</si>
  <si>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</si>
  <si>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</si>
  <si>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</si>
  <si>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</si>
  <si>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</si>
  <si>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</si>
  <si>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</si>
  <si>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</si>
  <si>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</si>
  <si>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</si>
  <si>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</si>
  <si>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Despidos Graci, Mª José, Higinio</t>
  </si>
  <si>
    <t>Crédito a Micro Infor (Tito)</t>
  </si>
  <si>
    <t>Credito Empresa Piso C/ Vergara y Otros (Tito)</t>
  </si>
  <si>
    <t>Debe MoviStar</t>
  </si>
  <si>
    <t>A FAVOR</t>
  </si>
  <si>
    <t>Valor EMPRESA</t>
  </si>
  <si>
    <t>Valor Coche</t>
  </si>
  <si>
    <t>DEUDA Año 2007</t>
  </si>
  <si>
    <t>DEUDA Año 2008</t>
  </si>
  <si>
    <t>DEUDA Año 2009</t>
  </si>
  <si>
    <t>DEUDA Año 2010</t>
  </si>
  <si>
    <t>DEUDA Año 2011</t>
  </si>
  <si>
    <t>DEUDA Año 2012</t>
  </si>
  <si>
    <t>DEUDA Año 2013</t>
  </si>
  <si>
    <t>DEUDA Año 2014</t>
  </si>
  <si>
    <t>Deuda Año 2015</t>
  </si>
  <si>
    <t>Deuda Año 2016</t>
  </si>
  <si>
    <t>Deuda Año 2017</t>
  </si>
  <si>
    <t>Deuda Año 2018</t>
  </si>
  <si>
    <t>Deuda Año 2019</t>
  </si>
  <si>
    <t>A FECHA 31 de ENERO de 2019</t>
  </si>
  <si>
    <t>Interes</t>
  </si>
  <si>
    <t>Cuota 2008</t>
  </si>
  <si>
    <t>Cuota 2009</t>
  </si>
  <si>
    <t>Cuota 2010</t>
  </si>
  <si>
    <t>Cuota 2011</t>
  </si>
  <si>
    <t>Cuota 2012</t>
  </si>
  <si>
    <t>Cuota 2013</t>
  </si>
  <si>
    <t>Cuota 2014</t>
  </si>
  <si>
    <t>Cuota 2015</t>
  </si>
  <si>
    <t>Cuota 2016</t>
  </si>
  <si>
    <t>Cuota 2017</t>
  </si>
  <si>
    <t>Cuota 2018</t>
  </si>
  <si>
    <t>Cuota 2019</t>
  </si>
  <si>
    <t>Aluis Hipoteca Piso Principe de Vergara Banco Popular</t>
  </si>
  <si>
    <t>Micro Infor Hipoteca Piso Principe de Vergara Banco Popular</t>
  </si>
  <si>
    <r>
      <t>Angel Luis Chalet CAJA DUERO</t>
    </r>
    <r>
      <rPr>
        <b/>
        <sz val="8"/>
        <color indexed="23"/>
        <rFont val="Helv"/>
      </rPr>
      <t xml:space="preserve"> (Hipoteca Nº 0008.7034126671) TENGO HIPOTECA</t>
    </r>
  </si>
  <si>
    <r>
      <t>Angel Luis Chalet CAJA DUERO</t>
    </r>
    <r>
      <rPr>
        <b/>
        <sz val="8"/>
        <color indexed="23"/>
        <rFont val="Helv"/>
      </rPr>
      <t xml:space="preserve"> (Hipoteca Nº 0008.7039621728) TENGO HIPOTECA</t>
    </r>
  </si>
  <si>
    <r>
      <t xml:space="preserve">Micro Infor CAJA DUERO </t>
    </r>
    <r>
      <rPr>
        <b/>
        <sz val="8"/>
        <color indexed="23"/>
        <rFont val="Helv"/>
      </rPr>
      <t>(Avalando chalet ASTURIAS)</t>
    </r>
  </si>
  <si>
    <t>Prestamo de mi Padre</t>
  </si>
  <si>
    <r>
      <t>Piso Calle Independencia</t>
    </r>
    <r>
      <rPr>
        <b/>
        <sz val="8"/>
        <color indexed="23"/>
        <rFont val="Helv"/>
      </rPr>
      <t xml:space="preserve"> (Prestamo Nº 0008.7039621582) TENGO HIPOTECA</t>
    </r>
  </si>
  <si>
    <t>Cuotas Mensuales</t>
  </si>
  <si>
    <t>Diferencia del 2000 al 2007</t>
  </si>
  <si>
    <t>Diferencia del 2007 al 2008</t>
  </si>
  <si>
    <t>Diferencia del 2008 al 2009</t>
  </si>
  <si>
    <t>Diferencia del 2009 al 2010</t>
  </si>
  <si>
    <t>Diferencia del 2010 al 2011</t>
  </si>
  <si>
    <t>Diferencia del 2011 al 2012</t>
  </si>
  <si>
    <t>Diferencia del 2012 al 2013</t>
  </si>
  <si>
    <t>Diferencia del 2013 al 2014</t>
  </si>
  <si>
    <t>Diferencia del 2014 al 2015</t>
  </si>
  <si>
    <t>Diferencia del 2015 al 2016</t>
  </si>
  <si>
    <t>Diferencia del 2016 al 2017</t>
  </si>
  <si>
    <t>DEUDA ACTUAL Aluis 2016</t>
  </si>
  <si>
    <t>DEUDA ACTUAL Micro InFor 2016</t>
  </si>
  <si>
    <t>Total Deuda</t>
  </si>
  <si>
    <t>Caja Fuerte</t>
  </si>
  <si>
    <t>Amortización Prestamo Empresa</t>
  </si>
  <si>
    <t>Sueldos Hasta Diciembre</t>
  </si>
  <si>
    <t>Años 2000 al 2008</t>
  </si>
  <si>
    <t>Año 2008</t>
  </si>
  <si>
    <t>Año 2009</t>
    <phoneticPr fontId="3" type="noConversion"/>
  </si>
  <si>
    <t>Año 2010</t>
    <phoneticPr fontId="3" type="noConversion"/>
  </si>
  <si>
    <t>Año 2011</t>
  </si>
  <si>
    <t>ACTUALIZADO A FECHA DE 2 de Julio de 2011</t>
  </si>
  <si>
    <t>Prestamo Angel Luis Chalet Luanco CAJA DUERO</t>
  </si>
  <si>
    <t>2104 0008 61 7034126671 PREST. GTIA. HIPOT. Construcción</t>
  </si>
  <si>
    <t>Proxima revision Septiembre 2010 Finaliza el 9 de Agosto 2030</t>
  </si>
  <si>
    <t>Prestamo Angel Luis Chalet Luanco   CAJA DUERO</t>
  </si>
  <si>
    <t xml:space="preserve">2104 0008 60 7039621728    PREST. GTIA. HIPOT. SIN CLASIF.  </t>
    <phoneticPr fontId="3" type="noConversion"/>
  </si>
  <si>
    <t>Años que quedan por Amortizar 11 de Marzo 2031</t>
  </si>
  <si>
    <t>Prestamo Angel Luis Piso Calle Vergara BANCO CASTILLA</t>
  </si>
  <si>
    <t>Vence el día  4-Octubre-2036</t>
  </si>
  <si>
    <t>Prestamo Micro Infor Calle Vergara BANCO CASTILLA</t>
  </si>
  <si>
    <t>Años que quedan por Amortizar  Vence el 13 de Agosto del 2024</t>
  </si>
  <si>
    <t xml:space="preserve">Prestamo Micro Infor CAJA DUERO </t>
  </si>
  <si>
    <t>Prestamo Piso Calle Independencia</t>
  </si>
  <si>
    <t>TOTAL DEUDA</t>
    <phoneticPr fontId="3" type="noConversion"/>
  </si>
  <si>
    <t>Total deuda General 2.000</t>
  </si>
  <si>
    <t>Diferencia del 2000 al 2008</t>
  </si>
  <si>
    <t>DEUDA ACTUAL 2011</t>
  </si>
  <si>
    <t>ACTUALIZADO A FECHA DE 30 de Diciembre de 2009</t>
  </si>
  <si>
    <t>Actualizado a Fecha 26 de Febrero 2016</t>
  </si>
  <si>
    <t>Compra</t>
  </si>
  <si>
    <t>Concepto</t>
  </si>
  <si>
    <t>Valor estimado 2016</t>
  </si>
  <si>
    <t>Chalet Luanco</t>
  </si>
  <si>
    <t>Nº de Prestamo 2104 0008 61 7034126671 PREST. GTIA. HIPOT. Construcción</t>
  </si>
  <si>
    <t>Casa Principe de Vergara</t>
  </si>
  <si>
    <t>Al 2,75%</t>
    <phoneticPr fontId="3" type="noConversion"/>
  </si>
  <si>
    <t>Piso Independencia</t>
  </si>
  <si>
    <t>Proxima revision Septiembre 2010</t>
  </si>
  <si>
    <t>Mercedes</t>
  </si>
  <si>
    <t>Pago Ahora  758,97</t>
  </si>
  <si>
    <t>Sang Young Andrés</t>
  </si>
  <si>
    <t>Años que quedan por Amortizar 9 de Agosto del 2030</t>
  </si>
  <si>
    <t>Resto de Coches</t>
  </si>
  <si>
    <t>Valor Empresa</t>
  </si>
  <si>
    <t>Total</t>
  </si>
  <si>
    <t xml:space="preserve">Nº de Prestamo  2104 0008 60 7039621728    PREST. GTIA. HIPOT. SIN CLASIF. / Al 3,65%  </t>
  </si>
  <si>
    <t>Proxima Revisión  Abril 2010</t>
  </si>
  <si>
    <t>Pago Ahora 494,75</t>
  </si>
  <si>
    <t xml:space="preserve">Banco Castilla  </t>
  </si>
  <si>
    <t>Al 3,25%</t>
    <phoneticPr fontId="3" type="noConversion"/>
  </si>
  <si>
    <t>Pago Ahora 843,23</t>
  </si>
  <si>
    <t>Años que quedan por Amortizar</t>
  </si>
  <si>
    <t>Pago Ahora 1.329,10</t>
  </si>
  <si>
    <t>Nº de Prestamo 0008.7039621582</t>
  </si>
  <si>
    <t>Caja Duero</t>
  </si>
  <si>
    <t xml:space="preserve">Al 4,50    </t>
    <phoneticPr fontId="3" type="noConversion"/>
  </si>
  <si>
    <t>Proxima revision el 11 Abril del 2010</t>
  </si>
  <si>
    <t>Pago Ahora  1.031,14</t>
  </si>
  <si>
    <t>Años que quedan por Amortizar  Vence el 11 de Abril del 2021</t>
  </si>
  <si>
    <t>Al 3,50%</t>
    <phoneticPr fontId="3" type="noConversion"/>
  </si>
  <si>
    <t>Prestamo del día 21 de Noviembre del 2014</t>
  </si>
  <si>
    <t>Intereses al 2,5%</t>
  </si>
  <si>
    <t>Intereses Trimestrales</t>
  </si>
  <si>
    <t>Intereses Semestrales</t>
  </si>
  <si>
    <t>Capital Dejado</t>
  </si>
  <si>
    <t>Intereses Anuales</t>
  </si>
  <si>
    <t>Intereses Mensuales</t>
  </si>
  <si>
    <t>Fecha de Pago</t>
  </si>
  <si>
    <t>Intereses</t>
  </si>
  <si>
    <t>Anticipo</t>
  </si>
  <si>
    <t>Total Pagado</t>
  </si>
  <si>
    <t>Liquidación Del Al</t>
  </si>
  <si>
    <t>Prestamo del día 27 de Noviembre del 2013</t>
  </si>
  <si>
    <t>27/11/2013 al 27/02/2014</t>
  </si>
  <si>
    <t>Prestamo del día 27 de Febrero del 2014</t>
  </si>
  <si>
    <t>Nuevo convenio echo el día 3 de Noviembre del 2007</t>
  </si>
  <si>
    <t>Se lo estaba pagando al 3,5% y quedamos de acuerdo en subirlo al 5%</t>
  </si>
  <si>
    <t>AL 5%</t>
  </si>
  <si>
    <t>AL 5% en €</t>
  </si>
  <si>
    <t>Liquidación de Interes</t>
  </si>
  <si>
    <t>03 de Noviembre del 2007</t>
  </si>
  <si>
    <t>Pagado</t>
  </si>
  <si>
    <t>03 de Mayo del 2008</t>
  </si>
  <si>
    <t>04 de Junio Pagado 6.000 €</t>
  </si>
  <si>
    <t>04 de mayo Junio 87,64 € de Intereses</t>
  </si>
  <si>
    <t>03 de Diciembre del 2008</t>
  </si>
  <si>
    <t>Pagado</t>
    <phoneticPr fontId="4" type="noConversion"/>
  </si>
  <si>
    <t>03 de Junio del 2009</t>
  </si>
  <si>
    <t>Adelanto de pago de cancelación de deuda en Julio 2009</t>
    <phoneticPr fontId="4" type="noConversion"/>
  </si>
  <si>
    <t>AL 3,5%</t>
    <phoneticPr fontId="4" type="noConversion"/>
  </si>
  <si>
    <t>AL 3,5% en €</t>
    <phoneticPr fontId="4" type="noConversion"/>
  </si>
  <si>
    <t>03 de Diciembre del 2009</t>
  </si>
  <si>
    <t>Pagado 6 de Enero</t>
    <phoneticPr fontId="4" type="noConversion"/>
  </si>
  <si>
    <t>03 de Junio del 2010</t>
    <phoneticPr fontId="4" type="noConversion"/>
  </si>
  <si>
    <t>Pagado 18 de Junio</t>
    <phoneticPr fontId="4" type="noConversion"/>
  </si>
  <si>
    <t>Liquidación de Intereses de Junio y Julio</t>
    <phoneticPr fontId="4" type="noConversion"/>
  </si>
  <si>
    <t>Pagado el 1 de Agosto 2010</t>
    <phoneticPr fontId="4" type="noConversion"/>
  </si>
  <si>
    <t>Adelanto el 1 de Agosto</t>
    <phoneticPr fontId="4" type="noConversion"/>
  </si>
  <si>
    <t>Proximo Pago 1 de Febrero 2011</t>
    <phoneticPr fontId="4" type="noConversion"/>
  </si>
  <si>
    <t>Proximo Pago 1 de Agosto 2011 (Cancelado)</t>
  </si>
  <si>
    <t xml:space="preserve">Adelanto de pago cancelación de deuda Enero 2011 (3.000€ + Intereses) </t>
  </si>
  <si>
    <t>Pagado el 3 de Enero 2011</t>
  </si>
  <si>
    <t>Proximo Pago 1 de Agosto 2011</t>
  </si>
  <si>
    <t>Proximo Pago 1 de Febrero 2012</t>
  </si>
  <si>
    <t>Total Liquidación hasta el 1 de julio del 2011</t>
  </si>
  <si>
    <t>Proximo Pago 1 de Enero 2012</t>
  </si>
  <si>
    <t>Total Liquidación el día 25 de Julio 2011</t>
  </si>
  <si>
    <t>2.005 Euros</t>
  </si>
  <si>
    <t>FIN DEUDA</t>
  </si>
  <si>
    <t>Aplazamiento Hacienda ó Banco AHORA (Tito)</t>
  </si>
  <si>
    <t>Banco Santander Cuenta Personal</t>
  </si>
  <si>
    <t>Stock MoviStar + Accesorios</t>
  </si>
  <si>
    <t>Stock MovilFree + Accesorios</t>
  </si>
  <si>
    <t>Importe Año 2020</t>
  </si>
  <si>
    <t>Diferencia del 2019 al 2020</t>
  </si>
  <si>
    <t>PAGADO (FINALIZADO)</t>
  </si>
  <si>
    <t>Caja Metálico</t>
  </si>
  <si>
    <t>Prestamo mio a la Empresa del Piso</t>
  </si>
  <si>
    <t>Lo Ingresa Cristina sobre el día 8 de cada mes</t>
  </si>
  <si>
    <t>Ganancias por Año</t>
  </si>
  <si>
    <t>Credito Tito Piso C/ Vergara (Engloba otros prestamos)</t>
  </si>
  <si>
    <t>Piso Avenida de Campoamor Nº30, 4ºC</t>
  </si>
  <si>
    <t>Despido de Angel</t>
  </si>
  <si>
    <t>Dinero en B Piso</t>
  </si>
  <si>
    <t>Unicaja Hipoteca Campoamor</t>
  </si>
  <si>
    <t>En Prestamos (Hipoteca Campoamor)</t>
  </si>
  <si>
    <t>Televisión Salón</t>
  </si>
  <si>
    <t>Dentista</t>
  </si>
  <si>
    <t>Vacaciones</t>
  </si>
  <si>
    <t>Mobiliario de casa Principe de vergara</t>
  </si>
  <si>
    <t>Pintura de Casa Principe de vergara</t>
  </si>
  <si>
    <t>Por Bloques</t>
  </si>
  <si>
    <t>Abogado del Erte</t>
  </si>
  <si>
    <t>En prestamos a la Empresa</t>
  </si>
  <si>
    <t>Campoamor Cristalero</t>
  </si>
  <si>
    <t>Campoamor Edredones</t>
  </si>
  <si>
    <t>Campoamor Cortinas y Estores</t>
  </si>
  <si>
    <t>Mobiliario Jesús Campoamor</t>
  </si>
  <si>
    <t>Campoamor Articulos de Baño y Lampara</t>
  </si>
  <si>
    <t>Local Auxiliadora Parket</t>
  </si>
  <si>
    <t>Local Auxi Obra, Pintura e Iluminación</t>
  </si>
  <si>
    <t>Local Auxiliadora Aire acondicionado</t>
  </si>
  <si>
    <t>Portátil + Grafica RTX 2080Ti + Gafas HP Revert G2</t>
  </si>
  <si>
    <t>Campoamor TV + Lamparas</t>
  </si>
  <si>
    <t>Grafica RTX 3090</t>
  </si>
  <si>
    <t>Inversión Oficinas FFVV + Tiendas + TINTARED</t>
  </si>
  <si>
    <t>Pago Multa  Hacienda (descontado la devolución)</t>
  </si>
  <si>
    <t>Prestamo de mis Padres</t>
  </si>
  <si>
    <t>Importe Año 2021</t>
  </si>
  <si>
    <t>Diferencia del 2020 al 2021</t>
  </si>
  <si>
    <t>Obras Calle Recreo IVA Incluido</t>
  </si>
  <si>
    <t>Obras Campoamor 1 Adelanto IVA Incluido</t>
  </si>
  <si>
    <t>Obras Campoamor 2 Adelanto Iva Incluido</t>
  </si>
  <si>
    <t>Obras Campoamor 3 Adelanto PAGO Final Iva Incluido</t>
  </si>
  <si>
    <t>Piso Calle Recreo Nº13, 2º</t>
  </si>
  <si>
    <t>Ampliación Obras Calle Recreo, Cocina, Baño y enchufes IVA Incluido</t>
  </si>
  <si>
    <t>Lamparas y topes para puertas</t>
  </si>
  <si>
    <t>Edredones, escoba, recogedor, Fregona, cubo basura y Felpudos</t>
  </si>
  <si>
    <t>PATRIMONIO PERSONAL</t>
  </si>
  <si>
    <t>Pisos  Principe de Vergara + Independencia</t>
  </si>
  <si>
    <t>Patrimonio Incluyendo valor Empresa con  Balance de Situación</t>
  </si>
  <si>
    <t>Pago de Cortinas C/Recreo</t>
  </si>
  <si>
    <t>Ajuar (Vajilla, Cazuelas, Sartenes, etc)</t>
  </si>
  <si>
    <t>Calculo Rentabilidad Alquiler PISOS</t>
  </si>
  <si>
    <t>Renta Piso Calle Recreo</t>
  </si>
  <si>
    <t>Renta Piso Avenida de Campoamor</t>
  </si>
  <si>
    <t>Lavavajillas principe de Vergara</t>
  </si>
  <si>
    <t>Mobiliario Jesús Novomar Calle Recreo IVA Incluido</t>
  </si>
  <si>
    <t>Impuestos Hacienda IVA, etc</t>
  </si>
  <si>
    <t>Inversión</t>
  </si>
  <si>
    <t>Alquiler</t>
  </si>
  <si>
    <t>Comunidad</t>
  </si>
  <si>
    <t>Total Alquiler</t>
  </si>
  <si>
    <t>Pagos</t>
  </si>
  <si>
    <t>Avda Campoamor</t>
  </si>
  <si>
    <t>Piso</t>
  </si>
  <si>
    <t>Cuenta Corriente Empresa Unicaja</t>
  </si>
  <si>
    <t>Unicaja Cuenta Personal</t>
  </si>
  <si>
    <t>Línea de Credito + Cuenta Empresa Santander</t>
  </si>
  <si>
    <t>Microcirujia Capilar</t>
  </si>
  <si>
    <t>Primer Pago de Calefacción por Gas C/ Recreo</t>
  </si>
  <si>
    <t>Pago Nuevos contadores Calefacción AV/ Campoamor</t>
  </si>
  <si>
    <t>Deposito que me devuelven al final del préstamo Iberabal</t>
  </si>
  <si>
    <t>Importe Año 2022</t>
  </si>
  <si>
    <t>Diferencia del 2021 al 2022</t>
  </si>
  <si>
    <t>Importe Año 2018</t>
  </si>
  <si>
    <t>Importe Año 2019</t>
  </si>
  <si>
    <t>C/ Villaviciosa, 28</t>
  </si>
  <si>
    <t>C/ Recreo, 13</t>
  </si>
  <si>
    <t>Piso Calle Villaviciosa Nº28-32, 2A</t>
  </si>
  <si>
    <t>Pisos Campoamor, Recreo y Villaviciosa</t>
  </si>
  <si>
    <t>Ganancia</t>
  </si>
  <si>
    <t>Muebles salón y Habitación C/ Villaviciosa</t>
  </si>
  <si>
    <t>Pago Villaviciosa en B (5.000€ empresa + 5.000€ me dio mi Madre)</t>
  </si>
  <si>
    <t>1º ICO de Unicaja (ES58 2103 2210 7605 5010 0648)</t>
  </si>
  <si>
    <t>2º ICO de Unicaja  (ES4821032210710550100782)</t>
  </si>
  <si>
    <t xml:space="preserve"> </t>
  </si>
  <si>
    <t>Pago final de Calefacción por Gas C/ Recreo</t>
  </si>
  <si>
    <t>Dentista (Implante dental, muela de abajo a la izquierda)</t>
  </si>
  <si>
    <t>Aire Acondicionado de mi Madre</t>
  </si>
  <si>
    <t>Mosquiteras casa Principe de Vergara</t>
  </si>
  <si>
    <t>Dentista (6 Carillas de Porcelana)</t>
  </si>
  <si>
    <t>Fechas de Vencimiento</t>
  </si>
  <si>
    <t>Interes Mensual</t>
  </si>
  <si>
    <t>Interes No Disponibilidad</t>
  </si>
  <si>
    <t>Media Importe Disponible</t>
  </si>
  <si>
    <t>Media Importe NO Disponible</t>
  </si>
  <si>
    <t>TOTAL ANUAL</t>
  </si>
  <si>
    <t>MEDIA MENSUAL</t>
  </si>
  <si>
    <t>Prestamo</t>
  </si>
  <si>
    <t>Unicaja (Hipoteca Campoamor) 19 Agosto 2022</t>
  </si>
  <si>
    <t>Fecha proxima subida</t>
  </si>
  <si>
    <t>Unicaja (Hipoteca Villaviciosa) 23 Marzo 2022</t>
  </si>
  <si>
    <t>Unicaja (Hipoteca Campoamor) 19 Agosto 2020</t>
  </si>
  <si>
    <t>Iberabal 23 julio 2020</t>
  </si>
  <si>
    <t>Iberabal 21 Diciembre 2021</t>
  </si>
  <si>
    <t>Importe Año 2023</t>
  </si>
  <si>
    <t>VALOR DE EMPRESA  CON BALANCE DE SITUACIÓN</t>
  </si>
  <si>
    <t>Deuda a Zeleris</t>
  </si>
  <si>
    <t>Diferencia del 2022 al 2023</t>
  </si>
  <si>
    <t>Alquiler Neto</t>
  </si>
  <si>
    <t>2023 MAYO Banco Santander</t>
  </si>
  <si>
    <t>Renta Piso Calle Villaviciosa</t>
  </si>
  <si>
    <t>TOTAL CREDITOS + IMPUESTOS</t>
  </si>
  <si>
    <t>TOTAL DEVE MOVISTAR + CREDITOS + IMPUESTOS + STOCK</t>
  </si>
  <si>
    <t>Importe Año 2024</t>
  </si>
  <si>
    <t>Importe Año 2025</t>
  </si>
  <si>
    <t>En Cuentas y Caja</t>
  </si>
  <si>
    <t>Pago en A</t>
  </si>
  <si>
    <t>IVA 8%</t>
  </si>
  <si>
    <t>B</t>
  </si>
  <si>
    <t>Compra muebles, etc</t>
  </si>
  <si>
    <t>Intereses Prestamo a la Empresa</t>
  </si>
  <si>
    <t>Importe Año 2026</t>
  </si>
  <si>
    <t>A FECHA 4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</si>
</sst>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&quot;€&quot;_-;\-* #,##0.00&quot;€&quot;_-;_-* &quot;-&quot;??&quot;€&quot;_-;_-@_-"/>
    <numFmt numFmtId="165" formatCode="#,##0.00\ [$€-40A]"/>
    <numFmt numFmtId="166" formatCode="#,##0.00_ ;[Red]\-#,##0.00\ "/>
    <numFmt numFmtId="167" formatCode="#,##0.00_ ;\-#,##0.00\ "/>
    <numFmt numFmtId="168" formatCode="0.000%"/>
    <numFmt numFmtId="169" formatCode="#,##0.00\ &quot;€&quot;"/>
    <numFmt numFmtId="170" formatCode="#,##0.00\ [$€-42D]"/>
    <numFmt numFmtId="171" formatCode="#,##0.00\ [$€-81D]"/>
    <numFmt numFmtId="172" formatCode="_-* #,##0.00\ [$€-C0A]_-;\-* #,##0.00\ [$€-C0A]_-;_-* &quot;-&quot;??\ [$€-C0A]_-;_-@_-"/>
    <numFmt numFmtId="173" formatCode="_-* #,##0&quot;€&quot;_-;\-* #,##0&quot;€&quot;_-;_-* &quot;-&quot;??&quot;€&quot;_-;_-@_-"/>
  </numFmts>
  <fonts count="137" x14ac:knownFonts="1">
    <font>
      <sz val="12"/>
      <name val="Verdana"/>
    </font>
    <font>
      <b/>
      <sz val="12"/>
      <name val="Verdana"/>
      <family val="2"/>
    </font>
    <font>
      <sz val="12"/>
      <name val="Verdana"/>
      <family val="2"/>
    </font>
    <font>
      <sz val="8"/>
      <name val="Verdana"/>
      <family val="2"/>
    </font>
    <font>
      <u/>
      <sz val="12"/>
      <color indexed="61"/>
      <name val="Verdana"/>
      <family val="2"/>
    </font>
    <font>
      <b/>
      <sz val="12"/>
      <color indexed="48"/>
      <name val="Verdana"/>
      <family val="2"/>
    </font>
    <font>
      <b/>
      <sz val="11"/>
      <color indexed="9"/>
      <name val="Verdana"/>
      <family val="2"/>
    </font>
    <font>
      <b/>
      <sz val="11"/>
      <color indexed="48"/>
      <name val="Verdana"/>
      <family val="2"/>
    </font>
    <font>
      <sz val="11"/>
      <name val="Verdana"/>
      <family val="2"/>
    </font>
    <font>
      <b/>
      <sz val="11"/>
      <color indexed="52"/>
      <name val="Verdana"/>
      <family val="2"/>
    </font>
    <font>
      <b/>
      <sz val="9"/>
      <color indexed="9"/>
      <name val="Verdana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Verdana"/>
      <family val="2"/>
    </font>
    <font>
      <sz val="9"/>
      <color indexed="9"/>
      <name val="Calibri"/>
      <family val="2"/>
    </font>
    <font>
      <sz val="9"/>
      <name val="Verdana"/>
      <family val="2"/>
    </font>
    <font>
      <sz val="10"/>
      <name val="Arial"/>
      <family val="2"/>
    </font>
    <font>
      <b/>
      <sz val="14"/>
      <color indexed="8"/>
      <name val="Calibri"/>
      <family val="2"/>
    </font>
    <font>
      <b/>
      <sz val="12"/>
      <color indexed="81"/>
      <name val="Calibri"/>
      <family val="2"/>
    </font>
    <font>
      <sz val="10"/>
      <color indexed="81"/>
      <name val="Calibri"/>
      <family val="2"/>
    </font>
    <font>
      <sz val="12"/>
      <name val="Helv"/>
    </font>
    <font>
      <sz val="10"/>
      <color indexed="9"/>
      <name val="Helv"/>
    </font>
    <font>
      <sz val="11"/>
      <color indexed="9"/>
      <name val="Helv"/>
    </font>
    <font>
      <b/>
      <sz val="8"/>
      <color indexed="23"/>
      <name val="Helv"/>
    </font>
    <font>
      <b/>
      <sz val="12"/>
      <name val="Helv"/>
    </font>
    <font>
      <b/>
      <sz val="12"/>
      <color indexed="8"/>
      <name val="Calibri"/>
      <family val="2"/>
    </font>
    <font>
      <b/>
      <sz val="12"/>
      <color indexed="9"/>
      <name val="Helv"/>
    </font>
    <font>
      <sz val="14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FFFF00"/>
      <name val="Verdana"/>
      <family val="2"/>
    </font>
    <font>
      <b/>
      <sz val="12"/>
      <color rgb="FFFFFF00"/>
      <name val="Verdana"/>
      <family val="2"/>
    </font>
    <font>
      <b/>
      <sz val="10"/>
      <color theme="1"/>
      <name val="Calibri"/>
      <family val="2"/>
      <scheme val="minor"/>
    </font>
    <font>
      <b/>
      <sz val="12"/>
      <color theme="0"/>
      <name val="Verdana"/>
      <family val="2"/>
    </font>
    <font>
      <b/>
      <sz val="9"/>
      <color theme="0"/>
      <name val="Verdana"/>
      <family val="2"/>
    </font>
    <font>
      <b/>
      <sz val="11"/>
      <color rgb="FFFF0000"/>
      <name val="Calibri"/>
      <family val="2"/>
      <scheme val="minor"/>
    </font>
    <font>
      <sz val="11"/>
      <color theme="0"/>
      <name val="Helv"/>
    </font>
    <font>
      <sz val="10"/>
      <color rgb="FFEF2304"/>
      <name val="Helv"/>
    </font>
    <font>
      <sz val="11"/>
      <color rgb="FFEF2304"/>
      <name val="Helv"/>
    </font>
    <font>
      <b/>
      <sz val="9"/>
      <color theme="0" tint="-0.499984740745262"/>
      <name val="Helv"/>
    </font>
    <font>
      <sz val="9"/>
      <color rgb="FFEF2304"/>
      <name val="Helv"/>
    </font>
    <font>
      <sz val="11"/>
      <color rgb="FF00B0F0"/>
      <name val="Helv"/>
    </font>
    <font>
      <sz val="12"/>
      <color rgb="FF00B0F0"/>
      <name val="Helv"/>
    </font>
    <font>
      <sz val="8"/>
      <color theme="0" tint="-0.499984740745262"/>
      <name val="Helv"/>
    </font>
    <font>
      <sz val="11"/>
      <color theme="0" tint="-0.499984740745262"/>
      <name val="Helv"/>
    </font>
    <font>
      <sz val="12"/>
      <color theme="0" tint="-0.499984740745262"/>
      <name val="Helv"/>
    </font>
    <font>
      <sz val="8"/>
      <color rgb="FF00B0F0"/>
      <name val="Helv"/>
    </font>
    <font>
      <sz val="8"/>
      <color rgb="FFEF2304"/>
      <name val="Helv"/>
    </font>
    <font>
      <sz val="10"/>
      <color rgb="FF00B0F0"/>
      <name val="Helv"/>
    </font>
    <font>
      <b/>
      <sz val="10"/>
      <color rgb="FFEF2304"/>
      <name val="Helv"/>
    </font>
    <font>
      <sz val="14"/>
      <color theme="0"/>
      <name val="Helv"/>
    </font>
    <font>
      <sz val="8"/>
      <color theme="0"/>
      <name val="Helv"/>
    </font>
    <font>
      <sz val="12"/>
      <color theme="0"/>
      <name val="Helv"/>
    </font>
    <font>
      <b/>
      <sz val="12"/>
      <color rgb="FF00B0F0"/>
      <name val="Helv"/>
    </font>
    <font>
      <sz val="11"/>
      <color rgb="FFFF0000"/>
      <name val="Helv"/>
    </font>
    <font>
      <b/>
      <sz val="12"/>
      <color rgb="FFEF2304"/>
      <name val="Helv"/>
    </font>
    <font>
      <b/>
      <sz val="12"/>
      <color rgb="FFFF0000"/>
      <name val="Helv"/>
    </font>
    <font>
      <b/>
      <sz val="10"/>
      <color theme="0" tint="-0.499984740745262"/>
      <name val="Helv"/>
    </font>
    <font>
      <b/>
      <sz val="14"/>
      <color rgb="FF00B0F0"/>
      <name val="Helv"/>
    </font>
    <font>
      <sz val="18"/>
      <color theme="0"/>
      <name val="Helv"/>
    </font>
    <font>
      <b/>
      <sz val="18"/>
      <color theme="0"/>
      <name val="Helv"/>
    </font>
    <font>
      <sz val="12"/>
      <color rgb="FFFF0000"/>
      <name val="Helv"/>
    </font>
    <font>
      <sz val="9"/>
      <color theme="0" tint="-0.499984740745262"/>
      <name val="Helv"/>
    </font>
    <font>
      <sz val="10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Helv"/>
    </font>
    <font>
      <b/>
      <sz val="11"/>
      <color theme="6" tint="-0.499984740745262"/>
      <name val="Arial"/>
      <family val="2"/>
    </font>
    <font>
      <b/>
      <sz val="14"/>
      <color theme="0"/>
      <name val="Verdana"/>
      <family val="2"/>
    </font>
    <font>
      <sz val="10"/>
      <color theme="0"/>
      <name val="Helv"/>
    </font>
    <font>
      <sz val="20"/>
      <color theme="0"/>
      <name val="Helv"/>
    </font>
    <font>
      <sz val="16"/>
      <color theme="0"/>
      <name val="Helv"/>
    </font>
    <font>
      <sz val="26"/>
      <color rgb="FFFFFF00"/>
      <name val="Verdana"/>
      <family val="2"/>
    </font>
    <font>
      <sz val="36"/>
      <color rgb="FFFFFF00"/>
      <name val="Verdana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4"/>
      <color theme="0" tint="-0.499984740745262"/>
      <name val="Helv"/>
    </font>
    <font>
      <b/>
      <sz val="10"/>
      <name val="Arial"/>
      <family val="2"/>
    </font>
    <font>
      <sz val="12"/>
      <color theme="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14"/>
      <color theme="0"/>
      <name val="Arial"/>
      <family val="2"/>
    </font>
    <font>
      <b/>
      <sz val="11"/>
      <color rgb="FF00B0F0"/>
      <name val="Helv"/>
    </font>
    <font>
      <b/>
      <sz val="20"/>
      <color theme="0"/>
      <name val="Verdana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Verdana"/>
      <family val="2"/>
    </font>
    <font>
      <b/>
      <sz val="10"/>
      <name val="Verdana"/>
      <family val="2"/>
    </font>
    <font>
      <b/>
      <sz val="11"/>
      <color theme="3"/>
      <name val="Arial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rgb="FFEF230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B0F0"/>
      <name val="Arial"/>
      <family val="2"/>
    </font>
    <font>
      <sz val="11"/>
      <color rgb="FFEF2304"/>
      <name val="Arial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2"/>
      <color rgb="FFFF0000"/>
      <name val="Verdana"/>
      <family val="2"/>
    </font>
    <font>
      <b/>
      <sz val="10"/>
      <color theme="0"/>
      <name val="Verdana"/>
      <family val="2"/>
    </font>
    <font>
      <sz val="8"/>
      <name val="Arial"/>
      <family val="2"/>
    </font>
    <font>
      <b/>
      <sz val="7"/>
      <color rgb="FFFF0000"/>
      <name val="Arial"/>
      <family val="2"/>
    </font>
    <font>
      <b/>
      <sz val="7"/>
      <color theme="0"/>
      <name val="Arial"/>
      <family val="2"/>
    </font>
    <font>
      <sz val="11"/>
      <color rgb="FFFFFF00"/>
      <name val="Calibri"/>
      <family val="2"/>
      <scheme val="minor"/>
    </font>
    <font>
      <sz val="11"/>
      <color rgb="FF00B050"/>
      <name val="Arial"/>
      <family val="2"/>
    </font>
    <font>
      <b/>
      <sz val="9"/>
      <name val="Verdana"/>
      <family val="2"/>
    </font>
    <font>
      <b/>
      <sz val="8"/>
      <name val="Verdana"/>
      <family val="2"/>
    </font>
    <font>
      <sz val="11"/>
      <color theme="3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C2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FF4E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1" fillId="0" borderId="0"/>
    <xf numFmtId="0" fontId="16" fillId="0" borderId="0"/>
  </cellStyleXfs>
  <cellXfs count="423">
    <xf numFmtId="0" fontId="0" fillId="0" borderId="0" xfId="0"/>
    <xf numFmtId="4" fontId="0" fillId="0" borderId="0" xfId="0" applyNumberFormat="1"/>
    <xf numFmtId="0" fontId="5" fillId="0" borderId="0" xfId="0" applyFont="1"/>
    <xf numFmtId="3" fontId="0" fillId="0" borderId="0" xfId="0" applyNumberFormat="1"/>
    <xf numFmtId="4" fontId="5" fillId="0" borderId="0" xfId="0" applyNumberFormat="1" applyFont="1"/>
    <xf numFmtId="165" fontId="6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  <xf numFmtId="4" fontId="8" fillId="6" borderId="3" xfId="0" applyNumberFormat="1" applyFont="1" applyFill="1" applyBorder="1" applyAlignment="1">
      <alignment horizontal="center" vertical="center"/>
    </xf>
    <xf numFmtId="165" fontId="7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0" fontId="32" fillId="6" borderId="3" xfId="0" applyNumberFormat="1" applyFont="1" applyFill="1" applyBorder="1" applyAlignment="1">
      <alignment horizontal="center" vertical="center"/>
    </xf>
    <xf numFmtId="10" fontId="8" fillId="6" borderId="4" xfId="0" applyNumberFormat="1" applyFont="1" applyFill="1" applyBorder="1" applyAlignment="1">
      <alignment horizontal="center" vertical="center"/>
    </xf>
    <xf numFmtId="4" fontId="8" fillId="6" borderId="4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31" fillId="0" borderId="0" xfId="2"/>
    <xf numFmtId="0" fontId="11" fillId="0" borderId="0" xfId="2" applyFont="1"/>
    <xf numFmtId="0" fontId="12" fillId="2" borderId="2" xfId="2" applyFont="1" applyFill="1" applyBorder="1" applyAlignment="1">
      <alignment horizontal="center"/>
    </xf>
    <xf numFmtId="0" fontId="12" fillId="2" borderId="2" xfId="2" applyFont="1" applyFill="1" applyBorder="1"/>
    <xf numFmtId="4" fontId="31" fillId="3" borderId="2" xfId="2" applyNumberFormat="1" applyFill="1" applyBorder="1"/>
    <xf numFmtId="4" fontId="31" fillId="0" borderId="2" xfId="2" applyNumberFormat="1" applyBorder="1"/>
    <xf numFmtId="0" fontId="31" fillId="0" borderId="2" xfId="2" applyBorder="1"/>
    <xf numFmtId="6" fontId="31" fillId="0" borderId="2" xfId="2" applyNumberFormat="1" applyBorder="1"/>
    <xf numFmtId="4" fontId="11" fillId="0" borderId="2" xfId="2" applyNumberFormat="1" applyFont="1" applyBorder="1"/>
    <xf numFmtId="0" fontId="33" fillId="0" borderId="2" xfId="2" applyFont="1" applyBorder="1"/>
    <xf numFmtId="4" fontId="33" fillId="0" borderId="2" xfId="2" applyNumberFormat="1" applyFont="1" applyBorder="1"/>
    <xf numFmtId="165" fontId="34" fillId="7" borderId="4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4" fontId="6" fillId="8" borderId="4" xfId="0" applyNumberFormat="1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13" fillId="0" borderId="0" xfId="0" applyFont="1"/>
    <xf numFmtId="0" fontId="14" fillId="2" borderId="2" xfId="0" applyFont="1" applyFill="1" applyBorder="1"/>
    <xf numFmtId="4" fontId="15" fillId="3" borderId="2" xfId="0" applyNumberFormat="1" applyFont="1" applyFill="1" applyBorder="1"/>
    <xf numFmtId="4" fontId="15" fillId="0" borderId="2" xfId="0" applyNumberFormat="1" applyFont="1" applyBorder="1"/>
    <xf numFmtId="0" fontId="15" fillId="0" borderId="0" xfId="0" applyFont="1"/>
    <xf numFmtId="0" fontId="15" fillId="0" borderId="2" xfId="0" applyFont="1" applyBorder="1"/>
    <xf numFmtId="0" fontId="14" fillId="2" borderId="2" xfId="0" applyFont="1" applyFill="1" applyBorder="1" applyAlignment="1">
      <alignment horizontal="center"/>
    </xf>
    <xf numFmtId="0" fontId="36" fillId="0" borderId="2" xfId="0" applyFont="1" applyBorder="1"/>
    <xf numFmtId="4" fontId="36" fillId="0" borderId="2" xfId="0" applyNumberFormat="1" applyFont="1" applyBorder="1"/>
    <xf numFmtId="0" fontId="8" fillId="6" borderId="1" xfId="0" applyFont="1" applyFill="1" applyBorder="1" applyAlignment="1">
      <alignment horizontal="center" vertical="center"/>
    </xf>
    <xf numFmtId="3" fontId="31" fillId="0" borderId="2" xfId="2" applyNumberFormat="1" applyBorder="1"/>
    <xf numFmtId="0" fontId="8" fillId="5" borderId="4" xfId="0" applyFont="1" applyFill="1" applyBorder="1" applyAlignment="1">
      <alignment horizontal="center" vertical="center"/>
    </xf>
    <xf numFmtId="10" fontId="8" fillId="5" borderId="4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165" fontId="7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65" fontId="7" fillId="9" borderId="4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center" vertical="center"/>
    </xf>
    <xf numFmtId="166" fontId="37" fillId="10" borderId="4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 wrapText="1"/>
    </xf>
    <xf numFmtId="0" fontId="31" fillId="0" borderId="0" xfId="2" applyAlignment="1">
      <alignment vertical="center"/>
    </xf>
    <xf numFmtId="0" fontId="31" fillId="5" borderId="2" xfId="2" applyFill="1" applyBorder="1" applyAlignment="1">
      <alignment horizontal="center" vertical="center"/>
    </xf>
    <xf numFmtId="0" fontId="31" fillId="0" borderId="2" xfId="2" applyBorder="1" applyAlignment="1">
      <alignment vertical="center"/>
    </xf>
    <xf numFmtId="0" fontId="12" fillId="10" borderId="2" xfId="2" applyFont="1" applyFill="1" applyBorder="1" applyAlignment="1">
      <alignment horizontal="center" vertical="center"/>
    </xf>
    <xf numFmtId="4" fontId="31" fillId="11" borderId="2" xfId="2" applyNumberFormat="1" applyFill="1" applyBorder="1" applyAlignment="1">
      <alignment horizontal="center" vertical="center"/>
    </xf>
    <xf numFmtId="14" fontId="31" fillId="0" borderId="2" xfId="2" applyNumberFormat="1" applyBorder="1" applyAlignment="1">
      <alignment horizontal="center" vertical="center"/>
    </xf>
    <xf numFmtId="0" fontId="31" fillId="0" borderId="2" xfId="2" applyBorder="1" applyAlignment="1">
      <alignment horizontal="center" vertical="center"/>
    </xf>
    <xf numFmtId="4" fontId="31" fillId="0" borderId="2" xfId="2" applyNumberFormat="1" applyBorder="1" applyAlignment="1">
      <alignment horizontal="center" vertical="center"/>
    </xf>
    <xf numFmtId="4" fontId="11" fillId="0" borderId="2" xfId="2" applyNumberFormat="1" applyFont="1" applyBorder="1" applyAlignment="1">
      <alignment horizontal="center" vertical="center"/>
    </xf>
    <xf numFmtId="169" fontId="31" fillId="0" borderId="2" xfId="2" applyNumberFormat="1" applyBorder="1" applyAlignment="1">
      <alignment horizontal="center" vertical="center"/>
    </xf>
    <xf numFmtId="6" fontId="39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7" fillId="12" borderId="0" xfId="0" applyFont="1" applyFill="1"/>
    <xf numFmtId="0" fontId="37" fillId="4" borderId="0" xfId="0" applyFont="1" applyFill="1"/>
    <xf numFmtId="0" fontId="37" fillId="7" borderId="0" xfId="0" applyFont="1" applyFill="1"/>
    <xf numFmtId="0" fontId="37" fillId="13" borderId="0" xfId="0" applyFont="1" applyFill="1"/>
    <xf numFmtId="4" fontId="40" fillId="14" borderId="15" xfId="0" applyNumberFormat="1" applyFont="1" applyFill="1" applyBorder="1" applyAlignment="1">
      <alignment horizontal="center" vertical="center"/>
    </xf>
    <xf numFmtId="165" fontId="21" fillId="15" borderId="15" xfId="0" applyNumberFormat="1" applyFont="1" applyFill="1" applyBorder="1" applyAlignment="1">
      <alignment horizontal="center" vertical="center" wrapText="1"/>
    </xf>
    <xf numFmtId="165" fontId="41" fillId="16" borderId="15" xfId="0" applyNumberFormat="1" applyFont="1" applyFill="1" applyBorder="1" applyAlignment="1">
      <alignment horizontal="center" vertical="center"/>
    </xf>
    <xf numFmtId="165" fontId="42" fillId="16" borderId="15" xfId="0" applyNumberFormat="1" applyFont="1" applyFill="1" applyBorder="1" applyAlignment="1">
      <alignment horizontal="center" vertical="center"/>
    </xf>
    <xf numFmtId="0" fontId="43" fillId="17" borderId="15" xfId="0" applyFont="1" applyFill="1" applyBorder="1" applyAlignment="1">
      <alignment horizontal="center" vertical="center"/>
    </xf>
    <xf numFmtId="0" fontId="43" fillId="17" borderId="15" xfId="0" applyFont="1" applyFill="1" applyBorder="1" applyAlignment="1">
      <alignment horizontal="center" vertical="center" wrapText="1"/>
    </xf>
    <xf numFmtId="165" fontId="44" fillId="6" borderId="15" xfId="0" applyNumberFormat="1" applyFont="1" applyFill="1" applyBorder="1" applyAlignment="1">
      <alignment horizontal="center" vertical="center"/>
    </xf>
    <xf numFmtId="165" fontId="45" fillId="6" borderId="15" xfId="0" applyNumberFormat="1" applyFont="1" applyFill="1" applyBorder="1" applyAlignment="1">
      <alignment horizontal="center" vertical="center"/>
    </xf>
    <xf numFmtId="165" fontId="42" fillId="6" borderId="15" xfId="0" applyNumberFormat="1" applyFont="1" applyFill="1" applyBorder="1" applyAlignment="1">
      <alignment horizontal="center" vertical="center"/>
    </xf>
    <xf numFmtId="4" fontId="46" fillId="0" borderId="15" xfId="0" applyNumberFormat="1" applyFont="1" applyBorder="1" applyAlignment="1">
      <alignment horizontal="center" vertical="center"/>
    </xf>
    <xf numFmtId="0" fontId="47" fillId="18" borderId="15" xfId="0" applyFont="1" applyFill="1" applyBorder="1" applyAlignment="1">
      <alignment horizontal="center" vertical="center" wrapText="1"/>
    </xf>
    <xf numFmtId="168" fontId="48" fillId="6" borderId="15" xfId="0" applyNumberFormat="1" applyFont="1" applyFill="1" applyBorder="1" applyAlignment="1">
      <alignment horizontal="center" vertical="center" wrapText="1"/>
    </xf>
    <xf numFmtId="0" fontId="48" fillId="6" borderId="15" xfId="0" applyFont="1" applyFill="1" applyBorder="1" applyAlignment="1">
      <alignment horizontal="center" vertical="center"/>
    </xf>
    <xf numFmtId="0" fontId="49" fillId="6" borderId="15" xfId="0" applyFont="1" applyFill="1" applyBorder="1" applyAlignment="1">
      <alignment horizontal="center" vertical="center"/>
    </xf>
    <xf numFmtId="2" fontId="49" fillId="6" borderId="15" xfId="0" applyNumberFormat="1" applyFont="1" applyFill="1" applyBorder="1" applyAlignment="1">
      <alignment horizontal="center" vertical="center"/>
    </xf>
    <xf numFmtId="0" fontId="47" fillId="6" borderId="15" xfId="0" applyFont="1" applyFill="1" applyBorder="1" applyAlignment="1">
      <alignment horizontal="center" vertical="center" wrapText="1"/>
    </xf>
    <xf numFmtId="10" fontId="48" fillId="6" borderId="15" xfId="0" applyNumberFormat="1" applyFont="1" applyFill="1" applyBorder="1" applyAlignment="1">
      <alignment horizontal="center" vertical="center" wrapText="1"/>
    </xf>
    <xf numFmtId="4" fontId="48" fillId="6" borderId="15" xfId="0" applyNumberFormat="1" applyFont="1" applyFill="1" applyBorder="1" applyAlignment="1">
      <alignment horizontal="center" vertical="center"/>
    </xf>
    <xf numFmtId="165" fontId="50" fillId="5" borderId="15" xfId="0" applyNumberFormat="1" applyFont="1" applyFill="1" applyBorder="1" applyAlignment="1">
      <alignment vertical="center"/>
    </xf>
    <xf numFmtId="165" fontId="51" fillId="5" borderId="15" xfId="0" applyNumberFormat="1" applyFont="1" applyFill="1" applyBorder="1" applyAlignment="1">
      <alignment vertical="center"/>
    </xf>
    <xf numFmtId="165" fontId="45" fillId="5" borderId="15" xfId="0" applyNumberFormat="1" applyFont="1" applyFill="1" applyBorder="1" applyAlignment="1">
      <alignment horizontal="center" vertical="center"/>
    </xf>
    <xf numFmtId="165" fontId="42" fillId="5" borderId="15" xfId="0" applyNumberFormat="1" applyFont="1" applyFill="1" applyBorder="1" applyAlignment="1">
      <alignment horizontal="center" vertical="center"/>
    </xf>
    <xf numFmtId="10" fontId="48" fillId="5" borderId="15" xfId="0" applyNumberFormat="1" applyFont="1" applyFill="1" applyBorder="1" applyAlignment="1">
      <alignment horizontal="center" vertical="center" wrapText="1"/>
    </xf>
    <xf numFmtId="0" fontId="48" fillId="5" borderId="15" xfId="0" applyFont="1" applyFill="1" applyBorder="1" applyAlignment="1">
      <alignment horizontal="center" vertical="center"/>
    </xf>
    <xf numFmtId="0" fontId="49" fillId="5" borderId="15" xfId="0" applyFont="1" applyFill="1" applyBorder="1" applyAlignment="1">
      <alignment horizontal="center" vertical="center"/>
    </xf>
    <xf numFmtId="165" fontId="52" fillId="18" borderId="15" xfId="0" applyNumberFormat="1" applyFont="1" applyFill="1" applyBorder="1" applyAlignment="1">
      <alignment horizontal="center" vertical="center"/>
    </xf>
    <xf numFmtId="165" fontId="44" fillId="5" borderId="15" xfId="0" applyNumberFormat="1" applyFont="1" applyFill="1" applyBorder="1" applyAlignment="1">
      <alignment horizontal="center" vertical="center"/>
    </xf>
    <xf numFmtId="165" fontId="52" fillId="5" borderId="15" xfId="0" applyNumberFormat="1" applyFont="1" applyFill="1" applyBorder="1" applyAlignment="1">
      <alignment horizontal="center" vertical="center"/>
    </xf>
    <xf numFmtId="165" fontId="41" fillId="5" borderId="15" xfId="0" applyNumberFormat="1" applyFont="1" applyFill="1" applyBorder="1" applyAlignment="1">
      <alignment horizontal="center" vertical="center"/>
    </xf>
    <xf numFmtId="4" fontId="48" fillId="5" borderId="15" xfId="0" applyNumberFormat="1" applyFont="1" applyFill="1" applyBorder="1" applyAlignment="1">
      <alignment horizontal="center" vertical="center"/>
    </xf>
    <xf numFmtId="10" fontId="48" fillId="5" borderId="15" xfId="0" applyNumberFormat="1" applyFont="1" applyFill="1" applyBorder="1" applyAlignment="1">
      <alignment horizontal="center" vertical="center"/>
    </xf>
    <xf numFmtId="165" fontId="52" fillId="9" borderId="15" xfId="0" applyNumberFormat="1" applyFont="1" applyFill="1" applyBorder="1" applyAlignment="1">
      <alignment horizontal="center" vertical="center"/>
    </xf>
    <xf numFmtId="0" fontId="47" fillId="9" borderId="15" xfId="0" applyFont="1" applyFill="1" applyBorder="1" applyAlignment="1">
      <alignment horizontal="center" vertical="center" wrapText="1"/>
    </xf>
    <xf numFmtId="0" fontId="47" fillId="5" borderId="15" xfId="0" applyFont="1" applyFill="1" applyBorder="1" applyAlignment="1">
      <alignment horizontal="center" vertical="center" wrapText="1"/>
    </xf>
    <xf numFmtId="165" fontId="53" fillId="5" borderId="15" xfId="0" applyNumberFormat="1" applyFont="1" applyFill="1" applyBorder="1" applyAlignment="1">
      <alignment horizontal="center" vertical="center"/>
    </xf>
    <xf numFmtId="165" fontId="54" fillId="14" borderId="15" xfId="0" applyNumberFormat="1" applyFont="1" applyFill="1" applyBorder="1" applyAlignment="1">
      <alignment horizontal="center" vertical="center"/>
    </xf>
    <xf numFmtId="0" fontId="55" fillId="19" borderId="16" xfId="0" applyFont="1" applyFill="1" applyBorder="1" applyAlignment="1">
      <alignment horizontal="center" vertical="center" wrapText="1"/>
    </xf>
    <xf numFmtId="167" fontId="56" fillId="19" borderId="17" xfId="0" applyNumberFormat="1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vertical="center"/>
    </xf>
    <xf numFmtId="165" fontId="40" fillId="19" borderId="15" xfId="0" applyNumberFormat="1" applyFont="1" applyFill="1" applyBorder="1" applyAlignment="1">
      <alignment horizontal="center" vertical="center"/>
    </xf>
    <xf numFmtId="49" fontId="40" fillId="19" borderId="15" xfId="0" applyNumberFormat="1" applyFont="1" applyFill="1" applyBorder="1" applyAlignment="1">
      <alignment horizontal="center" vertical="center" wrapText="1"/>
    </xf>
    <xf numFmtId="165" fontId="57" fillId="5" borderId="15" xfId="0" applyNumberFormat="1" applyFont="1" applyFill="1" applyBorder="1" applyAlignment="1">
      <alignment horizontal="center" vertical="center"/>
    </xf>
    <xf numFmtId="165" fontId="58" fillId="16" borderId="15" xfId="0" applyNumberFormat="1" applyFont="1" applyFill="1" applyBorder="1" applyAlignment="1">
      <alignment horizontal="center" vertical="center"/>
    </xf>
    <xf numFmtId="165" fontId="59" fillId="5" borderId="15" xfId="0" applyNumberFormat="1" applyFont="1" applyFill="1" applyBorder="1" applyAlignment="1">
      <alignment horizontal="center" vertical="center"/>
    </xf>
    <xf numFmtId="165" fontId="60" fillId="5" borderId="15" xfId="0" applyNumberFormat="1" applyFont="1" applyFill="1" applyBorder="1" applyAlignment="1">
      <alignment horizontal="center" vertical="center"/>
    </xf>
    <xf numFmtId="165" fontId="40" fillId="16" borderId="15" xfId="0" applyNumberFormat="1" applyFont="1" applyFill="1" applyBorder="1" applyAlignment="1">
      <alignment horizontal="center" vertical="center" wrapText="1"/>
    </xf>
    <xf numFmtId="0" fontId="61" fillId="5" borderId="15" xfId="0" applyFont="1" applyFill="1" applyBorder="1" applyAlignment="1">
      <alignment horizontal="center" vertical="center" wrapText="1"/>
    </xf>
    <xf numFmtId="165" fontId="62" fillId="5" borderId="15" xfId="0" applyNumberFormat="1" applyFont="1" applyFill="1" applyBorder="1" applyAlignment="1">
      <alignment horizontal="center" vertical="center"/>
    </xf>
    <xf numFmtId="165" fontId="22" fillId="15" borderId="1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6" borderId="0" xfId="0" applyFont="1" applyFill="1" applyAlignment="1">
      <alignment vertical="center"/>
    </xf>
    <xf numFmtId="0" fontId="56" fillId="6" borderId="0" xfId="0" applyFont="1" applyFill="1" applyAlignment="1">
      <alignment vertical="center"/>
    </xf>
    <xf numFmtId="0" fontId="26" fillId="19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48" fillId="6" borderId="15" xfId="0" applyNumberFormat="1" applyFont="1" applyFill="1" applyBorder="1" applyAlignment="1">
      <alignment horizontal="center" vertical="center"/>
    </xf>
    <xf numFmtId="165" fontId="58" fillId="5" borderId="15" xfId="0" applyNumberFormat="1" applyFont="1" applyFill="1" applyBorder="1" applyAlignment="1">
      <alignment horizontal="center" vertical="center"/>
    </xf>
    <xf numFmtId="165" fontId="65" fillId="5" borderId="15" xfId="0" applyNumberFormat="1" applyFont="1" applyFill="1" applyBorder="1" applyAlignment="1">
      <alignment horizontal="center" vertical="center"/>
    </xf>
    <xf numFmtId="0" fontId="66" fillId="18" borderId="15" xfId="0" applyFont="1" applyFill="1" applyBorder="1" applyAlignment="1">
      <alignment horizontal="center" vertical="center" wrapText="1"/>
    </xf>
    <xf numFmtId="4" fontId="69" fillId="14" borderId="15" xfId="0" applyNumberFormat="1" applyFont="1" applyFill="1" applyBorder="1" applyAlignment="1">
      <alignment horizontal="center" vertical="center"/>
    </xf>
    <xf numFmtId="0" fontId="65" fillId="0" borderId="17" xfId="0" applyFont="1" applyBorder="1" applyAlignment="1">
      <alignment horizontal="left" vertical="center"/>
    </xf>
    <xf numFmtId="171" fontId="20" fillId="0" borderId="17" xfId="0" applyNumberFormat="1" applyFont="1" applyBorder="1" applyAlignment="1">
      <alignment horizontal="left" vertical="center"/>
    </xf>
    <xf numFmtId="164" fontId="0" fillId="0" borderId="0" xfId="1" applyFont="1"/>
    <xf numFmtId="16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9" fillId="6" borderId="19" xfId="0" applyFont="1" applyFill="1" applyBorder="1" applyAlignment="1">
      <alignment horizontal="left" vertical="center" wrapText="1"/>
    </xf>
    <xf numFmtId="8" fontId="29" fillId="18" borderId="18" xfId="0" applyNumberFormat="1" applyFont="1" applyFill="1" applyBorder="1" applyAlignment="1">
      <alignment horizontal="center" vertical="center"/>
    </xf>
    <xf numFmtId="8" fontId="29" fillId="21" borderId="18" xfId="0" applyNumberFormat="1" applyFont="1" applyFill="1" applyBorder="1" applyAlignment="1">
      <alignment horizontal="center" vertical="center"/>
    </xf>
    <xf numFmtId="0" fontId="83" fillId="18" borderId="18" xfId="0" applyFont="1" applyFill="1" applyBorder="1" applyAlignment="1">
      <alignment vertical="center"/>
    </xf>
    <xf numFmtId="0" fontId="29" fillId="21" borderId="18" xfId="0" applyFont="1" applyFill="1" applyBorder="1" applyAlignment="1">
      <alignment vertical="center"/>
    </xf>
    <xf numFmtId="0" fontId="29" fillId="18" borderId="18" xfId="0" applyFont="1" applyFill="1" applyBorder="1" applyAlignment="1">
      <alignment vertical="center"/>
    </xf>
    <xf numFmtId="0" fontId="84" fillId="7" borderId="18" xfId="0" applyFont="1" applyFill="1" applyBorder="1" applyAlignment="1">
      <alignment vertical="center"/>
    </xf>
    <xf numFmtId="165" fontId="86" fillId="6" borderId="15" xfId="0" applyNumberFormat="1" applyFont="1" applyFill="1" applyBorder="1" applyAlignment="1">
      <alignment horizontal="center" vertical="center"/>
    </xf>
    <xf numFmtId="167" fontId="63" fillId="19" borderId="17" xfId="0" applyNumberFormat="1" applyFont="1" applyFill="1" applyBorder="1" applyAlignment="1">
      <alignment horizontal="center" vertical="center"/>
    </xf>
    <xf numFmtId="0" fontId="71" fillId="15" borderId="0" xfId="0" applyFont="1" applyFill="1" applyAlignment="1">
      <alignment horizontal="center" vertical="center"/>
    </xf>
    <xf numFmtId="0" fontId="71" fillId="19" borderId="0" xfId="0" applyFont="1" applyFill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165" fontId="52" fillId="6" borderId="15" xfId="0" applyNumberFormat="1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56" fillId="0" borderId="17" xfId="0" applyFont="1" applyBorder="1" applyAlignment="1">
      <alignment horizontal="left" vertical="center"/>
    </xf>
    <xf numFmtId="0" fontId="1" fillId="9" borderId="0" xfId="0" applyFont="1" applyFill="1" applyAlignment="1">
      <alignment horizontal="center"/>
    </xf>
    <xf numFmtId="164" fontId="1" fillId="9" borderId="0" xfId="1" applyFont="1" applyFill="1" applyAlignment="1">
      <alignment vertical="center"/>
    </xf>
    <xf numFmtId="0" fontId="85" fillId="24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1" fillId="6" borderId="15" xfId="0" applyNumberFormat="1" applyFont="1" applyFill="1" applyBorder="1" applyAlignment="1">
      <alignment horizontal="center" vertical="center"/>
    </xf>
    <xf numFmtId="165" fontId="52" fillId="5" borderId="15" xfId="0" applyNumberFormat="1" applyFont="1" applyFill="1" applyBorder="1" applyAlignment="1">
      <alignment vertical="center"/>
    </xf>
    <xf numFmtId="165" fontId="41" fillId="5" borderId="15" xfId="0" applyNumberFormat="1" applyFont="1" applyFill="1" applyBorder="1" applyAlignment="1">
      <alignment vertical="center"/>
    </xf>
    <xf numFmtId="165" fontId="45" fillId="9" borderId="15" xfId="0" applyNumberFormat="1" applyFont="1" applyFill="1" applyBorder="1" applyAlignment="1">
      <alignment horizontal="center" vertical="center"/>
    </xf>
    <xf numFmtId="0" fontId="81" fillId="24" borderId="18" xfId="0" applyFont="1" applyFill="1" applyBorder="1" applyAlignment="1">
      <alignment horizontal="center" vertical="center"/>
    </xf>
    <xf numFmtId="0" fontId="81" fillId="19" borderId="25" xfId="0" applyFont="1" applyFill="1" applyBorder="1" applyAlignment="1">
      <alignment horizontal="center" vertical="center"/>
    </xf>
    <xf numFmtId="8" fontId="29" fillId="18" borderId="25" xfId="0" applyNumberFormat="1" applyFont="1" applyFill="1" applyBorder="1" applyAlignment="1">
      <alignment horizontal="center" vertical="center"/>
    </xf>
    <xf numFmtId="8" fontId="29" fillId="22" borderId="25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5" fillId="6" borderId="0" xfId="0" applyFont="1" applyFill="1" applyAlignment="1">
      <alignment vertical="center"/>
    </xf>
    <xf numFmtId="164" fontId="13" fillId="6" borderId="0" xfId="1" applyFont="1" applyFill="1" applyBorder="1" applyAlignment="1">
      <alignment vertical="center"/>
    </xf>
    <xf numFmtId="0" fontId="15" fillId="26" borderId="0" xfId="0" applyFont="1" applyFill="1" applyAlignment="1">
      <alignment vertical="center"/>
    </xf>
    <xf numFmtId="0" fontId="15" fillId="27" borderId="0" xfId="0" applyFont="1" applyFill="1" applyAlignment="1">
      <alignment vertical="center"/>
    </xf>
    <xf numFmtId="164" fontId="13" fillId="27" borderId="0" xfId="1" applyFont="1" applyFill="1" applyBorder="1" applyAlignment="1">
      <alignment vertical="center"/>
    </xf>
    <xf numFmtId="0" fontId="15" fillId="20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37" fillId="15" borderId="0" xfId="0" applyFont="1" applyFill="1" applyAlignment="1">
      <alignment vertical="center"/>
    </xf>
    <xf numFmtId="164" fontId="37" fillId="15" borderId="0" xfId="0" applyNumberFormat="1" applyFont="1" applyFill="1"/>
    <xf numFmtId="164" fontId="13" fillId="20" borderId="0" xfId="1" applyFont="1" applyFill="1" applyBorder="1" applyAlignment="1">
      <alignment vertical="center"/>
    </xf>
    <xf numFmtId="164" fontId="13" fillId="17" borderId="0" xfId="1" applyFont="1" applyFill="1" applyBorder="1" applyAlignment="1">
      <alignment vertical="center"/>
    </xf>
    <xf numFmtId="164" fontId="13" fillId="26" borderId="0" xfId="1" applyFont="1" applyFill="1" applyBorder="1" applyAlignment="1">
      <alignment vertical="center"/>
    </xf>
    <xf numFmtId="164" fontId="8" fillId="0" borderId="0" xfId="1" applyFont="1"/>
    <xf numFmtId="164" fontId="13" fillId="0" borderId="0" xfId="1" applyFont="1" applyAlignment="1">
      <alignment horizontal="center" vertical="center"/>
    </xf>
    <xf numFmtId="0" fontId="81" fillId="24" borderId="25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vertical="center"/>
    </xf>
    <xf numFmtId="164" fontId="13" fillId="6" borderId="26" xfId="1" applyFont="1" applyFill="1" applyBorder="1" applyAlignment="1">
      <alignment vertical="center"/>
    </xf>
    <xf numFmtId="0" fontId="15" fillId="28" borderId="26" xfId="0" applyFont="1" applyFill="1" applyBorder="1" applyAlignment="1">
      <alignment vertical="center"/>
    </xf>
    <xf numFmtId="164" fontId="13" fillId="28" borderId="26" xfId="1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15" fillId="0" borderId="26" xfId="0" applyFont="1" applyBorder="1" applyAlignment="1">
      <alignment vertical="center"/>
    </xf>
    <xf numFmtId="164" fontId="13" fillId="0" borderId="26" xfId="1" applyFont="1" applyFill="1" applyBorder="1" applyAlignment="1">
      <alignment vertical="center"/>
    </xf>
    <xf numFmtId="8" fontId="0" fillId="0" borderId="26" xfId="0" applyNumberFormat="1" applyBorder="1" applyAlignment="1">
      <alignment vertical="center"/>
    </xf>
    <xf numFmtId="0" fontId="16" fillId="29" borderId="18" xfId="0" applyFont="1" applyFill="1" applyBorder="1" applyAlignment="1">
      <alignment vertical="center"/>
    </xf>
    <xf numFmtId="8" fontId="16" fillId="29" borderId="18" xfId="0" applyNumberFormat="1" applyFont="1" applyFill="1" applyBorder="1" applyAlignment="1">
      <alignment horizontal="center" vertical="center"/>
    </xf>
    <xf numFmtId="8" fontId="28" fillId="29" borderId="18" xfId="0" applyNumberFormat="1" applyFont="1" applyFill="1" applyBorder="1" applyAlignment="1">
      <alignment horizontal="center" vertical="center"/>
    </xf>
    <xf numFmtId="8" fontId="28" fillId="29" borderId="25" xfId="0" applyNumberFormat="1" applyFont="1" applyFill="1" applyBorder="1" applyAlignment="1">
      <alignment horizontal="center" vertical="center"/>
    </xf>
    <xf numFmtId="0" fontId="82" fillId="29" borderId="18" xfId="0" applyFont="1" applyFill="1" applyBorder="1" applyAlignment="1">
      <alignment vertical="center"/>
    </xf>
    <xf numFmtId="0" fontId="29" fillId="30" borderId="18" xfId="0" applyFont="1" applyFill="1" applyBorder="1" applyAlignment="1">
      <alignment vertical="center"/>
    </xf>
    <xf numFmtId="8" fontId="16" fillId="30" borderId="18" xfId="0" applyNumberFormat="1" applyFont="1" applyFill="1" applyBorder="1" applyAlignment="1">
      <alignment horizontal="center" vertical="center"/>
    </xf>
    <xf numFmtId="8" fontId="28" fillId="30" borderId="18" xfId="0" applyNumberFormat="1" applyFont="1" applyFill="1" applyBorder="1" applyAlignment="1">
      <alignment horizontal="center" vertical="center"/>
    </xf>
    <xf numFmtId="8" fontId="28" fillId="30" borderId="25" xfId="0" applyNumberFormat="1" applyFont="1" applyFill="1" applyBorder="1" applyAlignment="1">
      <alignment horizontal="center" vertical="center"/>
    </xf>
    <xf numFmtId="8" fontId="80" fillId="18" borderId="18" xfId="0" applyNumberFormat="1" applyFont="1" applyFill="1" applyBorder="1" applyAlignment="1">
      <alignment horizontal="center" vertical="center"/>
    </xf>
    <xf numFmtId="8" fontId="80" fillId="18" borderId="25" xfId="0" applyNumberFormat="1" applyFont="1" applyFill="1" applyBorder="1" applyAlignment="1">
      <alignment horizontal="center" vertical="center"/>
    </xf>
    <xf numFmtId="8" fontId="91" fillId="7" borderId="18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37" fillId="15" borderId="0" xfId="0" applyFont="1" applyFill="1" applyAlignment="1">
      <alignment horizontal="center"/>
    </xf>
    <xf numFmtId="8" fontId="29" fillId="6" borderId="26" xfId="0" applyNumberFormat="1" applyFont="1" applyFill="1" applyBorder="1" applyAlignment="1">
      <alignment horizontal="center" vertical="center"/>
    </xf>
    <xf numFmtId="164" fontId="94" fillId="28" borderId="26" xfId="0" applyNumberFormat="1" applyFont="1" applyFill="1" applyBorder="1" applyAlignment="1">
      <alignment vertical="center"/>
    </xf>
    <xf numFmtId="164" fontId="94" fillId="0" borderId="0" xfId="0" applyNumberFormat="1" applyFont="1" applyAlignment="1">
      <alignment vertical="center"/>
    </xf>
    <xf numFmtId="0" fontId="37" fillId="15" borderId="26" xfId="0" applyFont="1" applyFill="1" applyBorder="1" applyAlignment="1">
      <alignment vertical="center"/>
    </xf>
    <xf numFmtId="0" fontId="28" fillId="0" borderId="26" xfId="0" applyFont="1" applyBorder="1" applyAlignment="1">
      <alignment vertical="center"/>
    </xf>
    <xf numFmtId="8" fontId="90" fillId="7" borderId="18" xfId="0" applyNumberFormat="1" applyFont="1" applyFill="1" applyBorder="1" applyAlignment="1">
      <alignment horizontal="center" vertical="center"/>
    </xf>
    <xf numFmtId="8" fontId="90" fillId="7" borderId="25" xfId="0" applyNumberFormat="1" applyFont="1" applyFill="1" applyBorder="1" applyAlignment="1">
      <alignment horizontal="center" vertical="center"/>
    </xf>
    <xf numFmtId="0" fontId="13" fillId="18" borderId="26" xfId="0" applyFont="1" applyFill="1" applyBorder="1" applyAlignment="1">
      <alignment horizontal="center" vertical="center"/>
    </xf>
    <xf numFmtId="49" fontId="90" fillId="19" borderId="18" xfId="0" applyNumberFormat="1" applyFont="1" applyFill="1" applyBorder="1" applyAlignment="1">
      <alignment horizontal="center" vertical="center"/>
    </xf>
    <xf numFmtId="49" fontId="100" fillId="19" borderId="19" xfId="0" applyNumberFormat="1" applyFont="1" applyFill="1" applyBorder="1" applyAlignment="1">
      <alignment horizontal="center" vertical="center" wrapText="1"/>
    </xf>
    <xf numFmtId="0" fontId="101" fillId="5" borderId="19" xfId="0" applyFont="1" applyFill="1" applyBorder="1" applyAlignment="1">
      <alignment horizontal="left" vertical="center" wrapText="1"/>
    </xf>
    <xf numFmtId="0" fontId="101" fillId="0" borderId="19" xfId="0" applyFont="1" applyBorder="1" applyAlignment="1">
      <alignment horizontal="left" vertical="center" wrapText="1"/>
    </xf>
    <xf numFmtId="0" fontId="104" fillId="19" borderId="20" xfId="0" applyFont="1" applyFill="1" applyBorder="1" applyAlignment="1">
      <alignment horizontal="center" vertical="center" wrapText="1"/>
    </xf>
    <xf numFmtId="0" fontId="101" fillId="6" borderId="19" xfId="0" applyFont="1" applyFill="1" applyBorder="1" applyAlignment="1">
      <alignment horizontal="left" vertical="center" wrapText="1"/>
    </xf>
    <xf numFmtId="165" fontId="102" fillId="6" borderId="15" xfId="0" applyNumberFormat="1" applyFont="1" applyFill="1" applyBorder="1" applyAlignment="1">
      <alignment horizontal="center" vertical="center"/>
    </xf>
    <xf numFmtId="165" fontId="106" fillId="6" borderId="15" xfId="0" applyNumberFormat="1" applyFont="1" applyFill="1" applyBorder="1" applyAlignment="1">
      <alignment horizontal="center" vertical="center"/>
    </xf>
    <xf numFmtId="165" fontId="107" fillId="6" borderId="15" xfId="0" applyNumberFormat="1" applyFont="1" applyFill="1" applyBorder="1" applyAlignment="1">
      <alignment horizontal="center" vertical="center"/>
    </xf>
    <xf numFmtId="8" fontId="29" fillId="0" borderId="26" xfId="0" applyNumberFormat="1" applyFont="1" applyBorder="1" applyAlignment="1">
      <alignment horizontal="center" vertical="center"/>
    </xf>
    <xf numFmtId="4" fontId="102" fillId="6" borderId="15" xfId="0" applyNumberFormat="1" applyFont="1" applyFill="1" applyBorder="1" applyAlignment="1">
      <alignment horizontal="center" vertical="center"/>
    </xf>
    <xf numFmtId="165" fontId="108" fillId="6" borderId="15" xfId="0" applyNumberFormat="1" applyFont="1" applyFill="1" applyBorder="1" applyAlignment="1">
      <alignment horizontal="center" vertical="center"/>
    </xf>
    <xf numFmtId="172" fontId="13" fillId="5" borderId="26" xfId="0" applyNumberFormat="1" applyFont="1" applyFill="1" applyBorder="1" applyAlignment="1">
      <alignment vertical="center"/>
    </xf>
    <xf numFmtId="172" fontId="13" fillId="5" borderId="26" xfId="0" applyNumberFormat="1" applyFont="1" applyFill="1" applyBorder="1" applyAlignment="1">
      <alignment horizontal="right" vertical="center"/>
    </xf>
    <xf numFmtId="44" fontId="13" fillId="5" borderId="26" xfId="0" applyNumberFormat="1" applyFont="1" applyFill="1" applyBorder="1" applyAlignment="1">
      <alignment horizontal="right" vertical="center"/>
    </xf>
    <xf numFmtId="164" fontId="94" fillId="6" borderId="27" xfId="0" applyNumberFormat="1" applyFont="1" applyFill="1" applyBorder="1" applyAlignment="1">
      <alignment vertical="center"/>
    </xf>
    <xf numFmtId="164" fontId="94" fillId="6" borderId="26" xfId="0" applyNumberFormat="1" applyFont="1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37" fillId="15" borderId="26" xfId="0" applyFont="1" applyFill="1" applyBorder="1" applyAlignment="1">
      <alignment horizontal="center" vertical="center"/>
    </xf>
    <xf numFmtId="44" fontId="0" fillId="6" borderId="26" xfId="0" applyNumberFormat="1" applyFill="1" applyBorder="1" applyAlignment="1">
      <alignment vertical="center"/>
    </xf>
    <xf numFmtId="10" fontId="95" fillId="0" borderId="26" xfId="0" applyNumberFormat="1" applyFont="1" applyBorder="1" applyAlignment="1">
      <alignment horizontal="center" vertical="center"/>
    </xf>
    <xf numFmtId="8" fontId="95" fillId="0" borderId="26" xfId="0" applyNumberFormat="1" applyFont="1" applyBorder="1" applyAlignment="1">
      <alignment horizontal="center" vertical="center"/>
    </xf>
    <xf numFmtId="8" fontId="28" fillId="0" borderId="26" xfId="0" applyNumberFormat="1" applyFont="1" applyBorder="1" applyAlignment="1">
      <alignment vertical="center"/>
    </xf>
    <xf numFmtId="8" fontId="28" fillId="6" borderId="26" xfId="0" applyNumberFormat="1" applyFont="1" applyFill="1" applyBorder="1" applyAlignment="1">
      <alignment vertical="center"/>
    </xf>
    <xf numFmtId="164" fontId="37" fillId="15" borderId="26" xfId="0" applyNumberFormat="1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172" fontId="0" fillId="0" borderId="26" xfId="0" applyNumberFormat="1" applyBorder="1" applyAlignment="1">
      <alignment vertical="center"/>
    </xf>
    <xf numFmtId="0" fontId="71" fillId="25" borderId="18" xfId="0" applyFont="1" applyFill="1" applyBorder="1" applyAlignment="1">
      <alignment vertical="center"/>
    </xf>
    <xf numFmtId="0" fontId="100" fillId="25" borderId="18" xfId="0" applyFont="1" applyFill="1" applyBorder="1" applyAlignment="1">
      <alignment horizontal="center" vertical="center"/>
    </xf>
    <xf numFmtId="8" fontId="100" fillId="25" borderId="18" xfId="0" applyNumberFormat="1" applyFont="1" applyFill="1" applyBorder="1" applyAlignment="1">
      <alignment horizontal="center" vertical="center"/>
    </xf>
    <xf numFmtId="8" fontId="100" fillId="11" borderId="18" xfId="0" applyNumberFormat="1" applyFont="1" applyFill="1" applyBorder="1" applyAlignment="1">
      <alignment horizontal="center" vertical="center"/>
    </xf>
    <xf numFmtId="8" fontId="100" fillId="25" borderId="25" xfId="0" applyNumberFormat="1" applyFont="1" applyFill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09" fillId="6" borderId="0" xfId="0" applyFont="1" applyFill="1" applyAlignment="1">
      <alignment vertical="center"/>
    </xf>
    <xf numFmtId="0" fontId="113" fillId="33" borderId="0" xfId="0" applyFont="1" applyFill="1" applyAlignment="1">
      <alignment horizontal="center" vertical="center" wrapText="1"/>
    </xf>
    <xf numFmtId="15" fontId="113" fillId="33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vertical="center" wrapText="1"/>
    </xf>
    <xf numFmtId="10" fontId="115" fillId="0" borderId="0" xfId="0" applyNumberFormat="1" applyFont="1" applyAlignment="1">
      <alignment horizontal="center" vertical="center" wrapText="1"/>
    </xf>
    <xf numFmtId="0" fontId="115" fillId="0" borderId="0" xfId="0" applyFont="1" applyAlignment="1">
      <alignment vertical="center" wrapText="1"/>
    </xf>
    <xf numFmtId="8" fontId="114" fillId="0" borderId="0" xfId="0" applyNumberFormat="1" applyFont="1" applyAlignment="1">
      <alignment horizontal="center" vertical="center" wrapText="1"/>
    </xf>
    <xf numFmtId="0" fontId="113" fillId="0" borderId="0" xfId="0" applyFont="1" applyAlignment="1">
      <alignment vertical="center" wrapText="1"/>
    </xf>
    <xf numFmtId="8" fontId="113" fillId="0" borderId="0" xfId="0" applyNumberFormat="1" applyFont="1" applyAlignment="1">
      <alignment horizontal="center" vertical="center" wrapText="1"/>
    </xf>
    <xf numFmtId="0" fontId="116" fillId="0" borderId="0" xfId="0" applyFont="1" applyAlignment="1">
      <alignment vertical="center" wrapText="1"/>
    </xf>
    <xf numFmtId="8" fontId="116" fillId="0" borderId="0" xfId="0" applyNumberFormat="1" applyFont="1" applyAlignment="1">
      <alignment horizontal="center" vertical="center" wrapText="1"/>
    </xf>
    <xf numFmtId="0" fontId="116" fillId="34" borderId="0" xfId="0" applyFont="1" applyFill="1" applyAlignment="1">
      <alignment vertical="center" wrapText="1"/>
    </xf>
    <xf numFmtId="0" fontId="113" fillId="35" borderId="0" xfId="0" applyFont="1" applyFill="1" applyAlignment="1">
      <alignment vertical="center" wrapText="1"/>
    </xf>
    <xf numFmtId="8" fontId="118" fillId="35" borderId="0" xfId="0" applyNumberFormat="1" applyFont="1" applyFill="1" applyAlignment="1">
      <alignment horizontal="center" vertical="center" wrapText="1"/>
    </xf>
    <xf numFmtId="8" fontId="119" fillId="35" borderId="0" xfId="0" applyNumberFormat="1" applyFont="1" applyFill="1" applyAlignment="1">
      <alignment horizontal="center" vertical="center" wrapText="1"/>
    </xf>
    <xf numFmtId="8" fontId="119" fillId="34" borderId="0" xfId="0" applyNumberFormat="1" applyFont="1" applyFill="1" applyAlignment="1">
      <alignment horizontal="center" vertical="center" wrapText="1"/>
    </xf>
    <xf numFmtId="15" fontId="113" fillId="36" borderId="0" xfId="0" applyNumberFormat="1" applyFont="1" applyFill="1" applyAlignment="1">
      <alignment horizontal="center" vertical="center" wrapText="1"/>
    </xf>
    <xf numFmtId="0" fontId="113" fillId="36" borderId="0" xfId="0" applyFont="1" applyFill="1" applyAlignment="1">
      <alignment horizontal="center" vertical="center" wrapText="1"/>
    </xf>
    <xf numFmtId="8" fontId="115" fillId="0" borderId="0" xfId="0" applyNumberFormat="1" applyFont="1" applyAlignment="1">
      <alignment horizontal="center" vertical="center" wrapText="1"/>
    </xf>
    <xf numFmtId="8" fontId="29" fillId="6" borderId="18" xfId="0" applyNumberFormat="1" applyFont="1" applyFill="1" applyBorder="1" applyAlignment="1">
      <alignment horizontal="center" vertical="center"/>
    </xf>
    <xf numFmtId="8" fontId="70" fillId="6" borderId="18" xfId="0" applyNumberFormat="1" applyFont="1" applyFill="1" applyBorder="1" applyAlignment="1">
      <alignment horizontal="center" vertical="center"/>
    </xf>
    <xf numFmtId="8" fontId="70" fillId="6" borderId="25" xfId="0" applyNumberFormat="1" applyFont="1" applyFill="1" applyBorder="1" applyAlignment="1">
      <alignment horizontal="center" vertical="center"/>
    </xf>
    <xf numFmtId="4" fontId="122" fillId="5" borderId="15" xfId="0" applyNumberFormat="1" applyFont="1" applyFill="1" applyBorder="1" applyAlignment="1">
      <alignment horizontal="center" vertical="center"/>
    </xf>
    <xf numFmtId="165" fontId="123" fillId="5" borderId="15" xfId="0" applyNumberFormat="1" applyFont="1" applyFill="1" applyBorder="1" applyAlignment="1">
      <alignment horizontal="center" vertical="center"/>
    </xf>
    <xf numFmtId="165" fontId="122" fillId="5" borderId="15" xfId="0" applyNumberFormat="1" applyFont="1" applyFill="1" applyBorder="1" applyAlignment="1">
      <alignment horizontal="center" vertical="center"/>
    </xf>
    <xf numFmtId="165" fontId="124" fillId="5" borderId="15" xfId="0" applyNumberFormat="1" applyFont="1" applyFill="1" applyBorder="1" applyAlignment="1">
      <alignment horizontal="center" vertical="center"/>
    </xf>
    <xf numFmtId="165" fontId="125" fillId="5" borderId="15" xfId="0" applyNumberFormat="1" applyFont="1" applyFill="1" applyBorder="1" applyAlignment="1">
      <alignment horizontal="center" vertical="center"/>
    </xf>
    <xf numFmtId="4" fontId="122" fillId="6" borderId="15" xfId="0" applyNumberFormat="1" applyFont="1" applyFill="1" applyBorder="1" applyAlignment="1">
      <alignment horizontal="center" vertical="center"/>
    </xf>
    <xf numFmtId="165" fontId="123" fillId="6" borderId="15" xfId="0" applyNumberFormat="1" applyFont="1" applyFill="1" applyBorder="1" applyAlignment="1">
      <alignment horizontal="center" vertical="center"/>
    </xf>
    <xf numFmtId="165" fontId="122" fillId="6" borderId="15" xfId="0" applyNumberFormat="1" applyFont="1" applyFill="1" applyBorder="1" applyAlignment="1">
      <alignment horizontal="center" vertical="center"/>
    </xf>
    <xf numFmtId="165" fontId="126" fillId="6" borderId="15" xfId="0" applyNumberFormat="1" applyFont="1" applyFill="1" applyBorder="1" applyAlignment="1">
      <alignment horizontal="center" vertical="center"/>
    </xf>
    <xf numFmtId="165" fontId="124" fillId="6" borderId="15" xfId="0" applyNumberFormat="1" applyFont="1" applyFill="1" applyBorder="1" applyAlignment="1">
      <alignment horizontal="center" vertical="center"/>
    </xf>
    <xf numFmtId="165" fontId="126" fillId="5" borderId="15" xfId="0" applyNumberFormat="1" applyFont="1" applyFill="1" applyBorder="1" applyAlignment="1">
      <alignment horizontal="center" vertical="center"/>
    </xf>
    <xf numFmtId="165" fontId="122" fillId="0" borderId="15" xfId="0" applyNumberFormat="1" applyFont="1" applyBorder="1" applyAlignment="1">
      <alignment horizontal="center" vertical="center"/>
    </xf>
    <xf numFmtId="165" fontId="123" fillId="0" borderId="15" xfId="0" applyNumberFormat="1" applyFont="1" applyBorder="1" applyAlignment="1">
      <alignment horizontal="center" vertical="center"/>
    </xf>
    <xf numFmtId="165" fontId="124" fillId="0" borderId="15" xfId="0" applyNumberFormat="1" applyFont="1" applyBorder="1" applyAlignment="1">
      <alignment horizontal="center" vertical="center"/>
    </xf>
    <xf numFmtId="165" fontId="122" fillId="0" borderId="15" xfId="0" applyNumberFormat="1" applyFont="1" applyBorder="1" applyAlignment="1">
      <alignment horizontal="center" vertical="center" wrapText="1"/>
    </xf>
    <xf numFmtId="165" fontId="126" fillId="0" borderId="15" xfId="0" applyNumberFormat="1" applyFont="1" applyBorder="1" applyAlignment="1">
      <alignment horizontal="center" vertical="center"/>
    </xf>
    <xf numFmtId="165" fontId="125" fillId="6" borderId="15" xfId="0" applyNumberFormat="1" applyFont="1" applyFill="1" applyBorder="1" applyAlignment="1">
      <alignment horizontal="center" vertical="center"/>
    </xf>
    <xf numFmtId="0" fontId="16" fillId="29" borderId="33" xfId="0" applyFont="1" applyFill="1" applyBorder="1" applyAlignment="1">
      <alignment vertical="center"/>
    </xf>
    <xf numFmtId="8" fontId="16" fillId="29" borderId="33" xfId="0" applyNumberFormat="1" applyFont="1" applyFill="1" applyBorder="1" applyAlignment="1">
      <alignment horizontal="center" vertical="center"/>
    </xf>
    <xf numFmtId="8" fontId="28" fillId="29" borderId="33" xfId="0" applyNumberFormat="1" applyFont="1" applyFill="1" applyBorder="1" applyAlignment="1">
      <alignment horizontal="center" vertical="center"/>
    </xf>
    <xf numFmtId="8" fontId="28" fillId="29" borderId="34" xfId="0" applyNumberFormat="1" applyFont="1" applyFill="1" applyBorder="1" applyAlignment="1">
      <alignment horizontal="center" vertical="center"/>
    </xf>
    <xf numFmtId="0" fontId="16" fillId="29" borderId="36" xfId="0" applyFont="1" applyFill="1" applyBorder="1" applyAlignment="1">
      <alignment vertical="center"/>
    </xf>
    <xf numFmtId="8" fontId="28" fillId="29" borderId="36" xfId="0" applyNumberFormat="1" applyFont="1" applyFill="1" applyBorder="1" applyAlignment="1">
      <alignment horizontal="center" vertical="center"/>
    </xf>
    <xf numFmtId="8" fontId="28" fillId="29" borderId="37" xfId="0" applyNumberFormat="1" applyFont="1" applyFill="1" applyBorder="1" applyAlignment="1">
      <alignment horizontal="center" vertical="center"/>
    </xf>
    <xf numFmtId="0" fontId="88" fillId="6" borderId="38" xfId="0" applyFont="1" applyFill="1" applyBorder="1" applyAlignment="1">
      <alignment vertical="center"/>
    </xf>
    <xf numFmtId="8" fontId="29" fillId="6" borderId="38" xfId="0" applyNumberFormat="1" applyFont="1" applyFill="1" applyBorder="1" applyAlignment="1">
      <alignment horizontal="center" vertical="center"/>
    </xf>
    <xf numFmtId="8" fontId="29" fillId="6" borderId="35" xfId="0" applyNumberFormat="1" applyFont="1" applyFill="1" applyBorder="1" applyAlignment="1">
      <alignment horizontal="center" vertical="center"/>
    </xf>
    <xf numFmtId="0" fontId="127" fillId="6" borderId="0" xfId="0" applyFont="1" applyFill="1" applyAlignment="1">
      <alignment horizontal="left" vertical="center"/>
    </xf>
    <xf numFmtId="8" fontId="67" fillId="7" borderId="18" xfId="0" applyNumberFormat="1" applyFont="1" applyFill="1" applyBorder="1" applyAlignment="1">
      <alignment horizontal="center" vertical="center"/>
    </xf>
    <xf numFmtId="8" fontId="68" fillId="7" borderId="18" xfId="0" applyNumberFormat="1" applyFont="1" applyFill="1" applyBorder="1" applyAlignment="1">
      <alignment horizontal="center" vertical="center"/>
    </xf>
    <xf numFmtId="8" fontId="68" fillId="7" borderId="25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8" fontId="0" fillId="6" borderId="0" xfId="0" applyNumberFormat="1" applyFill="1" applyAlignment="1">
      <alignment vertical="center"/>
    </xf>
    <xf numFmtId="164" fontId="128" fillId="15" borderId="26" xfId="0" applyNumberFormat="1" applyFont="1" applyFill="1" applyBorder="1" applyAlignment="1">
      <alignment vertical="center"/>
    </xf>
    <xf numFmtId="172" fontId="13" fillId="0" borderId="26" xfId="0" applyNumberFormat="1" applyFont="1" applyBorder="1" applyAlignment="1">
      <alignment vertical="center"/>
    </xf>
    <xf numFmtId="44" fontId="13" fillId="0" borderId="26" xfId="0" applyNumberFormat="1" applyFont="1" applyBorder="1" applyAlignment="1">
      <alignment horizontal="right" vertical="center"/>
    </xf>
    <xf numFmtId="10" fontId="94" fillId="0" borderId="27" xfId="0" applyNumberFormat="1" applyFont="1" applyBorder="1" applyAlignment="1">
      <alignment vertical="center"/>
    </xf>
    <xf numFmtId="10" fontId="94" fillId="0" borderId="28" xfId="0" applyNumberFormat="1" applyFont="1" applyBorder="1" applyAlignment="1">
      <alignment vertical="center"/>
    </xf>
    <xf numFmtId="172" fontId="94" fillId="0" borderId="26" xfId="0" applyNumberFormat="1" applyFont="1" applyBorder="1" applyAlignment="1">
      <alignment horizontal="right" vertical="center"/>
    </xf>
    <xf numFmtId="0" fontId="1" fillId="0" borderId="26" xfId="0" applyFont="1" applyBorder="1" applyAlignment="1">
      <alignment vertical="center"/>
    </xf>
    <xf numFmtId="44" fontId="94" fillId="0" borderId="26" xfId="0" applyNumberFormat="1" applyFont="1" applyBorder="1" applyAlignment="1">
      <alignment horizontal="right" vertical="center"/>
    </xf>
    <xf numFmtId="0" fontId="129" fillId="29" borderId="18" xfId="0" applyFont="1" applyFill="1" applyBorder="1" applyAlignment="1">
      <alignment vertical="center"/>
    </xf>
    <xf numFmtId="0" fontId="130" fillId="6" borderId="18" xfId="0" applyFont="1" applyFill="1" applyBorder="1" applyAlignment="1">
      <alignment vertical="center"/>
    </xf>
    <xf numFmtId="0" fontId="131" fillId="7" borderId="18" xfId="0" applyFont="1" applyFill="1" applyBorder="1" applyAlignment="1">
      <alignment vertical="center"/>
    </xf>
    <xf numFmtId="167" fontId="105" fillId="19" borderId="21" xfId="0" applyNumberFormat="1" applyFont="1" applyFill="1" applyBorder="1" applyAlignment="1">
      <alignment vertical="center"/>
    </xf>
    <xf numFmtId="165" fontId="125" fillId="0" borderId="15" xfId="0" applyNumberFormat="1" applyFont="1" applyBorder="1" applyAlignment="1">
      <alignment horizontal="center" vertical="center"/>
    </xf>
    <xf numFmtId="165" fontId="99" fillId="38" borderId="15" xfId="0" applyNumberFormat="1" applyFont="1" applyFill="1" applyBorder="1" applyAlignment="1">
      <alignment horizontal="center" vertical="center" wrapText="1"/>
    </xf>
    <xf numFmtId="165" fontId="99" fillId="38" borderId="15" xfId="0" applyNumberFormat="1" applyFont="1" applyFill="1" applyBorder="1" applyAlignment="1">
      <alignment horizontal="center" vertical="center"/>
    </xf>
    <xf numFmtId="165" fontId="92" fillId="38" borderId="19" xfId="0" applyNumberFormat="1" applyFont="1" applyFill="1" applyBorder="1" applyAlignment="1">
      <alignment horizontal="center" vertical="center"/>
    </xf>
    <xf numFmtId="165" fontId="92" fillId="38" borderId="15" xfId="0" applyNumberFormat="1" applyFont="1" applyFill="1" applyBorder="1" applyAlignment="1">
      <alignment horizontal="center" vertical="center"/>
    </xf>
    <xf numFmtId="165" fontId="103" fillId="38" borderId="15" xfId="0" applyNumberFormat="1" applyFont="1" applyFill="1" applyBorder="1" applyAlignment="1">
      <alignment horizontal="center" vertical="center"/>
    </xf>
    <xf numFmtId="165" fontId="132" fillId="37" borderId="15" xfId="0" applyNumberFormat="1" applyFont="1" applyFill="1" applyBorder="1" applyAlignment="1">
      <alignment horizontal="center" vertical="center"/>
    </xf>
    <xf numFmtId="165" fontId="132" fillId="31" borderId="15" xfId="0" applyNumberFormat="1" applyFont="1" applyFill="1" applyBorder="1" applyAlignment="1">
      <alignment horizontal="center" vertical="center" wrapText="1"/>
    </xf>
    <xf numFmtId="165" fontId="132" fillId="31" borderId="15" xfId="0" applyNumberFormat="1" applyFont="1" applyFill="1" applyBorder="1" applyAlignment="1">
      <alignment horizontal="center" vertical="center"/>
    </xf>
    <xf numFmtId="165" fontId="132" fillId="39" borderId="15" xfId="0" applyNumberFormat="1" applyFont="1" applyFill="1" applyBorder="1" applyAlignment="1">
      <alignment horizontal="center" vertical="center" wrapText="1"/>
    </xf>
    <xf numFmtId="165" fontId="132" fillId="39" borderId="15" xfId="0" applyNumberFormat="1" applyFont="1" applyFill="1" applyBorder="1" applyAlignment="1">
      <alignment horizontal="center" vertical="center"/>
    </xf>
    <xf numFmtId="165" fontId="132" fillId="37" borderId="15" xfId="0" applyNumberFormat="1" applyFont="1" applyFill="1" applyBorder="1" applyAlignment="1">
      <alignment horizontal="center" vertical="center" wrapText="1"/>
    </xf>
    <xf numFmtId="165" fontId="133" fillId="5" borderId="15" xfId="0" applyNumberFormat="1" applyFont="1" applyFill="1" applyBorder="1" applyAlignment="1">
      <alignment horizontal="center" vertical="center"/>
    </xf>
    <xf numFmtId="165" fontId="133" fillId="0" borderId="15" xfId="0" applyNumberFormat="1" applyFont="1" applyBorder="1" applyAlignment="1">
      <alignment horizontal="center" vertical="center"/>
    </xf>
    <xf numFmtId="0" fontId="80" fillId="30" borderId="18" xfId="0" applyFont="1" applyFill="1" applyBorder="1" applyAlignment="1">
      <alignment vertical="center"/>
    </xf>
    <xf numFmtId="172" fontId="134" fillId="0" borderId="26" xfId="0" applyNumberFormat="1" applyFont="1" applyBorder="1" applyAlignment="1">
      <alignment vertical="center"/>
    </xf>
    <xf numFmtId="0" fontId="128" fillId="15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vertical="center"/>
    </xf>
    <xf numFmtId="8" fontId="134" fillId="0" borderId="26" xfId="0" applyNumberFormat="1" applyFont="1" applyBorder="1" applyAlignment="1">
      <alignment vertical="center"/>
    </xf>
    <xf numFmtId="172" fontId="135" fillId="0" borderId="26" xfId="0" applyNumberFormat="1" applyFont="1" applyBorder="1" applyAlignment="1">
      <alignment vertical="center"/>
    </xf>
    <xf numFmtId="0" fontId="15" fillId="18" borderId="26" xfId="0" applyFont="1" applyFill="1" applyBorder="1" applyAlignment="1">
      <alignment horizontal="center" vertical="center"/>
    </xf>
    <xf numFmtId="8" fontId="28" fillId="6" borderId="26" xfId="0" applyNumberFormat="1" applyFont="1" applyFill="1" applyBorder="1" applyAlignment="1">
      <alignment horizontal="center" vertical="center"/>
    </xf>
    <xf numFmtId="168" fontId="136" fillId="0" borderId="26" xfId="0" applyNumberFormat="1" applyFont="1" applyBorder="1" applyAlignment="1">
      <alignment horizontal="center" vertical="center"/>
    </xf>
    <xf numFmtId="8" fontId="136" fillId="0" borderId="26" xfId="0" applyNumberFormat="1" applyFont="1" applyBorder="1" applyAlignment="1">
      <alignment horizontal="center" vertical="center"/>
    </xf>
    <xf numFmtId="8" fontId="28" fillId="0" borderId="2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73" fontId="13" fillId="0" borderId="26" xfId="1" applyNumberFormat="1" applyFont="1" applyBorder="1" applyAlignment="1">
      <alignment horizontal="center" vertical="center"/>
    </xf>
    <xf numFmtId="0" fontId="99" fillId="19" borderId="16" xfId="0" applyFont="1" applyFill="1" applyBorder="1" applyAlignment="1">
      <alignment horizontal="center" vertical="center" wrapText="1"/>
    </xf>
    <xf numFmtId="167" fontId="105" fillId="19" borderId="17" xfId="0" applyNumberFormat="1" applyFont="1" applyFill="1" applyBorder="1" applyAlignment="1">
      <alignment horizontal="center" vertical="center"/>
    </xf>
    <xf numFmtId="0" fontId="117" fillId="7" borderId="0" xfId="0" applyFont="1" applyFill="1" applyAlignment="1">
      <alignment horizontal="center" vertical="center" wrapText="1"/>
    </xf>
    <xf numFmtId="0" fontId="112" fillId="32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28" fillId="19" borderId="30" xfId="0" applyFont="1" applyFill="1" applyBorder="1" applyAlignment="1">
      <alignment horizontal="center" vertical="center"/>
    </xf>
    <xf numFmtId="0" fontId="128" fillId="19" borderId="32" xfId="0" applyFont="1" applyFill="1" applyBorder="1" applyAlignment="1">
      <alignment horizontal="center" vertical="center"/>
    </xf>
    <xf numFmtId="0" fontId="128" fillId="19" borderId="31" xfId="0" applyFont="1" applyFill="1" applyBorder="1" applyAlignment="1">
      <alignment horizontal="center" vertical="center"/>
    </xf>
    <xf numFmtId="10" fontId="94" fillId="5" borderId="27" xfId="0" applyNumberFormat="1" applyFont="1" applyFill="1" applyBorder="1" applyAlignment="1">
      <alignment horizontal="center" vertical="center"/>
    </xf>
    <xf numFmtId="0" fontId="94" fillId="5" borderId="28" xfId="0" applyFont="1" applyFill="1" applyBorder="1" applyAlignment="1">
      <alignment horizontal="center" vertical="center"/>
    </xf>
    <xf numFmtId="0" fontId="94" fillId="5" borderId="29" xfId="0" applyFont="1" applyFill="1" applyBorder="1" applyAlignment="1">
      <alignment horizontal="center" vertical="center"/>
    </xf>
    <xf numFmtId="10" fontId="94" fillId="5" borderId="28" xfId="0" applyNumberFormat="1" applyFont="1" applyFill="1" applyBorder="1" applyAlignment="1">
      <alignment horizontal="center" vertical="center"/>
    </xf>
    <xf numFmtId="10" fontId="94" fillId="5" borderId="29" xfId="0" applyNumberFormat="1" applyFont="1" applyFill="1" applyBorder="1" applyAlignment="1">
      <alignment horizontal="center" vertical="center"/>
    </xf>
    <xf numFmtId="164" fontId="94" fillId="0" borderId="26" xfId="0" applyNumberFormat="1" applyFont="1" applyBorder="1" applyAlignment="1">
      <alignment horizontal="center" vertical="center"/>
    </xf>
    <xf numFmtId="0" fontId="94" fillId="0" borderId="26" xfId="0" applyFont="1" applyBorder="1" applyAlignment="1">
      <alignment horizontal="center" vertical="center"/>
    </xf>
    <xf numFmtId="164" fontId="94" fillId="6" borderId="26" xfId="0" applyNumberFormat="1" applyFont="1" applyFill="1" applyBorder="1" applyAlignment="1">
      <alignment horizontal="center" vertical="center"/>
    </xf>
    <xf numFmtId="164" fontId="94" fillId="6" borderId="28" xfId="0" applyNumberFormat="1" applyFont="1" applyFill="1" applyBorder="1" applyAlignment="1">
      <alignment horizontal="center" vertical="center"/>
    </xf>
    <xf numFmtId="164" fontId="94" fillId="6" borderId="29" xfId="0" applyNumberFormat="1" applyFont="1" applyFill="1" applyBorder="1" applyAlignment="1">
      <alignment horizontal="center" vertical="center"/>
    </xf>
    <xf numFmtId="0" fontId="93" fillId="19" borderId="30" xfId="0" applyFont="1" applyFill="1" applyBorder="1" applyAlignment="1">
      <alignment horizontal="center" vertical="center"/>
    </xf>
    <xf numFmtId="0" fontId="93" fillId="19" borderId="32" xfId="0" applyFont="1" applyFill="1" applyBorder="1" applyAlignment="1">
      <alignment horizontal="center" vertical="center"/>
    </xf>
    <xf numFmtId="0" fontId="93" fillId="19" borderId="31" xfId="0" applyFont="1" applyFill="1" applyBorder="1" applyAlignment="1">
      <alignment horizontal="center" vertical="center"/>
    </xf>
    <xf numFmtId="164" fontId="13" fillId="0" borderId="0" xfId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70" fontId="56" fillId="7" borderId="17" xfId="0" applyNumberFormat="1" applyFont="1" applyFill="1" applyBorder="1" applyAlignment="1">
      <alignment horizontal="center" vertical="center" wrapText="1"/>
    </xf>
    <xf numFmtId="0" fontId="56" fillId="0" borderId="17" xfId="0" applyFont="1" applyBorder="1" applyAlignment="1">
      <alignment horizontal="left" vertical="center"/>
    </xf>
    <xf numFmtId="0" fontId="56" fillId="7" borderId="17" xfId="0" applyFont="1" applyFill="1" applyBorder="1" applyAlignment="1">
      <alignment horizontal="left" vertical="center"/>
    </xf>
    <xf numFmtId="0" fontId="64" fillId="14" borderId="17" xfId="0" applyFont="1" applyFill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170" fontId="64" fillId="14" borderId="17" xfId="0" applyNumberFormat="1" applyFont="1" applyFill="1" applyBorder="1" applyAlignment="1">
      <alignment horizontal="center" vertical="center" wrapText="1"/>
    </xf>
    <xf numFmtId="0" fontId="64" fillId="12" borderId="17" xfId="0" applyFont="1" applyFill="1" applyBorder="1" applyAlignment="1">
      <alignment horizontal="center" vertical="center"/>
    </xf>
    <xf numFmtId="167" fontId="63" fillId="19" borderId="17" xfId="0" applyNumberFormat="1" applyFont="1" applyFill="1" applyBorder="1" applyAlignment="1">
      <alignment horizontal="center" vertical="center"/>
    </xf>
    <xf numFmtId="0" fontId="72" fillId="19" borderId="16" xfId="0" applyFont="1" applyFill="1" applyBorder="1" applyAlignment="1">
      <alignment horizontal="center" vertical="center" wrapText="1"/>
    </xf>
    <xf numFmtId="0" fontId="74" fillId="14" borderId="15" xfId="0" applyFont="1" applyFill="1" applyBorder="1" applyAlignment="1">
      <alignment horizontal="center" vertical="center"/>
    </xf>
    <xf numFmtId="0" fontId="56" fillId="19" borderId="16" xfId="0" applyFont="1" applyFill="1" applyBorder="1" applyAlignment="1">
      <alignment horizontal="center" vertical="center"/>
    </xf>
    <xf numFmtId="165" fontId="73" fillId="19" borderId="17" xfId="0" applyNumberFormat="1" applyFont="1" applyFill="1" applyBorder="1" applyAlignment="1">
      <alignment horizontal="center" vertical="center"/>
    </xf>
    <xf numFmtId="0" fontId="54" fillId="19" borderId="16" xfId="0" applyFont="1" applyFill="1" applyBorder="1" applyAlignment="1">
      <alignment horizontal="center" vertical="center" wrapText="1"/>
    </xf>
    <xf numFmtId="165" fontId="52" fillId="6" borderId="15" xfId="0" applyNumberFormat="1" applyFont="1" applyFill="1" applyBorder="1" applyAlignment="1">
      <alignment horizontal="center" vertical="center"/>
    </xf>
    <xf numFmtId="0" fontId="56" fillId="19" borderId="22" xfId="0" applyFont="1" applyFill="1" applyBorder="1" applyAlignment="1">
      <alignment horizontal="center" vertical="center"/>
    </xf>
    <xf numFmtId="0" fontId="56" fillId="19" borderId="23" xfId="0" applyFont="1" applyFill="1" applyBorder="1" applyAlignment="1">
      <alignment horizontal="center" vertical="center"/>
    </xf>
    <xf numFmtId="165" fontId="73" fillId="19" borderId="24" xfId="0" applyNumberFormat="1" applyFont="1" applyFill="1" applyBorder="1" applyAlignment="1">
      <alignment horizontal="center" vertical="center"/>
    </xf>
    <xf numFmtId="165" fontId="73" fillId="19" borderId="0" xfId="0" applyNumberFormat="1" applyFont="1" applyFill="1" applyAlignment="1">
      <alignment horizontal="center" vertical="center"/>
    </xf>
    <xf numFmtId="170" fontId="64" fillId="12" borderId="17" xfId="0" applyNumberFormat="1" applyFont="1" applyFill="1" applyBorder="1" applyAlignment="1">
      <alignment horizontal="center" vertical="center" wrapText="1"/>
    </xf>
    <xf numFmtId="3" fontId="24" fillId="6" borderId="0" xfId="0" applyNumberFormat="1" applyFont="1" applyFill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75" fillId="7" borderId="5" xfId="0" applyFont="1" applyFill="1" applyBorder="1" applyAlignment="1">
      <alignment horizontal="center" vertical="center"/>
    </xf>
    <xf numFmtId="0" fontId="75" fillId="7" borderId="6" xfId="0" applyFont="1" applyFill="1" applyBorder="1" applyAlignment="1">
      <alignment horizontal="center" vertical="center"/>
    </xf>
    <xf numFmtId="165" fontId="76" fillId="7" borderId="7" xfId="0" applyNumberFormat="1" applyFont="1" applyFill="1" applyBorder="1" applyAlignment="1">
      <alignment horizontal="center" vertical="center"/>
    </xf>
    <xf numFmtId="0" fontId="76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87" fillId="7" borderId="0" xfId="0" applyFont="1" applyFill="1" applyAlignment="1">
      <alignment horizontal="center" vertical="center"/>
    </xf>
    <xf numFmtId="0" fontId="71" fillId="15" borderId="0" xfId="0" applyFont="1" applyFill="1" applyAlignment="1">
      <alignment horizontal="center" vertical="center"/>
    </xf>
    <xf numFmtId="0" fontId="71" fillId="19" borderId="0" xfId="0" applyFont="1" applyFill="1" applyAlignment="1">
      <alignment horizontal="center" vertical="center"/>
    </xf>
    <xf numFmtId="164" fontId="1" fillId="9" borderId="0" xfId="1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17" fillId="5" borderId="2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77" fillId="10" borderId="5" xfId="2" applyFont="1" applyFill="1" applyBorder="1" applyAlignment="1">
      <alignment horizontal="center" vertical="center"/>
    </xf>
    <xf numFmtId="0" fontId="77" fillId="10" borderId="6" xfId="2" applyFont="1" applyFill="1" applyBorder="1" applyAlignment="1">
      <alignment horizontal="center" vertical="center"/>
    </xf>
    <xf numFmtId="0" fontId="77" fillId="10" borderId="8" xfId="2" applyFont="1" applyFill="1" applyBorder="1" applyAlignment="1">
      <alignment horizontal="center" vertical="center"/>
    </xf>
    <xf numFmtId="0" fontId="77" fillId="10" borderId="9" xfId="2" applyFont="1" applyFill="1" applyBorder="1" applyAlignment="1">
      <alignment horizontal="center" vertical="center"/>
    </xf>
    <xf numFmtId="0" fontId="77" fillId="10" borderId="10" xfId="2" applyFont="1" applyFill="1" applyBorder="1" applyAlignment="1">
      <alignment horizontal="center" vertical="center"/>
    </xf>
    <xf numFmtId="0" fontId="77" fillId="10" borderId="11" xfId="2" applyFont="1" applyFill="1" applyBorder="1" applyAlignment="1">
      <alignment horizontal="center" vertical="center"/>
    </xf>
    <xf numFmtId="4" fontId="78" fillId="10" borderId="12" xfId="2" applyNumberFormat="1" applyFont="1" applyFill="1" applyBorder="1" applyAlignment="1">
      <alignment horizontal="center" vertical="center"/>
    </xf>
    <xf numFmtId="4" fontId="78" fillId="10" borderId="13" xfId="2" applyNumberFormat="1" applyFont="1" applyFill="1" applyBorder="1" applyAlignment="1">
      <alignment horizontal="center" vertical="center"/>
    </xf>
    <xf numFmtId="4" fontId="78" fillId="10" borderId="14" xfId="2" applyNumberFormat="1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2" xr:uid="{00000000-0005-0000-0000-000003000000}"/>
    <cellStyle name="Normal 3" xfId="3" xr:uid="{00000000-0005-0000-0000-000004000000}"/>
  </cellStyles>
  <dxfs count="4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EC234"/>
      <color rgb="FFEFF4E4"/>
      <color rgb="FFEAF0F6"/>
      <color rgb="FFF8E4B2"/>
      <color rgb="FFF4D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DD0806"/>
                </a:solidFill>
                <a:latin typeface="Calibri"/>
                <a:ea typeface="Calibri"/>
                <a:cs typeface="Calibri"/>
              </a:defRPr>
            </a:pPr>
            <a:r>
              <a:rPr lang="es-ES_tradnl" sz="2000" b="1">
                <a:solidFill>
                  <a:srgbClr val="00B0F0"/>
                </a:solidFill>
              </a:rPr>
              <a:t>TOTAL CREDITOS + IMPUESTOS</a:t>
            </a:r>
          </a:p>
        </c:rich>
      </c:tx>
      <c:layout>
        <c:manualLayout>
          <c:xMode val="edge"/>
          <c:yMode val="edge"/>
          <c:x val="0.37663432140560826"/>
          <c:y val="2.498068141903758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val>
            <c:numRef>
              <c:f>'Retrospectiva Creditos'!$B$16:$T$16</c:f>
              <c:numCache>
                <c:formatCode>"€"#,##0.00_);[Red]\("€"#,##0.00\)</c:formatCode>
                <c:ptCount val="19"/>
                <c:pt idx="0">
                  <c:v>-985240.6</c:v>
                </c:pt>
                <c:pt idx="1">
                  <c:v>-849476.47</c:v>
                </c:pt>
                <c:pt idx="2">
                  <c:v>-732928.34000000008</c:v>
                </c:pt>
                <c:pt idx="3">
                  <c:v>-555461.32999999996</c:v>
                </c:pt>
                <c:pt idx="4">
                  <c:v>-569888.44999999995</c:v>
                </c:pt>
                <c:pt idx="5">
                  <c:v>-576929.6</c:v>
                </c:pt>
                <c:pt idx="6">
                  <c:v>-536087.14</c:v>
                </c:pt>
                <c:pt idx="7">
                  <c:v>-507994.47000000003</c:v>
                </c:pt>
                <c:pt idx="8">
                  <c:v>-504450.54</c:v>
                </c:pt>
                <c:pt idx="9">
                  <c:v>-530268.73</c:v>
                </c:pt>
                <c:pt idx="10">
                  <c:v>-350119.84</c:v>
                </c:pt>
                <c:pt idx="11">
                  <c:v>-363593.43999999994</c:v>
                </c:pt>
                <c:pt idx="12">
                  <c:v>-373721.53</c:v>
                </c:pt>
                <c:pt idx="13">
                  <c:v>-455558.32</c:v>
                </c:pt>
                <c:pt idx="14">
                  <c:v>-395428.55</c:v>
                </c:pt>
                <c:pt idx="15">
                  <c:v>-214611.1</c:v>
                </c:pt>
                <c:pt idx="16">
                  <c:v>-295800</c:v>
                </c:pt>
                <c:pt idx="17">
                  <c:v>-354394.22</c:v>
                </c:pt>
                <c:pt idx="18">
                  <c:v>-392500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1-0D45-A33D-5435919A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-37"/>
        <c:axId val="1647638767"/>
        <c:axId val="1"/>
      </c:barChart>
      <c:catAx>
        <c:axId val="164763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4763876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ABEA"/>
                </a:solidFill>
                <a:latin typeface="Calibri"/>
                <a:ea typeface="Calibri"/>
                <a:cs typeface="Calibri"/>
              </a:defRPr>
            </a:pPr>
            <a:r>
              <a:rPr lang="es-ES_tradnl" sz="2000" b="1"/>
              <a:t>PATRIMONIO INCLUYENDO VALOR EMPRESA CON BALANCE DE SITUACIÓN</a:t>
            </a:r>
          </a:p>
        </c:rich>
      </c:tx>
      <c:layout>
        <c:manualLayout>
          <c:xMode val="edge"/>
          <c:yMode val="edge"/>
          <c:x val="0.17190052973476222"/>
          <c:y val="3.90331622485938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exp"/>
            <c:dispRSqr val="0"/>
            <c:dispEq val="0"/>
          </c:trendline>
          <c:val>
            <c:numRef>
              <c:f>'Retrospectiva Creditos'!$B$33:$T$33</c:f>
              <c:numCache>
                <c:formatCode>"€"#,##0.00_);[Red]\("€"#,##0.00\)</c:formatCode>
                <c:ptCount val="19"/>
                <c:pt idx="0">
                  <c:v>499759.4</c:v>
                </c:pt>
                <c:pt idx="1">
                  <c:v>635523.53</c:v>
                </c:pt>
                <c:pt idx="2">
                  <c:v>742071.65999999992</c:v>
                </c:pt>
                <c:pt idx="3">
                  <c:v>889538.67</c:v>
                </c:pt>
                <c:pt idx="4">
                  <c:v>898937.55</c:v>
                </c:pt>
                <c:pt idx="5">
                  <c:v>889896.4</c:v>
                </c:pt>
                <c:pt idx="6">
                  <c:v>929171.86</c:v>
                </c:pt>
                <c:pt idx="7">
                  <c:v>968267.33000000007</c:v>
                </c:pt>
                <c:pt idx="8">
                  <c:v>960135.21</c:v>
                </c:pt>
                <c:pt idx="9">
                  <c:v>1089026.6099999999</c:v>
                </c:pt>
                <c:pt idx="10">
                  <c:v>1257063.1599999999</c:v>
                </c:pt>
                <c:pt idx="11">
                  <c:v>1333046.44</c:v>
                </c:pt>
                <c:pt idx="12">
                  <c:v>1423761.22</c:v>
                </c:pt>
                <c:pt idx="13">
                  <c:v>1493013.55</c:v>
                </c:pt>
                <c:pt idx="14">
                  <c:v>1592949.8</c:v>
                </c:pt>
                <c:pt idx="15">
                  <c:v>1777943.27</c:v>
                </c:pt>
                <c:pt idx="16">
                  <c:v>1858128.55</c:v>
                </c:pt>
                <c:pt idx="17">
                  <c:v>2099989.2800000003</c:v>
                </c:pt>
                <c:pt idx="18">
                  <c:v>2085794.22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E-DC49-BD93-F336C4BA4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803423"/>
        <c:axId val="1"/>
      </c:barChart>
      <c:dateAx>
        <c:axId val="164780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478034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ABEA"/>
                </a:solidFill>
                <a:latin typeface="Calibri"/>
                <a:ea typeface="Calibri"/>
                <a:cs typeface="Calibri"/>
              </a:defRPr>
            </a:pPr>
            <a:r>
              <a:rPr lang="es-ES_tradnl" sz="2000" b="1"/>
              <a:t>VALOR DE EMPRESA  CON BALANCE DE SITUACIÓN</a:t>
            </a:r>
          </a:p>
        </c:rich>
      </c:tx>
      <c:layout>
        <c:manualLayout>
          <c:xMode val="edge"/>
          <c:yMode val="edge"/>
          <c:x val="0.31517569368914661"/>
          <c:y val="4.2616552483263646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35A5-403B-8ACB-DA45FC8310D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E-35A5-403B-8ACB-DA45FC8310D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35A5-403B-8ACB-DA45FC8310D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FCD-B741-B55B-A025DFCFE79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FCD-B741-B55B-A025DFCFE79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7FCD-B741-B55B-A025DFCFE79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CD-B741-B55B-A025DFCFE79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7FCD-B741-B55B-A025DFCFE79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7FCD-B741-B55B-A025DFCFE79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FCD-B741-B55B-A025DFCFE79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FCD-B741-B55B-A025DFCFE79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FCD-B741-B55B-A025DFCFE799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5CA9-7D4C-8F47-DEA0DDB55C9F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4D30-4F40-AC9F-660FBA4796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'Retrospectiva Creditos'!$B$24:$T$24</c:f>
              <c:numCache>
                <c:formatCode>"€"#,##0.00_);[Red]\("€"#,##0.00\)</c:formatCode>
                <c:ptCount val="19"/>
                <c:pt idx="0">
                  <c:v>-505240.6</c:v>
                </c:pt>
                <c:pt idx="1">
                  <c:v>-369476.47</c:v>
                </c:pt>
                <c:pt idx="2">
                  <c:v>-272928.34000000008</c:v>
                </c:pt>
                <c:pt idx="3">
                  <c:v>-95461.329999999958</c:v>
                </c:pt>
                <c:pt idx="4">
                  <c:v>-84062.449999999953</c:v>
                </c:pt>
                <c:pt idx="5">
                  <c:v>-91103.599999999977</c:v>
                </c:pt>
                <c:pt idx="6">
                  <c:v>-49828.140000000014</c:v>
                </c:pt>
                <c:pt idx="7">
                  <c:v>-16735.47000000003</c:v>
                </c:pt>
                <c:pt idx="8">
                  <c:v>-30861.539999999979</c:v>
                </c:pt>
                <c:pt idx="9">
                  <c:v>92086.270000000019</c:v>
                </c:pt>
                <c:pt idx="10">
                  <c:v>255010.15999999997</c:v>
                </c:pt>
                <c:pt idx="11">
                  <c:v>261443.56000000006</c:v>
                </c:pt>
                <c:pt idx="12">
                  <c:v>272253.46999999997</c:v>
                </c:pt>
                <c:pt idx="13">
                  <c:v>240835.68</c:v>
                </c:pt>
                <c:pt idx="14">
                  <c:v>272733.45</c:v>
                </c:pt>
                <c:pt idx="15">
                  <c:v>403936.26</c:v>
                </c:pt>
                <c:pt idx="16">
                  <c:v>376669.83</c:v>
                </c:pt>
                <c:pt idx="17">
                  <c:v>334015.05000000005</c:v>
                </c:pt>
                <c:pt idx="18">
                  <c:v>297564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CD-B741-B55B-A025DFCF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499823"/>
        <c:axId val="1"/>
      </c:barChart>
      <c:catAx>
        <c:axId val="16684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684998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ABEA"/>
                </a:solidFill>
                <a:latin typeface="Calibri"/>
                <a:ea typeface="Calibri"/>
                <a:cs typeface="Calibri"/>
              </a:defRPr>
            </a:pPr>
            <a:r>
              <a:rPr lang="es-ES_tradnl" sz="2000"/>
              <a:t>TOTAL DEVE MOVISTAR + CREDITOS + IMPUESTOS + STOCK</a:t>
            </a:r>
          </a:p>
        </c:rich>
      </c:tx>
      <c:layout>
        <c:manualLayout>
          <c:xMode val="edge"/>
          <c:yMode val="edge"/>
          <c:x val="0.22760234647502051"/>
          <c:y val="2.713693038999180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'Retrospectiva Creditos'!$A$22</c:f>
              <c:strCache>
                <c:ptCount val="1"/>
                <c:pt idx="0">
                  <c:v>TOTAL DEVE MOVISTAR + CREDITOS + IMPUESTOS + STOCK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BF0-724A-98F1-DCDA3681473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'Retrospectiva Creditos'!$B$22:$T$22</c:f>
              <c:numCache>
                <c:formatCode>"€"#,##0.00_);[Red]\("€"#,##0.00\)</c:formatCode>
                <c:ptCount val="19"/>
                <c:pt idx="0">
                  <c:v>-865240.6</c:v>
                </c:pt>
                <c:pt idx="1">
                  <c:v>-729476.47</c:v>
                </c:pt>
                <c:pt idx="2">
                  <c:v>-612928.34000000008</c:v>
                </c:pt>
                <c:pt idx="3">
                  <c:v>-435461.32999999996</c:v>
                </c:pt>
                <c:pt idx="4">
                  <c:v>-424062.44999999995</c:v>
                </c:pt>
                <c:pt idx="5">
                  <c:v>-431103.6</c:v>
                </c:pt>
                <c:pt idx="6">
                  <c:v>-389828.14</c:v>
                </c:pt>
                <c:pt idx="7">
                  <c:v>-356735.47000000003</c:v>
                </c:pt>
                <c:pt idx="8">
                  <c:v>-370861.54</c:v>
                </c:pt>
                <c:pt idx="9">
                  <c:v>-357913.73</c:v>
                </c:pt>
                <c:pt idx="10">
                  <c:v>-194989.84000000003</c:v>
                </c:pt>
                <c:pt idx="11">
                  <c:v>-188556.43999999994</c:v>
                </c:pt>
                <c:pt idx="12">
                  <c:v>-177746.53000000003</c:v>
                </c:pt>
                <c:pt idx="13">
                  <c:v>-209164.32</c:v>
                </c:pt>
                <c:pt idx="14">
                  <c:v>-177266.55</c:v>
                </c:pt>
                <c:pt idx="15">
                  <c:v>-125833.74</c:v>
                </c:pt>
                <c:pt idx="16">
                  <c:v>-153100.16999999998</c:v>
                </c:pt>
                <c:pt idx="17">
                  <c:v>-195754.94999999995</c:v>
                </c:pt>
                <c:pt idx="18">
                  <c:v>-232206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F0-724A-98F1-DCDA36814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305471"/>
        <c:axId val="1"/>
      </c:barChart>
      <c:catAx>
        <c:axId val="16613054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solidFill>
            <a:srgbClr val="FF00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0"/>
        <c:tickLbl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6130547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2000" b="1">
                <a:solidFill>
                  <a:srgbClr val="00B0F0"/>
                </a:solidFill>
              </a:rPr>
              <a:t>GANANCIAS ANUALES</a:t>
            </a:r>
          </a:p>
        </c:rich>
      </c:tx>
      <c:layout>
        <c:manualLayout>
          <c:xMode val="edge"/>
          <c:yMode val="edge"/>
          <c:x val="0.49321332080450164"/>
          <c:y val="4.4749108202584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5955314960629921"/>
          <c:y val="0.19721055701370663"/>
          <c:w val="0.79600240594925631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F9C-43E4-82F6-A06CD4AE168B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9C-43E4-82F6-A06CD4AE1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'Retrospectiva Creditos'!$D$34:$T$34</c:f>
              <c:numCache>
                <c:formatCode>"€"#,##0.00_);[Red]\("€"#,##0.00\)</c:formatCode>
                <c:ptCount val="17"/>
                <c:pt idx="0">
                  <c:v>106548.12999999989</c:v>
                </c:pt>
                <c:pt idx="1">
                  <c:v>147467.01000000013</c:v>
                </c:pt>
                <c:pt idx="2">
                  <c:v>9398.8800000000047</c:v>
                </c:pt>
                <c:pt idx="3">
                  <c:v>-9041.1500000000233</c:v>
                </c:pt>
                <c:pt idx="4">
                  <c:v>39275.459999999963</c:v>
                </c:pt>
                <c:pt idx="5">
                  <c:v>39095.470000000088</c:v>
                </c:pt>
                <c:pt idx="6">
                  <c:v>-8132.1200000001118</c:v>
                </c:pt>
                <c:pt idx="7">
                  <c:v>128891.39999999991</c:v>
                </c:pt>
                <c:pt idx="8">
                  <c:v>168036.55000000005</c:v>
                </c:pt>
                <c:pt idx="9">
                  <c:v>75983.280000000028</c:v>
                </c:pt>
                <c:pt idx="10">
                  <c:v>90714.780000000028</c:v>
                </c:pt>
                <c:pt idx="11">
                  <c:v>69252.330000000075</c:v>
                </c:pt>
                <c:pt idx="12">
                  <c:v>99936.25</c:v>
                </c:pt>
                <c:pt idx="13">
                  <c:v>184993.46999999997</c:v>
                </c:pt>
                <c:pt idx="14">
                  <c:v>80185.280000000028</c:v>
                </c:pt>
                <c:pt idx="15">
                  <c:v>241860.73000000021</c:v>
                </c:pt>
                <c:pt idx="16">
                  <c:v>-14195.060000000289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C-43E4-82F6-A06CD4AE1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66144"/>
        <c:axId val="982884816"/>
      </c:barChart>
      <c:catAx>
        <c:axId val="105786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2884816"/>
        <c:crosses val="autoZero"/>
        <c:auto val="1"/>
        <c:lblAlgn val="ctr"/>
        <c:lblOffset val="100"/>
        <c:noMultiLvlLbl val="0"/>
      </c:catAx>
      <c:valAx>
        <c:axId val="9828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78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ABEA"/>
                </a:solidFill>
                <a:latin typeface="Calibri"/>
                <a:ea typeface="Calibri"/>
                <a:cs typeface="Calibri"/>
              </a:defRPr>
            </a:pPr>
            <a:r>
              <a:rPr lang="es-ES_tradnl" sz="2000" b="1"/>
              <a:t>PATRIMONIO PERSONAL</a:t>
            </a:r>
          </a:p>
        </c:rich>
      </c:tx>
      <c:layout>
        <c:manualLayout>
          <c:xMode val="edge"/>
          <c:yMode val="edge"/>
          <c:x val="0.38717668291021018"/>
          <c:y val="4.25024113864973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Lbls>
            <c:dLbl>
              <c:idx val="15"/>
              <c:layout>
                <c:manualLayout>
                  <c:x val="-2.6741520463895896E-3"/>
                  <c:y val="-2.7753822501739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3D-491E-BE24-314D8C0AE16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exp"/>
            <c:dispRSqr val="0"/>
            <c:dispEq val="0"/>
          </c:trendline>
          <c:val>
            <c:numRef>
              <c:f>'Retrospectiva Creditos'!$B$32:$T$32</c:f>
              <c:numCache>
                <c:formatCode>"€"#,##0.00_);[Red]\("€"#,##0.00\)</c:formatCode>
                <c:ptCount val="19"/>
                <c:pt idx="0">
                  <c:v>1005000</c:v>
                </c:pt>
                <c:pt idx="1">
                  <c:v>1005000</c:v>
                </c:pt>
                <c:pt idx="2">
                  <c:v>1015000</c:v>
                </c:pt>
                <c:pt idx="3">
                  <c:v>985000</c:v>
                </c:pt>
                <c:pt idx="4">
                  <c:v>983000</c:v>
                </c:pt>
                <c:pt idx="5">
                  <c:v>981000</c:v>
                </c:pt>
                <c:pt idx="6">
                  <c:v>979000</c:v>
                </c:pt>
                <c:pt idx="7">
                  <c:v>985002.8</c:v>
                </c:pt>
                <c:pt idx="8">
                  <c:v>990996.75</c:v>
                </c:pt>
                <c:pt idx="9">
                  <c:v>996940.34</c:v>
                </c:pt>
                <c:pt idx="10">
                  <c:v>1002053</c:v>
                </c:pt>
                <c:pt idx="11">
                  <c:v>1071602.8799999999</c:v>
                </c:pt>
                <c:pt idx="12">
                  <c:v>1151507.75</c:v>
                </c:pt>
                <c:pt idx="13">
                  <c:v>1252177.8700000001</c:v>
                </c:pt>
                <c:pt idx="14">
                  <c:v>1320216.3500000001</c:v>
                </c:pt>
                <c:pt idx="15">
                  <c:v>1374007.01</c:v>
                </c:pt>
                <c:pt idx="16">
                  <c:v>1481458.72</c:v>
                </c:pt>
                <c:pt idx="17">
                  <c:v>1765974.23</c:v>
                </c:pt>
                <c:pt idx="18">
                  <c:v>1788230.22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9-486C-974B-C8EF77B72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803423"/>
        <c:axId val="1"/>
      </c:barChart>
      <c:dateAx>
        <c:axId val="164780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478034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Total</a:t>
            </a:r>
            <a:r>
              <a:rPr lang="es-ES_tradnl" baseline="0"/>
              <a:t> Endeudamiento Prestamos</a:t>
            </a:r>
            <a:endParaRPr lang="es-ES_tradnl"/>
          </a:p>
        </c:rich>
      </c:tx>
      <c:layout>
        <c:manualLayout>
          <c:xMode val="edge"/>
          <c:yMode val="edge"/>
          <c:x val="0.24542638500628003"/>
          <c:y val="0.10626506923642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Creditos'!$B$16:$T$16</c:f>
              <c:numCache>
                <c:formatCode>"€"#,##0.00_);[Red]\("€"#,##0.00\)</c:formatCode>
                <c:ptCount val="19"/>
                <c:pt idx="0">
                  <c:v>-985240.6</c:v>
                </c:pt>
                <c:pt idx="1">
                  <c:v>-849476.47</c:v>
                </c:pt>
                <c:pt idx="2">
                  <c:v>-732928.34000000008</c:v>
                </c:pt>
                <c:pt idx="3">
                  <c:v>-555461.32999999996</c:v>
                </c:pt>
                <c:pt idx="4">
                  <c:v>-569888.44999999995</c:v>
                </c:pt>
                <c:pt idx="5">
                  <c:v>-576929.6</c:v>
                </c:pt>
                <c:pt idx="6">
                  <c:v>-536087.14</c:v>
                </c:pt>
                <c:pt idx="7">
                  <c:v>-507994.47000000003</c:v>
                </c:pt>
                <c:pt idx="8">
                  <c:v>-504450.54</c:v>
                </c:pt>
                <c:pt idx="9">
                  <c:v>-530268.73</c:v>
                </c:pt>
                <c:pt idx="10">
                  <c:v>-350119.84</c:v>
                </c:pt>
                <c:pt idx="11">
                  <c:v>-363593.43999999994</c:v>
                </c:pt>
                <c:pt idx="12">
                  <c:v>-373721.53</c:v>
                </c:pt>
                <c:pt idx="13">
                  <c:v>-455558.32</c:v>
                </c:pt>
                <c:pt idx="14">
                  <c:v>-395428.55</c:v>
                </c:pt>
                <c:pt idx="15">
                  <c:v>-214611.1</c:v>
                </c:pt>
                <c:pt idx="16">
                  <c:v>-295800</c:v>
                </c:pt>
                <c:pt idx="17">
                  <c:v>-354394.22</c:v>
                </c:pt>
                <c:pt idx="18">
                  <c:v>-392500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1-EB45-9856-8BF4798E9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976319"/>
        <c:axId val="312959999"/>
      </c:lineChart>
      <c:catAx>
        <c:axId val="301976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12959999"/>
        <c:crosses val="autoZero"/>
        <c:auto val="1"/>
        <c:lblAlgn val="ctr"/>
        <c:lblOffset val="100"/>
        <c:noMultiLvlLbl val="0"/>
      </c:catAx>
      <c:valAx>
        <c:axId val="3129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9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Total</a:t>
            </a:r>
            <a:r>
              <a:rPr lang="es-ES_tradnl" baseline="0"/>
              <a:t> Endeudamientos Contra Stock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Creditos'!$B$22:$T$22</c:f>
              <c:numCache>
                <c:formatCode>"€"#,##0.00_);[Red]\("€"#,##0.00\)</c:formatCode>
                <c:ptCount val="19"/>
                <c:pt idx="0">
                  <c:v>-865240.6</c:v>
                </c:pt>
                <c:pt idx="1">
                  <c:v>-729476.47</c:v>
                </c:pt>
                <c:pt idx="2">
                  <c:v>-612928.34000000008</c:v>
                </c:pt>
                <c:pt idx="3">
                  <c:v>-435461.32999999996</c:v>
                </c:pt>
                <c:pt idx="4">
                  <c:v>-424062.44999999995</c:v>
                </c:pt>
                <c:pt idx="5">
                  <c:v>-431103.6</c:v>
                </c:pt>
                <c:pt idx="6">
                  <c:v>-389828.14</c:v>
                </c:pt>
                <c:pt idx="7">
                  <c:v>-356735.47000000003</c:v>
                </c:pt>
                <c:pt idx="8">
                  <c:v>-370861.54</c:v>
                </c:pt>
                <c:pt idx="9">
                  <c:v>-357913.73</c:v>
                </c:pt>
                <c:pt idx="10">
                  <c:v>-194989.84000000003</c:v>
                </c:pt>
                <c:pt idx="11">
                  <c:v>-188556.43999999994</c:v>
                </c:pt>
                <c:pt idx="12">
                  <c:v>-177746.53000000003</c:v>
                </c:pt>
                <c:pt idx="13">
                  <c:v>-209164.32</c:v>
                </c:pt>
                <c:pt idx="14">
                  <c:v>-177266.55</c:v>
                </c:pt>
                <c:pt idx="15">
                  <c:v>-125833.74</c:v>
                </c:pt>
                <c:pt idx="16">
                  <c:v>-153100.16999999998</c:v>
                </c:pt>
                <c:pt idx="17">
                  <c:v>-195754.94999999995</c:v>
                </c:pt>
                <c:pt idx="18">
                  <c:v>-232206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9-734E-BFD9-123DFB08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067647"/>
        <c:axId val="301032287"/>
      </c:lineChart>
      <c:catAx>
        <c:axId val="313067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032287"/>
        <c:crosses val="autoZero"/>
        <c:auto val="1"/>
        <c:lblAlgn val="ctr"/>
        <c:lblOffset val="100"/>
        <c:noMultiLvlLbl val="0"/>
      </c:catAx>
      <c:valAx>
        <c:axId val="3010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1306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Patrimonio</a:t>
            </a:r>
            <a:r>
              <a:rPr lang="es-ES_tradnl" baseline="0"/>
              <a:t> Personal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Creditos'!$B$32:$T$32</c:f>
              <c:numCache>
                <c:formatCode>"€"#,##0.00_);[Red]\("€"#,##0.00\)</c:formatCode>
                <c:ptCount val="19"/>
                <c:pt idx="0">
                  <c:v>1005000</c:v>
                </c:pt>
                <c:pt idx="1">
                  <c:v>1005000</c:v>
                </c:pt>
                <c:pt idx="2">
                  <c:v>1015000</c:v>
                </c:pt>
                <c:pt idx="3">
                  <c:v>985000</c:v>
                </c:pt>
                <c:pt idx="4">
                  <c:v>983000</c:v>
                </c:pt>
                <c:pt idx="5">
                  <c:v>981000</c:v>
                </c:pt>
                <c:pt idx="6">
                  <c:v>979000</c:v>
                </c:pt>
                <c:pt idx="7">
                  <c:v>985002.8</c:v>
                </c:pt>
                <c:pt idx="8">
                  <c:v>990996.75</c:v>
                </c:pt>
                <c:pt idx="9">
                  <c:v>996940.34</c:v>
                </c:pt>
                <c:pt idx="10">
                  <c:v>1002053</c:v>
                </c:pt>
                <c:pt idx="11">
                  <c:v>1071602.8799999999</c:v>
                </c:pt>
                <c:pt idx="12">
                  <c:v>1151507.75</c:v>
                </c:pt>
                <c:pt idx="13">
                  <c:v>1252177.8700000001</c:v>
                </c:pt>
                <c:pt idx="14">
                  <c:v>1320216.3500000001</c:v>
                </c:pt>
                <c:pt idx="15">
                  <c:v>1374007.01</c:v>
                </c:pt>
                <c:pt idx="16">
                  <c:v>1481458.72</c:v>
                </c:pt>
                <c:pt idx="17">
                  <c:v>1765974.23</c:v>
                </c:pt>
                <c:pt idx="18">
                  <c:v>1788230.22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5-7940-A718-6C533720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990991"/>
        <c:axId val="310215519"/>
      </c:lineChart>
      <c:catAx>
        <c:axId val="309990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10215519"/>
        <c:crosses val="autoZero"/>
        <c:auto val="1"/>
        <c:lblAlgn val="ctr"/>
        <c:lblOffset val="100"/>
        <c:noMultiLvlLbl val="0"/>
      </c:catAx>
      <c:valAx>
        <c:axId val="3102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999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Patrimonio Incluyendo valor Empresa con  Balance de Situación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Creditos'!$B$33:$T$33</c:f>
              <c:numCache>
                <c:formatCode>"€"#,##0.00_);[Red]\("€"#,##0.00\)</c:formatCode>
                <c:ptCount val="19"/>
                <c:pt idx="0">
                  <c:v>499759.4</c:v>
                </c:pt>
                <c:pt idx="1">
                  <c:v>635523.53</c:v>
                </c:pt>
                <c:pt idx="2">
                  <c:v>742071.65999999992</c:v>
                </c:pt>
                <c:pt idx="3">
                  <c:v>889538.67</c:v>
                </c:pt>
                <c:pt idx="4">
                  <c:v>898937.55</c:v>
                </c:pt>
                <c:pt idx="5">
                  <c:v>889896.4</c:v>
                </c:pt>
                <c:pt idx="6">
                  <c:v>929171.86</c:v>
                </c:pt>
                <c:pt idx="7">
                  <c:v>968267.33000000007</c:v>
                </c:pt>
                <c:pt idx="8">
                  <c:v>960135.21</c:v>
                </c:pt>
                <c:pt idx="9">
                  <c:v>1089026.6099999999</c:v>
                </c:pt>
                <c:pt idx="10">
                  <c:v>1257063.1599999999</c:v>
                </c:pt>
                <c:pt idx="11">
                  <c:v>1333046.44</c:v>
                </c:pt>
                <c:pt idx="12">
                  <c:v>1423761.22</c:v>
                </c:pt>
                <c:pt idx="13">
                  <c:v>1493013.55</c:v>
                </c:pt>
                <c:pt idx="14">
                  <c:v>1592949.8</c:v>
                </c:pt>
                <c:pt idx="15">
                  <c:v>1777943.27</c:v>
                </c:pt>
                <c:pt idx="16">
                  <c:v>1858128.55</c:v>
                </c:pt>
                <c:pt idx="17">
                  <c:v>2099989.2800000003</c:v>
                </c:pt>
                <c:pt idx="18">
                  <c:v>2085794.22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E-AD41-8A66-475C47A5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847007"/>
        <c:axId val="362915791"/>
      </c:lineChart>
      <c:catAx>
        <c:axId val="292847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2915791"/>
        <c:crosses val="autoZero"/>
        <c:auto val="1"/>
        <c:lblAlgn val="ctr"/>
        <c:lblOffset val="100"/>
        <c:noMultiLvlLbl val="0"/>
      </c:catAx>
      <c:valAx>
        <c:axId val="362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28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Graficas</a:t>
            </a:r>
            <a:r>
              <a:rPr lang="es-ES_tradnl" baseline="0"/>
              <a:t> Generales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'Retrospectiva Creditos'!$A$16</c:f>
              <c:strCache>
                <c:ptCount val="1"/>
                <c:pt idx="0">
                  <c:v>TOTAL CREDITOS + IMPUESTOS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Creditos'!$B$16:$T$16</c:f>
              <c:numCache>
                <c:formatCode>"€"#,##0.00_);[Red]\("€"#,##0.00\)</c:formatCode>
                <c:ptCount val="19"/>
                <c:pt idx="0">
                  <c:v>-985240.6</c:v>
                </c:pt>
                <c:pt idx="1">
                  <c:v>-849476.47</c:v>
                </c:pt>
                <c:pt idx="2">
                  <c:v>-732928.34000000008</c:v>
                </c:pt>
                <c:pt idx="3">
                  <c:v>-555461.32999999996</c:v>
                </c:pt>
                <c:pt idx="4">
                  <c:v>-569888.44999999995</c:v>
                </c:pt>
                <c:pt idx="5">
                  <c:v>-576929.6</c:v>
                </c:pt>
                <c:pt idx="6">
                  <c:v>-536087.14</c:v>
                </c:pt>
                <c:pt idx="7">
                  <c:v>-507994.47000000003</c:v>
                </c:pt>
                <c:pt idx="8">
                  <c:v>-504450.54</c:v>
                </c:pt>
                <c:pt idx="9">
                  <c:v>-530268.73</c:v>
                </c:pt>
                <c:pt idx="10">
                  <c:v>-350119.84</c:v>
                </c:pt>
                <c:pt idx="11">
                  <c:v>-363593.43999999994</c:v>
                </c:pt>
                <c:pt idx="12">
                  <c:v>-373721.53</c:v>
                </c:pt>
                <c:pt idx="13">
                  <c:v>-455558.32</c:v>
                </c:pt>
                <c:pt idx="14">
                  <c:v>-395428.55</c:v>
                </c:pt>
                <c:pt idx="15">
                  <c:v>-214611.1</c:v>
                </c:pt>
                <c:pt idx="16">
                  <c:v>-295800</c:v>
                </c:pt>
                <c:pt idx="17">
                  <c:v>-354394.22</c:v>
                </c:pt>
                <c:pt idx="18">
                  <c:v>-392500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D-3A4F-8D53-CE112C3DD38F}"/>
            </c:ext>
          </c:extLst>
        </c:ser>
        <c:ser>
          <c:idx val="1"/>
          <c:order val="1"/>
          <c:tx>
            <c:strRef>
              <c:f>'Retrospectiva Creditos'!$A$22</c:f>
              <c:strCache>
                <c:ptCount val="1"/>
                <c:pt idx="0">
                  <c:v>TOTAL DEVE MOVISTAR + CREDITOS + IMPUESTOS + STOCK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Creditos'!$B$22:$T$22</c:f>
              <c:numCache>
                <c:formatCode>"€"#,##0.00_);[Red]\("€"#,##0.00\)</c:formatCode>
                <c:ptCount val="19"/>
                <c:pt idx="0">
                  <c:v>-865240.6</c:v>
                </c:pt>
                <c:pt idx="1">
                  <c:v>-729476.47</c:v>
                </c:pt>
                <c:pt idx="2">
                  <c:v>-612928.34000000008</c:v>
                </c:pt>
                <c:pt idx="3">
                  <c:v>-435461.32999999996</c:v>
                </c:pt>
                <c:pt idx="4">
                  <c:v>-424062.44999999995</c:v>
                </c:pt>
                <c:pt idx="5">
                  <c:v>-431103.6</c:v>
                </c:pt>
                <c:pt idx="6">
                  <c:v>-389828.14</c:v>
                </c:pt>
                <c:pt idx="7">
                  <c:v>-356735.47000000003</c:v>
                </c:pt>
                <c:pt idx="8">
                  <c:v>-370861.54</c:v>
                </c:pt>
                <c:pt idx="9">
                  <c:v>-357913.73</c:v>
                </c:pt>
                <c:pt idx="10">
                  <c:v>-194989.84000000003</c:v>
                </c:pt>
                <c:pt idx="11">
                  <c:v>-188556.43999999994</c:v>
                </c:pt>
                <c:pt idx="12">
                  <c:v>-177746.53000000003</c:v>
                </c:pt>
                <c:pt idx="13">
                  <c:v>-209164.32</c:v>
                </c:pt>
                <c:pt idx="14">
                  <c:v>-177266.55</c:v>
                </c:pt>
                <c:pt idx="15">
                  <c:v>-125833.74</c:v>
                </c:pt>
                <c:pt idx="16">
                  <c:v>-153100.16999999998</c:v>
                </c:pt>
                <c:pt idx="17">
                  <c:v>-195754.94999999995</c:v>
                </c:pt>
                <c:pt idx="18">
                  <c:v>-232206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D-3A4F-8D53-CE112C3DD38F}"/>
            </c:ext>
          </c:extLst>
        </c:ser>
        <c:ser>
          <c:idx val="2"/>
          <c:order val="2"/>
          <c:tx>
            <c:strRef>
              <c:f>'Retrospectiva Creditos'!$A$24</c:f>
              <c:strCache>
                <c:ptCount val="1"/>
                <c:pt idx="0">
                  <c:v>VALOR DE EMPRESA  CON BALANCE DE SITUACIÓN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Creditos'!$B$24:$T$24</c:f>
              <c:numCache>
                <c:formatCode>"€"#,##0.00_);[Red]\("€"#,##0.00\)</c:formatCode>
                <c:ptCount val="19"/>
                <c:pt idx="0">
                  <c:v>-505240.6</c:v>
                </c:pt>
                <c:pt idx="1">
                  <c:v>-369476.47</c:v>
                </c:pt>
                <c:pt idx="2">
                  <c:v>-272928.34000000008</c:v>
                </c:pt>
                <c:pt idx="3">
                  <c:v>-95461.329999999958</c:v>
                </c:pt>
                <c:pt idx="4">
                  <c:v>-84062.449999999953</c:v>
                </c:pt>
                <c:pt idx="5">
                  <c:v>-91103.599999999977</c:v>
                </c:pt>
                <c:pt idx="6">
                  <c:v>-49828.140000000014</c:v>
                </c:pt>
                <c:pt idx="7">
                  <c:v>-16735.47000000003</c:v>
                </c:pt>
                <c:pt idx="8">
                  <c:v>-30861.539999999979</c:v>
                </c:pt>
                <c:pt idx="9">
                  <c:v>92086.270000000019</c:v>
                </c:pt>
                <c:pt idx="10">
                  <c:v>255010.15999999997</c:v>
                </c:pt>
                <c:pt idx="11">
                  <c:v>261443.56000000006</c:v>
                </c:pt>
                <c:pt idx="12">
                  <c:v>272253.46999999997</c:v>
                </c:pt>
                <c:pt idx="13">
                  <c:v>240835.68</c:v>
                </c:pt>
                <c:pt idx="14">
                  <c:v>272733.45</c:v>
                </c:pt>
                <c:pt idx="15">
                  <c:v>403936.26</c:v>
                </c:pt>
                <c:pt idx="16">
                  <c:v>376669.83</c:v>
                </c:pt>
                <c:pt idx="17">
                  <c:v>334015.05000000005</c:v>
                </c:pt>
                <c:pt idx="18">
                  <c:v>297564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3D-3A4F-8D53-CE112C3DD38F}"/>
            </c:ext>
          </c:extLst>
        </c:ser>
        <c:ser>
          <c:idx val="3"/>
          <c:order val="3"/>
          <c:tx>
            <c:strRef>
              <c:f>'Retrospectiva Creditos'!$A$32</c:f>
              <c:strCache>
                <c:ptCount val="1"/>
                <c:pt idx="0">
                  <c:v>PATRIMONIO PERSONAL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Creditos'!$B$32:$T$32</c:f>
              <c:numCache>
                <c:formatCode>"€"#,##0.00_);[Red]\("€"#,##0.00\)</c:formatCode>
                <c:ptCount val="19"/>
                <c:pt idx="0">
                  <c:v>1005000</c:v>
                </c:pt>
                <c:pt idx="1">
                  <c:v>1005000</c:v>
                </c:pt>
                <c:pt idx="2">
                  <c:v>1015000</c:v>
                </c:pt>
                <c:pt idx="3">
                  <c:v>985000</c:v>
                </c:pt>
                <c:pt idx="4">
                  <c:v>983000</c:v>
                </c:pt>
                <c:pt idx="5">
                  <c:v>981000</c:v>
                </c:pt>
                <c:pt idx="6">
                  <c:v>979000</c:v>
                </c:pt>
                <c:pt idx="7">
                  <c:v>985002.8</c:v>
                </c:pt>
                <c:pt idx="8">
                  <c:v>990996.75</c:v>
                </c:pt>
                <c:pt idx="9">
                  <c:v>996940.34</c:v>
                </c:pt>
                <c:pt idx="10">
                  <c:v>1002053</c:v>
                </c:pt>
                <c:pt idx="11">
                  <c:v>1071602.8799999999</c:v>
                </c:pt>
                <c:pt idx="12">
                  <c:v>1151507.75</c:v>
                </c:pt>
                <c:pt idx="13">
                  <c:v>1252177.8700000001</c:v>
                </c:pt>
                <c:pt idx="14">
                  <c:v>1320216.3500000001</c:v>
                </c:pt>
                <c:pt idx="15">
                  <c:v>1374007.01</c:v>
                </c:pt>
                <c:pt idx="16">
                  <c:v>1481458.72</c:v>
                </c:pt>
                <c:pt idx="17">
                  <c:v>1765974.23</c:v>
                </c:pt>
                <c:pt idx="18">
                  <c:v>1788230.22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3D-3A4F-8D53-CE112C3DD38F}"/>
            </c:ext>
          </c:extLst>
        </c:ser>
        <c:ser>
          <c:idx val="4"/>
          <c:order val="4"/>
          <c:tx>
            <c:strRef>
              <c:f>'Retrospectiva Creditos'!$A$33</c:f>
              <c:strCache>
                <c:ptCount val="1"/>
                <c:pt idx="0">
                  <c:v>Patrimonio Incluyendo valor Empresa con  Balance de Situación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'Retrospectiva Creditos'!$B$33:$T$33</c:f>
              <c:numCache>
                <c:formatCode>"€"#,##0.00_);[Red]\("€"#,##0.00\)</c:formatCode>
                <c:ptCount val="19"/>
                <c:pt idx="0">
                  <c:v>499759.4</c:v>
                </c:pt>
                <c:pt idx="1">
                  <c:v>635523.53</c:v>
                </c:pt>
                <c:pt idx="2">
                  <c:v>742071.65999999992</c:v>
                </c:pt>
                <c:pt idx="3">
                  <c:v>889538.67</c:v>
                </c:pt>
                <c:pt idx="4">
                  <c:v>898937.55</c:v>
                </c:pt>
                <c:pt idx="5">
                  <c:v>889896.4</c:v>
                </c:pt>
                <c:pt idx="6">
                  <c:v>929171.86</c:v>
                </c:pt>
                <c:pt idx="7">
                  <c:v>968267.33000000007</c:v>
                </c:pt>
                <c:pt idx="8">
                  <c:v>960135.21</c:v>
                </c:pt>
                <c:pt idx="9">
                  <c:v>1089026.6099999999</c:v>
                </c:pt>
                <c:pt idx="10">
                  <c:v>1257063.1599999999</c:v>
                </c:pt>
                <c:pt idx="11">
                  <c:v>1333046.44</c:v>
                </c:pt>
                <c:pt idx="12">
                  <c:v>1423761.22</c:v>
                </c:pt>
                <c:pt idx="13">
                  <c:v>1493013.55</c:v>
                </c:pt>
                <c:pt idx="14">
                  <c:v>1592949.8</c:v>
                </c:pt>
                <c:pt idx="15">
                  <c:v>1777943.27</c:v>
                </c:pt>
                <c:pt idx="16">
                  <c:v>1858128.55</c:v>
                </c:pt>
                <c:pt idx="17">
                  <c:v>2099989.2800000003</c:v>
                </c:pt>
                <c:pt idx="18">
                  <c:v>2085794.22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3D-3A4F-8D53-CE112C3DD38F}"/>
            </c:ext>
          </c:extLst>
        </c:ser>
        <c:ser>
          <c:idx val="5"/>
          <c:order val="5"/>
          <c:tx>
            <c:strRef>
              <c:f>'Retrospectiva Creditos'!$A$34</c:f>
              <c:strCache>
                <c:ptCount val="1"/>
                <c:pt idx="0">
                  <c:v>Ganancias por Año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'Retrospectiva Creditos'!$B$34:$T$34</c:f>
              <c:numCache>
                <c:formatCode>"€"#,##0.00_);[Red]\("€"#,##0.00\)</c:formatCode>
                <c:ptCount val="19"/>
                <c:pt idx="0" formatCode="General">
                  <c:v>0</c:v>
                </c:pt>
                <c:pt idx="1">
                  <c:v>135764.13</c:v>
                </c:pt>
                <c:pt idx="2">
                  <c:v>106548.12999999989</c:v>
                </c:pt>
                <c:pt idx="3">
                  <c:v>147467.01000000013</c:v>
                </c:pt>
                <c:pt idx="4">
                  <c:v>9398.8800000000047</c:v>
                </c:pt>
                <c:pt idx="5">
                  <c:v>-9041.1500000000233</c:v>
                </c:pt>
                <c:pt idx="6">
                  <c:v>39275.459999999963</c:v>
                </c:pt>
                <c:pt idx="7">
                  <c:v>39095.470000000088</c:v>
                </c:pt>
                <c:pt idx="8">
                  <c:v>-8132.1200000001118</c:v>
                </c:pt>
                <c:pt idx="9">
                  <c:v>128891.39999999991</c:v>
                </c:pt>
                <c:pt idx="10">
                  <c:v>168036.55000000005</c:v>
                </c:pt>
                <c:pt idx="11">
                  <c:v>75983.280000000028</c:v>
                </c:pt>
                <c:pt idx="12">
                  <c:v>90714.780000000028</c:v>
                </c:pt>
                <c:pt idx="13">
                  <c:v>69252.330000000075</c:v>
                </c:pt>
                <c:pt idx="14">
                  <c:v>99936.25</c:v>
                </c:pt>
                <c:pt idx="15">
                  <c:v>184993.46999999997</c:v>
                </c:pt>
                <c:pt idx="16">
                  <c:v>80185.280000000028</c:v>
                </c:pt>
                <c:pt idx="17">
                  <c:v>241860.73000000021</c:v>
                </c:pt>
                <c:pt idx="18">
                  <c:v>-14195.060000000289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3D-3A4F-8D53-CE112C3D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867167"/>
        <c:axId val="368446591"/>
      </c:lineChart>
      <c:catAx>
        <c:axId val="301867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8446591"/>
        <c:crosses val="autoZero"/>
        <c:auto val="1"/>
        <c:lblAlgn val="ctr"/>
        <c:lblOffset val="100"/>
        <c:noMultiLvlLbl val="0"/>
      </c:catAx>
      <c:valAx>
        <c:axId val="3684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8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5288</xdr:colOff>
      <xdr:row>34</xdr:row>
      <xdr:rowOff>19920</xdr:rowOff>
    </xdr:from>
    <xdr:to>
      <xdr:col>19</xdr:col>
      <xdr:colOff>1105319</xdr:colOff>
      <xdr:row>51</xdr:row>
      <xdr:rowOff>47897</xdr:rowOff>
    </xdr:to>
    <xdr:graphicFrame macro="">
      <xdr:nvGraphicFramePr>
        <xdr:cNvPr id="5785" name="Gráfico 1">
          <a:extLst>
            <a:ext uri="{FF2B5EF4-FFF2-40B4-BE49-F238E27FC236}">
              <a16:creationId xmlns:a16="http://schemas.microsoft.com/office/drawing/2014/main" id="{16F1D585-05B4-9D40-B2BB-8FC8344E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698096</xdr:colOff>
      <xdr:row>101</xdr:row>
      <xdr:rowOff>148869</xdr:rowOff>
    </xdr:from>
    <xdr:to>
      <xdr:col>20</xdr:col>
      <xdr:colOff>15864</xdr:colOff>
      <xdr:row>118</xdr:row>
      <xdr:rowOff>123470</xdr:rowOff>
    </xdr:to>
    <xdr:graphicFrame macro="">
      <xdr:nvGraphicFramePr>
        <xdr:cNvPr id="5786" name="Gráfico 2">
          <a:extLst>
            <a:ext uri="{FF2B5EF4-FFF2-40B4-BE49-F238E27FC236}">
              <a16:creationId xmlns:a16="http://schemas.microsoft.com/office/drawing/2014/main" id="{D5C8E09A-5023-3848-8094-6CDE3127C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698096</xdr:colOff>
      <xdr:row>69</xdr:row>
      <xdr:rowOff>23351</xdr:rowOff>
    </xdr:from>
    <xdr:to>
      <xdr:col>19</xdr:col>
      <xdr:colOff>1105320</xdr:colOff>
      <xdr:row>84</xdr:row>
      <xdr:rowOff>125884</xdr:rowOff>
    </xdr:to>
    <xdr:graphicFrame macro="">
      <xdr:nvGraphicFramePr>
        <xdr:cNvPr id="5787" name="Gráfico 1">
          <a:extLst>
            <a:ext uri="{FF2B5EF4-FFF2-40B4-BE49-F238E27FC236}">
              <a16:creationId xmlns:a16="http://schemas.microsoft.com/office/drawing/2014/main" id="{9E958664-2FCD-4D45-8378-65192FCED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698096</xdr:colOff>
      <xdr:row>51</xdr:row>
      <xdr:rowOff>58287</xdr:rowOff>
    </xdr:from>
    <xdr:to>
      <xdr:col>19</xdr:col>
      <xdr:colOff>1100031</xdr:colOff>
      <xdr:row>68</xdr:row>
      <xdr:rowOff>211619</xdr:rowOff>
    </xdr:to>
    <xdr:graphicFrame macro="">
      <xdr:nvGraphicFramePr>
        <xdr:cNvPr id="5788" name="Gráfico 1">
          <a:extLst>
            <a:ext uri="{FF2B5EF4-FFF2-40B4-BE49-F238E27FC236}">
              <a16:creationId xmlns:a16="http://schemas.microsoft.com/office/drawing/2014/main" id="{EBD8C57D-EB35-554C-A1FC-0D110191E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708673</xdr:colOff>
      <xdr:row>118</xdr:row>
      <xdr:rowOff>151678</xdr:rowOff>
    </xdr:from>
    <xdr:to>
      <xdr:col>20</xdr:col>
      <xdr:colOff>21153</xdr:colOff>
      <xdr:row>136</xdr:row>
      <xdr:rowOff>25971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E6C3CE-FC00-41E6-8120-901F7844C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703385</xdr:colOff>
      <xdr:row>84</xdr:row>
      <xdr:rowOff>154770</xdr:rowOff>
    </xdr:from>
    <xdr:to>
      <xdr:col>20</xdr:col>
      <xdr:colOff>2</xdr:colOff>
      <xdr:row>101</xdr:row>
      <xdr:rowOff>129368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D516DF10-8741-4538-B663-2392C88E1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23091</xdr:colOff>
      <xdr:row>0</xdr:row>
      <xdr:rowOff>36058</xdr:rowOff>
    </xdr:from>
    <xdr:to>
      <xdr:col>24</xdr:col>
      <xdr:colOff>541748</xdr:colOff>
      <xdr:row>16</xdr:row>
      <xdr:rowOff>17763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9BDBF3-CEA6-4FA9-38C2-064C3FF4B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14210</xdr:colOff>
      <xdr:row>15</xdr:row>
      <xdr:rowOff>187036</xdr:rowOff>
    </xdr:from>
    <xdr:to>
      <xdr:col>24</xdr:col>
      <xdr:colOff>523985</xdr:colOff>
      <xdr:row>23</xdr:row>
      <xdr:rowOff>204265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9867AD1-9A44-7335-B884-23B41D9C0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564839</xdr:colOff>
      <xdr:row>0</xdr:row>
      <xdr:rowOff>18295</xdr:rowOff>
    </xdr:from>
    <xdr:to>
      <xdr:col>28</xdr:col>
      <xdr:colOff>1030210</xdr:colOff>
      <xdr:row>15</xdr:row>
      <xdr:rowOff>168741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A723F55-7EEC-567D-72D4-561CE80D8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5329</xdr:colOff>
      <xdr:row>23</xdr:row>
      <xdr:rowOff>204798</xdr:rowOff>
    </xdr:from>
    <xdr:to>
      <xdr:col>24</xdr:col>
      <xdr:colOff>515105</xdr:colOff>
      <xdr:row>33</xdr:row>
      <xdr:rowOff>17762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F681ADA-C30D-7103-406F-0C15D84A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914759</xdr:colOff>
      <xdr:row>0</xdr:row>
      <xdr:rowOff>44939</xdr:rowOff>
    </xdr:from>
    <xdr:to>
      <xdr:col>36</xdr:col>
      <xdr:colOff>159860</xdr:colOff>
      <xdr:row>33</xdr:row>
      <xdr:rowOff>239790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10E612E-5F60-39E1-CC94-4E0AA863C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499984740745262"/>
  </sheetPr>
  <dimension ref="A1:V118"/>
  <sheetViews>
    <sheetView tabSelected="1" zoomScale="104" zoomScaleNormal="94" workbookViewId="0">
      <pane xSplit="1" topLeftCell="L1" activePane="topRight" state="frozen"/>
      <selection activeCell="A2" sqref="A2"/>
      <selection pane="topRight" activeCell="O6" sqref="O6"/>
    </sheetView>
  </sheetViews>
  <sheetFormatPr baseColWidth="10" defaultColWidth="11.296875" defaultRowHeight="17.25" customHeight="1" x14ac:dyDescent="0.35"/>
  <cols>
    <col min="1" max="1" width="30.44921875" style="142" customWidth="1"/>
    <col min="2" max="2" width="10.046875" style="142" bestFit="1" customWidth="1"/>
    <col min="3" max="5" width="10.8984375" style="142" bestFit="1" customWidth="1"/>
    <col min="6" max="10" width="10.19921875" style="142" bestFit="1" customWidth="1"/>
    <col min="11" max="13" width="11.59765625" style="142" bestFit="1" customWidth="1"/>
    <col min="14" max="16" width="11.59765625" style="181" bestFit="1" customWidth="1"/>
    <col min="17" max="19" width="11.59765625" style="181" customWidth="1"/>
    <col min="20" max="20" width="11.59765625" style="181" bestFit="1" customWidth="1"/>
    <col min="21" max="21" width="11" style="142" bestFit="1" customWidth="1"/>
    <col min="22" max="22" width="11.3984375" style="142" bestFit="1" customWidth="1"/>
    <col min="23" max="16384" width="11.296875" style="142"/>
  </cols>
  <sheetData>
    <row r="1" spans="1:22" ht="17.45" customHeight="1" thickBot="1" x14ac:dyDescent="0.4">
      <c r="A1" s="227" t="str">
        <f>'Liquidez Angel Luis'!B2</f>
        <v>A FECHA 4 de Mayo 2026</v>
      </c>
      <c r="B1" s="171">
        <v>2008</v>
      </c>
      <c r="C1" s="177">
        <v>2009</v>
      </c>
      <c r="D1" s="177">
        <v>2010</v>
      </c>
      <c r="E1" s="177">
        <v>2011</v>
      </c>
      <c r="F1" s="177">
        <v>2012</v>
      </c>
      <c r="G1" s="177">
        <v>2013</v>
      </c>
      <c r="H1" s="177">
        <v>2014</v>
      </c>
      <c r="I1" s="177">
        <v>2015</v>
      </c>
      <c r="J1" s="177">
        <v>2016</v>
      </c>
      <c r="K1" s="177">
        <v>2017</v>
      </c>
      <c r="L1" s="177">
        <v>2018</v>
      </c>
      <c r="M1" s="177">
        <v>2019</v>
      </c>
      <c r="N1" s="196">
        <v>2020</v>
      </c>
      <c r="O1" s="196">
        <v>2021</v>
      </c>
      <c r="P1" s="196">
        <v>2022</v>
      </c>
      <c r="Q1" s="196">
        <v>2023</v>
      </c>
      <c r="R1" s="196">
        <v>2024</v>
      </c>
      <c r="S1" s="196">
        <v>2025</v>
      </c>
      <c r="T1" s="178">
        <v>2026</v>
      </c>
      <c r="U1" s="181"/>
      <c r="V1" s="181"/>
    </row>
    <row r="2" spans="1:22" ht="17.100000000000001" customHeight="1" thickBot="1" x14ac:dyDescent="0.4">
      <c r="A2" s="205" t="s">
        <v>264</v>
      </c>
      <c r="B2" s="206"/>
      <c r="C2" s="206"/>
      <c r="D2" s="206"/>
      <c r="E2" s="206"/>
      <c r="F2" s="206">
        <v>-109844</v>
      </c>
      <c r="G2" s="206">
        <v>-109844</v>
      </c>
      <c r="H2" s="206">
        <v>-109844</v>
      </c>
      <c r="I2" s="207">
        <v>-139789</v>
      </c>
      <c r="J2" s="207">
        <v>-150053</v>
      </c>
      <c r="K2" s="207">
        <v>-125695</v>
      </c>
      <c r="L2" s="207">
        <v>-159432.82</v>
      </c>
      <c r="M2" s="207">
        <v>-180558.71</v>
      </c>
      <c r="N2" s="208">
        <v>-170057.72</v>
      </c>
      <c r="O2" s="208">
        <v>-178953.32</v>
      </c>
      <c r="P2" s="208">
        <v>-119518</v>
      </c>
      <c r="Q2" s="208">
        <v>37398.15</v>
      </c>
      <c r="R2" s="208">
        <v>-37500</v>
      </c>
      <c r="S2" s="208">
        <v>-20000</v>
      </c>
      <c r="T2" s="208">
        <v>-88000</v>
      </c>
      <c r="U2" s="181"/>
      <c r="V2" s="181"/>
    </row>
    <row r="3" spans="1:22" ht="17.100000000000001" customHeight="1" thickBot="1" x14ac:dyDescent="0.4">
      <c r="A3" s="205" t="s">
        <v>262</v>
      </c>
      <c r="B3" s="206"/>
      <c r="C3" s="206"/>
      <c r="D3" s="206"/>
      <c r="E3" s="206"/>
      <c r="F3" s="206"/>
      <c r="G3" s="206"/>
      <c r="H3" s="206"/>
      <c r="I3" s="207"/>
      <c r="J3" s="207"/>
      <c r="K3" s="207"/>
      <c r="L3" s="207"/>
      <c r="M3" s="207"/>
      <c r="N3" s="208"/>
      <c r="O3" s="208">
        <v>2006.78</v>
      </c>
      <c r="P3" s="208">
        <v>5476.45</v>
      </c>
      <c r="Q3" s="208">
        <v>4250.21</v>
      </c>
      <c r="R3" s="208">
        <v>6700</v>
      </c>
      <c r="S3" s="208">
        <v>605.78</v>
      </c>
      <c r="T3" s="208">
        <v>0</v>
      </c>
      <c r="U3" s="181"/>
      <c r="V3" s="181"/>
    </row>
    <row r="4" spans="1:22" ht="17.25" hidden="1" customHeight="1" thickBot="1" x14ac:dyDescent="0.4">
      <c r="A4" s="205" t="s">
        <v>280</v>
      </c>
      <c r="B4" s="206"/>
      <c r="C4" s="206"/>
      <c r="D4" s="206"/>
      <c r="E4" s="206"/>
      <c r="F4" s="206"/>
      <c r="G4" s="206"/>
      <c r="H4" s="206"/>
      <c r="I4" s="207"/>
      <c r="J4" s="207"/>
      <c r="K4" s="207"/>
      <c r="L4" s="207"/>
      <c r="M4" s="207"/>
      <c r="N4" s="208">
        <v>-146212.72</v>
      </c>
      <c r="O4" s="208">
        <v>-96041.78</v>
      </c>
      <c r="P4" s="208">
        <v>0</v>
      </c>
      <c r="Q4" s="208">
        <v>0</v>
      </c>
      <c r="R4" s="208">
        <v>0</v>
      </c>
      <c r="S4" s="208">
        <v>0</v>
      </c>
      <c r="T4" s="208">
        <v>0</v>
      </c>
      <c r="U4" s="181"/>
      <c r="V4" s="181"/>
    </row>
    <row r="5" spans="1:22" ht="17.100000000000001" customHeight="1" thickBot="1" x14ac:dyDescent="0.4">
      <c r="A5" s="323" t="s">
        <v>268</v>
      </c>
      <c r="B5" s="206"/>
      <c r="C5" s="206"/>
      <c r="D5" s="206"/>
      <c r="E5" s="206"/>
      <c r="F5" s="206"/>
      <c r="G5" s="206"/>
      <c r="H5" s="206"/>
      <c r="I5" s="207"/>
      <c r="J5" s="207"/>
      <c r="K5" s="207" t="s">
        <v>282</v>
      </c>
      <c r="L5" s="207">
        <v>45293.46</v>
      </c>
      <c r="M5" s="207">
        <v>10437.26</v>
      </c>
      <c r="N5" s="208">
        <v>3500.91</v>
      </c>
      <c r="O5" s="208">
        <v>2970</v>
      </c>
      <c r="P5" s="208">
        <v>2970</v>
      </c>
      <c r="Q5" s="208">
        <v>2970</v>
      </c>
      <c r="R5" s="208">
        <v>0</v>
      </c>
      <c r="S5" s="208">
        <v>0</v>
      </c>
      <c r="T5" s="208">
        <v>0</v>
      </c>
      <c r="U5" s="181"/>
      <c r="V5" s="181"/>
    </row>
    <row r="6" spans="1:22" ht="17.25" customHeight="1" thickBot="1" x14ac:dyDescent="0.4">
      <c r="A6" s="209" t="s">
        <v>281</v>
      </c>
      <c r="B6" s="206"/>
      <c r="C6" s="206"/>
      <c r="D6" s="206"/>
      <c r="E6" s="206"/>
      <c r="F6" s="206"/>
      <c r="G6" s="206"/>
      <c r="H6" s="206"/>
      <c r="I6" s="207"/>
      <c r="J6" s="207"/>
      <c r="K6" s="207"/>
      <c r="L6" s="207"/>
      <c r="M6" s="207"/>
      <c r="N6" s="208"/>
      <c r="O6" s="208">
        <v>-5540</v>
      </c>
      <c r="P6" s="208">
        <v>0</v>
      </c>
      <c r="Q6" s="208">
        <v>2.17</v>
      </c>
      <c r="R6" s="208">
        <v>0</v>
      </c>
      <c r="S6" s="208">
        <v>0</v>
      </c>
      <c r="T6" s="208">
        <v>0</v>
      </c>
      <c r="U6" s="181"/>
      <c r="V6" s="181"/>
    </row>
    <row r="7" spans="1:22" ht="17.25" customHeight="1" thickBot="1" x14ac:dyDescent="0.4">
      <c r="A7" s="205" t="s">
        <v>254</v>
      </c>
      <c r="B7" s="207">
        <v>-101127.89</v>
      </c>
      <c r="C7" s="207">
        <v>-101127.89</v>
      </c>
      <c r="D7" s="207">
        <v>-101127.89</v>
      </c>
      <c r="E7" s="207">
        <v>-101127.89</v>
      </c>
      <c r="F7" s="207">
        <v>-101127.89</v>
      </c>
      <c r="G7" s="207">
        <v>-101127.89</v>
      </c>
      <c r="H7" s="207">
        <v>-101127.89</v>
      </c>
      <c r="I7" s="207">
        <v>-101127.89</v>
      </c>
      <c r="J7" s="207">
        <v>-66650.09</v>
      </c>
      <c r="K7" s="207">
        <v>-83625.440000000002</v>
      </c>
      <c r="L7" s="207">
        <v>-88603.68</v>
      </c>
      <c r="M7" s="207">
        <v>-86514.63</v>
      </c>
      <c r="N7" s="208">
        <v>-67297</v>
      </c>
      <c r="O7" s="208">
        <v>-35000</v>
      </c>
      <c r="P7" s="208">
        <v>-49357</v>
      </c>
      <c r="Q7" s="208">
        <v>-59231.63</v>
      </c>
      <c r="R7" s="208">
        <v>-30000</v>
      </c>
      <c r="S7" s="208">
        <v>-30000</v>
      </c>
      <c r="T7" s="208">
        <v>0</v>
      </c>
      <c r="U7" s="181"/>
      <c r="V7" s="181"/>
    </row>
    <row r="8" spans="1:22" ht="17.25" hidden="1" customHeight="1" thickBot="1" x14ac:dyDescent="0.4">
      <c r="A8" s="205" t="s">
        <v>195</v>
      </c>
      <c r="B8" s="206"/>
      <c r="C8" s="206"/>
      <c r="D8" s="206"/>
      <c r="E8" s="206"/>
      <c r="F8" s="206"/>
      <c r="G8" s="206">
        <v>-17500</v>
      </c>
      <c r="H8" s="206">
        <v>-17500</v>
      </c>
      <c r="I8" s="207">
        <v>-17500</v>
      </c>
      <c r="J8" s="207">
        <v>-25009</v>
      </c>
      <c r="K8" s="207">
        <v>-10000</v>
      </c>
      <c r="L8" s="207">
        <v>-40000</v>
      </c>
      <c r="M8" s="207">
        <v>-60000</v>
      </c>
      <c r="N8" s="208">
        <v>6345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  <c r="U8" s="181"/>
      <c r="V8" s="181"/>
    </row>
    <row r="9" spans="1:22" ht="21" hidden="1" customHeight="1" thickBot="1" x14ac:dyDescent="0.4">
      <c r="A9" s="205" t="s">
        <v>233</v>
      </c>
      <c r="B9" s="206"/>
      <c r="C9" s="206"/>
      <c r="D9" s="206"/>
      <c r="E9" s="206"/>
      <c r="F9" s="206"/>
      <c r="G9" s="206">
        <v>-30000</v>
      </c>
      <c r="H9" s="206">
        <v>-30000</v>
      </c>
      <c r="I9" s="207">
        <v>-30000</v>
      </c>
      <c r="J9" s="207">
        <v>-24000</v>
      </c>
      <c r="K9" s="207">
        <v>-12000</v>
      </c>
      <c r="L9" s="207">
        <v>0</v>
      </c>
      <c r="M9" s="207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181"/>
      <c r="V9" s="181"/>
    </row>
    <row r="10" spans="1:22" ht="21" hidden="1" customHeight="1" thickBot="1" x14ac:dyDescent="0.4">
      <c r="A10" s="205" t="s">
        <v>232</v>
      </c>
      <c r="B10" s="206"/>
      <c r="C10" s="206"/>
      <c r="D10" s="206"/>
      <c r="E10" s="206"/>
      <c r="F10" s="206"/>
      <c r="G10" s="206"/>
      <c r="H10" s="206"/>
      <c r="I10" s="207"/>
      <c r="J10" s="207">
        <v>-73079</v>
      </c>
      <c r="K10" s="207">
        <v>0</v>
      </c>
      <c r="L10" s="207">
        <v>0</v>
      </c>
      <c r="M10" s="207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181"/>
      <c r="V10" s="181"/>
    </row>
    <row r="11" spans="1:22" ht="21" hidden="1" customHeight="1" thickBot="1" x14ac:dyDescent="0.4">
      <c r="A11" s="205" t="s">
        <v>32</v>
      </c>
      <c r="B11" s="206"/>
      <c r="C11" s="206"/>
      <c r="D11" s="206"/>
      <c r="E11" s="206"/>
      <c r="F11" s="206"/>
      <c r="G11" s="206"/>
      <c r="H11" s="206"/>
      <c r="I11" s="207"/>
      <c r="J11" s="207"/>
      <c r="K11" s="207">
        <v>-34000</v>
      </c>
      <c r="L11" s="207">
        <v>0</v>
      </c>
      <c r="M11" s="207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181"/>
      <c r="V11" s="181"/>
    </row>
    <row r="12" spans="1:22" ht="21" hidden="1" customHeight="1" thickBot="1" x14ac:dyDescent="0.4">
      <c r="A12" s="209" t="s">
        <v>231</v>
      </c>
      <c r="B12" s="206"/>
      <c r="C12" s="206"/>
      <c r="D12" s="206"/>
      <c r="E12" s="206"/>
      <c r="F12" s="206"/>
      <c r="G12" s="206"/>
      <c r="H12" s="206"/>
      <c r="I12" s="207"/>
      <c r="J12" s="207"/>
      <c r="K12" s="207">
        <v>-81203</v>
      </c>
      <c r="L12" s="207">
        <v>0</v>
      </c>
      <c r="M12" s="207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181"/>
      <c r="V12" s="181"/>
    </row>
    <row r="13" spans="1:22" ht="21" hidden="1" customHeight="1" thickBot="1" x14ac:dyDescent="0.4">
      <c r="A13" s="209" t="s">
        <v>206</v>
      </c>
      <c r="B13" s="206">
        <v>-760404.38</v>
      </c>
      <c r="C13" s="206">
        <v>-448520.88</v>
      </c>
      <c r="D13" s="206">
        <v>-396289.4</v>
      </c>
      <c r="E13" s="206">
        <v>-319620.98</v>
      </c>
      <c r="F13" s="206">
        <v>-232943.62</v>
      </c>
      <c r="G13" s="206">
        <v>-201512.6</v>
      </c>
      <c r="H13" s="206">
        <v>-169995.78</v>
      </c>
      <c r="I13" s="207">
        <v>-128403.06</v>
      </c>
      <c r="J13" s="207">
        <v>-86727.94</v>
      </c>
      <c r="K13" s="207">
        <v>-47779.63</v>
      </c>
      <c r="L13" s="207">
        <v>-15877.57</v>
      </c>
      <c r="M13" s="207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181"/>
      <c r="V13" s="181"/>
    </row>
    <row r="14" spans="1:22" ht="14.1" customHeight="1" thickBot="1" x14ac:dyDescent="0.4">
      <c r="A14" s="205" t="s">
        <v>33</v>
      </c>
      <c r="B14" s="206"/>
      <c r="C14" s="206"/>
      <c r="D14" s="206"/>
      <c r="E14" s="206"/>
      <c r="F14" s="206"/>
      <c r="G14" s="206"/>
      <c r="H14" s="206"/>
      <c r="I14" s="207"/>
      <c r="J14" s="207"/>
      <c r="K14" s="207">
        <v>-80000</v>
      </c>
      <c r="L14" s="207">
        <v>-51662.67</v>
      </c>
      <c r="M14" s="207">
        <v>-46957.36</v>
      </c>
      <c r="N14" s="208">
        <v>0</v>
      </c>
      <c r="O14" s="208">
        <v>-145000</v>
      </c>
      <c r="P14" s="208">
        <v>-235000</v>
      </c>
      <c r="Q14" s="208">
        <v>-200000</v>
      </c>
      <c r="R14" s="208">
        <v>-235000</v>
      </c>
      <c r="S14" s="208">
        <v>-305000</v>
      </c>
      <c r="T14" s="208">
        <v>-304500</v>
      </c>
      <c r="U14" s="181"/>
      <c r="V14" s="181"/>
    </row>
    <row r="15" spans="1:22" ht="17.45" hidden="1" customHeight="1" thickBot="1" x14ac:dyDescent="0.4">
      <c r="A15" s="303" t="s">
        <v>34</v>
      </c>
      <c r="B15" s="304">
        <v>-123708.33</v>
      </c>
      <c r="C15" s="304">
        <v>-299827.7</v>
      </c>
      <c r="D15" s="304">
        <v>-235511.05</v>
      </c>
      <c r="E15" s="304">
        <v>-134712.46</v>
      </c>
      <c r="F15" s="304">
        <v>-125972.94</v>
      </c>
      <c r="G15" s="304">
        <v>-116945.11</v>
      </c>
      <c r="H15" s="304">
        <v>-107619.47</v>
      </c>
      <c r="I15" s="304">
        <v>-91174.52</v>
      </c>
      <c r="J15" s="304">
        <v>-78931.509999999995</v>
      </c>
      <c r="K15" s="304">
        <v>-55965.66</v>
      </c>
      <c r="L15" s="304">
        <v>-39836.559999999998</v>
      </c>
      <c r="M15" s="304">
        <v>0</v>
      </c>
      <c r="N15" s="305">
        <v>0</v>
      </c>
      <c r="O15" s="305">
        <v>0</v>
      </c>
      <c r="P15" s="305">
        <v>0</v>
      </c>
      <c r="Q15" s="305">
        <v>0</v>
      </c>
      <c r="R15" s="305">
        <v>0</v>
      </c>
      <c r="S15" s="305">
        <v>0</v>
      </c>
      <c r="T15" s="305">
        <v>0</v>
      </c>
      <c r="U15" s="181"/>
      <c r="V15" s="181"/>
    </row>
    <row r="16" spans="1:22" ht="14.65" x14ac:dyDescent="0.35">
      <c r="A16" s="306" t="s">
        <v>309</v>
      </c>
      <c r="B16" s="307">
        <f t="shared" ref="B16:T16" si="0">SUM(B2:B15)</f>
        <v>-985240.6</v>
      </c>
      <c r="C16" s="307">
        <f t="shared" si="0"/>
        <v>-849476.47</v>
      </c>
      <c r="D16" s="307">
        <f t="shared" si="0"/>
        <v>-732928.34000000008</v>
      </c>
      <c r="E16" s="307">
        <f t="shared" si="0"/>
        <v>-555461.32999999996</v>
      </c>
      <c r="F16" s="307">
        <f t="shared" si="0"/>
        <v>-569888.44999999995</v>
      </c>
      <c r="G16" s="307">
        <f t="shared" si="0"/>
        <v>-576929.6</v>
      </c>
      <c r="H16" s="307">
        <f t="shared" si="0"/>
        <v>-536087.14</v>
      </c>
      <c r="I16" s="307">
        <f t="shared" si="0"/>
        <v>-507994.47000000003</v>
      </c>
      <c r="J16" s="307">
        <f t="shared" si="0"/>
        <v>-504450.54</v>
      </c>
      <c r="K16" s="307">
        <f t="shared" si="0"/>
        <v>-530268.73</v>
      </c>
      <c r="L16" s="307">
        <f t="shared" si="0"/>
        <v>-350119.84</v>
      </c>
      <c r="M16" s="307">
        <f t="shared" si="0"/>
        <v>-363593.43999999994</v>
      </c>
      <c r="N16" s="308">
        <f t="shared" si="0"/>
        <v>-373721.53</v>
      </c>
      <c r="O16" s="308">
        <f t="shared" si="0"/>
        <v>-455558.32</v>
      </c>
      <c r="P16" s="308">
        <f t="shared" si="0"/>
        <v>-395428.55</v>
      </c>
      <c r="Q16" s="308">
        <f t="shared" ref="Q16:S16" si="1">SUM(Q2:Q15)</f>
        <v>-214611.1</v>
      </c>
      <c r="R16" s="308">
        <f t="shared" si="1"/>
        <v>-295800</v>
      </c>
      <c r="S16" s="308">
        <f t="shared" si="1"/>
        <v>-354394.22</v>
      </c>
      <c r="T16" s="308">
        <f t="shared" si="0"/>
        <v>-392500</v>
      </c>
      <c r="U16" s="181"/>
      <c r="V16" s="181"/>
    </row>
    <row r="17" spans="1:22" ht="17.25" customHeight="1" thickBot="1" x14ac:dyDescent="0.4">
      <c r="A17" s="299" t="s">
        <v>197</v>
      </c>
      <c r="B17" s="300">
        <v>40000</v>
      </c>
      <c r="C17" s="300">
        <v>40000</v>
      </c>
      <c r="D17" s="300">
        <v>40000</v>
      </c>
      <c r="E17" s="300">
        <v>40000</v>
      </c>
      <c r="F17" s="300">
        <v>40000</v>
      </c>
      <c r="G17" s="300">
        <v>40000</v>
      </c>
      <c r="H17" s="300">
        <v>40000</v>
      </c>
      <c r="I17" s="301">
        <v>45000</v>
      </c>
      <c r="J17" s="301">
        <v>41118</v>
      </c>
      <c r="K17" s="301">
        <v>69446</v>
      </c>
      <c r="L17" s="301">
        <v>43130</v>
      </c>
      <c r="M17" s="301">
        <v>62221</v>
      </c>
      <c r="N17" s="302">
        <v>65219</v>
      </c>
      <c r="O17" s="302">
        <v>115638</v>
      </c>
      <c r="P17" s="302">
        <v>87406</v>
      </c>
      <c r="Q17" s="302">
        <v>81572.39</v>
      </c>
      <c r="R17" s="302">
        <v>79943.83</v>
      </c>
      <c r="S17" s="302">
        <v>89883.27</v>
      </c>
      <c r="T17" s="302">
        <v>96538</v>
      </c>
      <c r="U17" s="181"/>
      <c r="V17" s="181"/>
    </row>
    <row r="18" spans="1:22" ht="17.25" customHeight="1" thickBot="1" x14ac:dyDescent="0.4">
      <c r="A18" s="299" t="s">
        <v>304</v>
      </c>
      <c r="B18" s="300"/>
      <c r="C18" s="300"/>
      <c r="D18" s="300"/>
      <c r="E18" s="300"/>
      <c r="F18" s="300"/>
      <c r="G18" s="300"/>
      <c r="H18" s="300"/>
      <c r="I18" s="301"/>
      <c r="J18" s="301"/>
      <c r="K18" s="301"/>
      <c r="L18" s="301"/>
      <c r="M18" s="301"/>
      <c r="N18" s="302"/>
      <c r="O18" s="302"/>
      <c r="P18" s="302"/>
      <c r="Q18" s="302">
        <v>-123551.03</v>
      </c>
      <c r="R18" s="302">
        <v>-68000</v>
      </c>
      <c r="S18" s="302">
        <v>-82000</v>
      </c>
      <c r="T18" s="302">
        <v>-87000</v>
      </c>
      <c r="U18" s="181"/>
      <c r="V18" s="181"/>
    </row>
    <row r="19" spans="1:22" ht="17.25" customHeight="1" thickBot="1" x14ac:dyDescent="0.4">
      <c r="A19" s="205" t="s">
        <v>198</v>
      </c>
      <c r="B19" s="207">
        <v>9000</v>
      </c>
      <c r="C19" s="207">
        <v>9000</v>
      </c>
      <c r="D19" s="207">
        <v>9000</v>
      </c>
      <c r="E19" s="207">
        <v>9000</v>
      </c>
      <c r="F19" s="207">
        <v>9000</v>
      </c>
      <c r="G19" s="207">
        <v>9000</v>
      </c>
      <c r="H19" s="207">
        <v>9000</v>
      </c>
      <c r="I19" s="207">
        <v>9000</v>
      </c>
      <c r="J19" s="207">
        <v>9000</v>
      </c>
      <c r="K19" s="207">
        <v>12000</v>
      </c>
      <c r="L19" s="207">
        <v>12000</v>
      </c>
      <c r="M19" s="207">
        <v>12816</v>
      </c>
      <c r="N19" s="208">
        <v>10756</v>
      </c>
      <c r="O19" s="208">
        <v>10756</v>
      </c>
      <c r="P19" s="208">
        <v>10756</v>
      </c>
      <c r="Q19" s="208">
        <v>10756</v>
      </c>
      <c r="R19" s="208">
        <v>10756</v>
      </c>
      <c r="S19" s="208">
        <v>10756</v>
      </c>
      <c r="T19" s="208">
        <v>10756</v>
      </c>
      <c r="U19" s="181"/>
      <c r="V19" s="181"/>
    </row>
    <row r="20" spans="1:22" ht="17.25" customHeight="1" thickBot="1" x14ac:dyDescent="0.4">
      <c r="A20" s="205" t="s">
        <v>35</v>
      </c>
      <c r="B20" s="207">
        <v>96826</v>
      </c>
      <c r="C20" s="207">
        <v>96826</v>
      </c>
      <c r="D20" s="207">
        <v>96826</v>
      </c>
      <c r="E20" s="207">
        <v>96826</v>
      </c>
      <c r="F20" s="207">
        <v>96826</v>
      </c>
      <c r="G20" s="207">
        <v>96826</v>
      </c>
      <c r="H20" s="207">
        <v>97259</v>
      </c>
      <c r="I20" s="207">
        <v>97259</v>
      </c>
      <c r="J20" s="207">
        <v>83471</v>
      </c>
      <c r="K20" s="207">
        <v>90909</v>
      </c>
      <c r="L20" s="207">
        <v>100000</v>
      </c>
      <c r="M20" s="207">
        <v>100000</v>
      </c>
      <c r="N20" s="208">
        <v>120000</v>
      </c>
      <c r="O20" s="208">
        <v>120000</v>
      </c>
      <c r="P20" s="208">
        <v>120000</v>
      </c>
      <c r="Q20" s="208">
        <v>120000</v>
      </c>
      <c r="R20" s="208">
        <v>120000</v>
      </c>
      <c r="S20" s="208">
        <v>140000</v>
      </c>
      <c r="T20" s="208">
        <v>140000</v>
      </c>
      <c r="U20" s="181"/>
      <c r="V20" s="181"/>
    </row>
    <row r="21" spans="1:22" ht="17.45" customHeight="1" thickBot="1" x14ac:dyDescent="0.4">
      <c r="A21" s="157" t="s">
        <v>36</v>
      </c>
      <c r="B21" s="155">
        <v>120000</v>
      </c>
      <c r="C21" s="155">
        <v>120000</v>
      </c>
      <c r="D21" s="155">
        <v>120000</v>
      </c>
      <c r="E21" s="155">
        <v>120000</v>
      </c>
      <c r="F21" s="155">
        <f t="shared" ref="F21:M21" si="2">SUM(F17:F20)</f>
        <v>145826</v>
      </c>
      <c r="G21" s="155">
        <f t="shared" si="2"/>
        <v>145826</v>
      </c>
      <c r="H21" s="155">
        <f t="shared" si="2"/>
        <v>146259</v>
      </c>
      <c r="I21" s="155">
        <f t="shared" si="2"/>
        <v>151259</v>
      </c>
      <c r="J21" s="155">
        <f t="shared" si="2"/>
        <v>133589</v>
      </c>
      <c r="K21" s="155">
        <f t="shared" si="2"/>
        <v>172355</v>
      </c>
      <c r="L21" s="155">
        <f>SUM(L17:L20)</f>
        <v>155130</v>
      </c>
      <c r="M21" s="155">
        <f t="shared" si="2"/>
        <v>175037</v>
      </c>
      <c r="N21" s="179">
        <f t="shared" ref="N21:P21" si="3">SUM(N17:N20)</f>
        <v>195975</v>
      </c>
      <c r="O21" s="179">
        <f t="shared" si="3"/>
        <v>246394</v>
      </c>
      <c r="P21" s="179">
        <f t="shared" si="3"/>
        <v>218162</v>
      </c>
      <c r="Q21" s="179">
        <f t="shared" ref="Q21:T21" si="4">SUM(Q17:Q20)</f>
        <v>88777.36</v>
      </c>
      <c r="R21" s="179">
        <f t="shared" ref="R21:S21" si="5">SUM(R17:R20)</f>
        <v>142699.83000000002</v>
      </c>
      <c r="S21" s="179">
        <f t="shared" si="5"/>
        <v>158639.27000000002</v>
      </c>
      <c r="T21" s="179">
        <f t="shared" si="4"/>
        <v>160294</v>
      </c>
      <c r="U21" s="181"/>
      <c r="V21" s="181"/>
    </row>
    <row r="22" spans="1:22" ht="15" thickBot="1" x14ac:dyDescent="0.4">
      <c r="A22" s="324" t="s">
        <v>310</v>
      </c>
      <c r="B22" s="279">
        <f>B16+B21</f>
        <v>-865240.6</v>
      </c>
      <c r="C22" s="279">
        <f>C16+C21</f>
        <v>-729476.47</v>
      </c>
      <c r="D22" s="279">
        <f>D16+D21</f>
        <v>-612928.34000000008</v>
      </c>
      <c r="E22" s="279">
        <f t="shared" ref="E22:M22" si="6">E16+E21</f>
        <v>-435461.32999999996</v>
      </c>
      <c r="F22" s="279">
        <f t="shared" si="6"/>
        <v>-424062.44999999995</v>
      </c>
      <c r="G22" s="279">
        <f t="shared" si="6"/>
        <v>-431103.6</v>
      </c>
      <c r="H22" s="279">
        <f t="shared" si="6"/>
        <v>-389828.14</v>
      </c>
      <c r="I22" s="279">
        <f t="shared" si="6"/>
        <v>-356735.47000000003</v>
      </c>
      <c r="J22" s="279">
        <f t="shared" si="6"/>
        <v>-370861.54</v>
      </c>
      <c r="K22" s="279">
        <f t="shared" si="6"/>
        <v>-357913.73</v>
      </c>
      <c r="L22" s="279">
        <f>L16+L21</f>
        <v>-194989.84000000003</v>
      </c>
      <c r="M22" s="280">
        <f t="shared" si="6"/>
        <v>-188556.43999999994</v>
      </c>
      <c r="N22" s="281">
        <f t="shared" ref="N22:P22" si="7">N16+N21</f>
        <v>-177746.53000000003</v>
      </c>
      <c r="O22" s="281">
        <f t="shared" si="7"/>
        <v>-209164.32</v>
      </c>
      <c r="P22" s="281">
        <f t="shared" si="7"/>
        <v>-177266.55</v>
      </c>
      <c r="Q22" s="281">
        <f t="shared" ref="Q22:T22" si="8">Q16+Q21</f>
        <v>-125833.74</v>
      </c>
      <c r="R22" s="281">
        <f t="shared" ref="R22:S22" si="9">R16+R21</f>
        <v>-153100.16999999998</v>
      </c>
      <c r="S22" s="281">
        <f t="shared" si="9"/>
        <v>-195754.94999999995</v>
      </c>
      <c r="T22" s="281">
        <f t="shared" si="8"/>
        <v>-232206</v>
      </c>
      <c r="U22" s="181"/>
      <c r="V22" s="181"/>
    </row>
    <row r="23" spans="1:22" ht="18.600000000000001" customHeight="1" thickBot="1" x14ac:dyDescent="0.4">
      <c r="A23" s="158" t="s">
        <v>37</v>
      </c>
      <c r="B23" s="156">
        <v>360000</v>
      </c>
      <c r="C23" s="156">
        <v>360000</v>
      </c>
      <c r="D23" s="156">
        <v>340000</v>
      </c>
      <c r="E23" s="156">
        <v>340000</v>
      </c>
      <c r="F23" s="156">
        <v>340000</v>
      </c>
      <c r="G23" s="156">
        <v>340000</v>
      </c>
      <c r="H23" s="156">
        <v>340000</v>
      </c>
      <c r="I23" s="156">
        <v>340000</v>
      </c>
      <c r="J23" s="156">
        <v>340000</v>
      </c>
      <c r="K23" s="180">
        <v>450000</v>
      </c>
      <c r="L23" s="180">
        <v>450000</v>
      </c>
      <c r="M23" s="180">
        <v>450000</v>
      </c>
      <c r="N23" s="180">
        <v>450000</v>
      </c>
      <c r="O23" s="180">
        <v>450000</v>
      </c>
      <c r="P23" s="180">
        <v>450000</v>
      </c>
      <c r="Q23" s="180">
        <v>529770</v>
      </c>
      <c r="R23" s="180">
        <v>529770</v>
      </c>
      <c r="S23" s="180">
        <v>529770</v>
      </c>
      <c r="T23" s="180">
        <v>529770</v>
      </c>
      <c r="U23" s="181"/>
      <c r="V23" s="181"/>
    </row>
    <row r="24" spans="1:22" s="313" customFormat="1" ht="15" thickBot="1" x14ac:dyDescent="0.4">
      <c r="A24" s="160" t="s">
        <v>303</v>
      </c>
      <c r="B24" s="310">
        <f>B23+B22</f>
        <v>-505240.6</v>
      </c>
      <c r="C24" s="310">
        <f>C23+C22</f>
        <v>-369476.47</v>
      </c>
      <c r="D24" s="310">
        <f>D23+D22</f>
        <v>-272928.34000000008</v>
      </c>
      <c r="E24" s="310">
        <f t="shared" ref="E24:M24" si="10">E23+E22</f>
        <v>-95461.329999999958</v>
      </c>
      <c r="F24" s="310">
        <f t="shared" si="10"/>
        <v>-84062.449999999953</v>
      </c>
      <c r="G24" s="310">
        <f t="shared" si="10"/>
        <v>-91103.599999999977</v>
      </c>
      <c r="H24" s="310">
        <f t="shared" si="10"/>
        <v>-49828.140000000014</v>
      </c>
      <c r="I24" s="311">
        <f t="shared" si="10"/>
        <v>-16735.47000000003</v>
      </c>
      <c r="J24" s="311">
        <f t="shared" si="10"/>
        <v>-30861.539999999979</v>
      </c>
      <c r="K24" s="311">
        <f t="shared" si="10"/>
        <v>92086.270000000019</v>
      </c>
      <c r="L24" s="311">
        <f>L23+L22</f>
        <v>255010.15999999997</v>
      </c>
      <c r="M24" s="311">
        <f t="shared" si="10"/>
        <v>261443.56000000006</v>
      </c>
      <c r="N24" s="312">
        <f t="shared" ref="N24:P24" si="11">N23+N22</f>
        <v>272253.46999999997</v>
      </c>
      <c r="O24" s="312">
        <f t="shared" si="11"/>
        <v>240835.68</v>
      </c>
      <c r="P24" s="312">
        <f t="shared" si="11"/>
        <v>272733.45</v>
      </c>
      <c r="Q24" s="312">
        <f t="shared" ref="Q24:T24" si="12">Q23+Q22</f>
        <v>403936.26</v>
      </c>
      <c r="R24" s="312">
        <f t="shared" ref="R24:S24" si="13">R23+R22</f>
        <v>376669.83</v>
      </c>
      <c r="S24" s="312">
        <f t="shared" si="13"/>
        <v>334015.05000000005</v>
      </c>
      <c r="T24" s="312">
        <f t="shared" si="12"/>
        <v>297564</v>
      </c>
    </row>
    <row r="25" spans="1:22" ht="17.25" customHeight="1" thickBot="1" x14ac:dyDescent="0.4">
      <c r="A25" s="210" t="s">
        <v>1</v>
      </c>
      <c r="B25" s="211"/>
      <c r="C25" s="211"/>
      <c r="D25" s="211"/>
      <c r="E25" s="211"/>
      <c r="F25" s="211"/>
      <c r="G25" s="211"/>
      <c r="H25" s="211"/>
      <c r="I25" s="212">
        <v>8002.8</v>
      </c>
      <c r="J25" s="212">
        <v>15996.75</v>
      </c>
      <c r="K25" s="212">
        <v>23940.34</v>
      </c>
      <c r="L25" s="212">
        <v>31053</v>
      </c>
      <c r="M25" s="212">
        <v>40321</v>
      </c>
      <c r="N25" s="213">
        <v>47912.89</v>
      </c>
      <c r="O25" s="213">
        <v>51104.07</v>
      </c>
      <c r="P25" s="213">
        <v>48608.25</v>
      </c>
      <c r="Q25" s="213">
        <f>'Liquidez Angel Luis'!M9</f>
        <v>52052.21</v>
      </c>
      <c r="R25" s="213">
        <f>'Liquidez Angel Luis'!O9</f>
        <v>55513.31</v>
      </c>
      <c r="S25" s="213">
        <f>'Liquidez Angel Luis'!Q9</f>
        <v>58106.23</v>
      </c>
      <c r="T25" s="213">
        <f>'Liquidez Angel Luis'!S9</f>
        <v>58622.63</v>
      </c>
      <c r="U25" s="181"/>
      <c r="V25" s="181"/>
    </row>
    <row r="26" spans="1:22" ht="17.25" customHeight="1" thickBot="1" x14ac:dyDescent="0.4">
      <c r="A26" s="210" t="s">
        <v>313</v>
      </c>
      <c r="B26" s="211"/>
      <c r="C26" s="211"/>
      <c r="D26" s="211"/>
      <c r="E26" s="211"/>
      <c r="F26" s="211"/>
      <c r="G26" s="211"/>
      <c r="H26" s="211"/>
      <c r="I26" s="212"/>
      <c r="J26" s="212"/>
      <c r="K26" s="212"/>
      <c r="L26" s="212"/>
      <c r="M26" s="212">
        <v>277824.52</v>
      </c>
      <c r="N26" s="213">
        <v>340291.12</v>
      </c>
      <c r="O26" s="213">
        <v>5736.39</v>
      </c>
      <c r="P26" s="213">
        <v>51922.59</v>
      </c>
      <c r="Q26" s="213">
        <f>'Liquidez Angel Luis'!M4+'Liquidez Angel Luis'!M5</f>
        <v>28913.56</v>
      </c>
      <c r="R26" s="213">
        <f>'Liquidez Angel Luis'!O4+'Liquidez Angel Luis'!O5</f>
        <v>51226.17</v>
      </c>
      <c r="S26" s="213">
        <f>'Liquidez Angel Luis'!Q4+'Liquidez Angel Luis'!Q5</f>
        <v>50868</v>
      </c>
      <c r="T26" s="213">
        <f>'Liquidez Angel Luis'!S4+'Liquidez Angel Luis'!S5</f>
        <v>73107.59</v>
      </c>
      <c r="U26" s="181"/>
      <c r="V26" s="181"/>
    </row>
    <row r="27" spans="1:22" ht="17.25" customHeight="1" thickBot="1" x14ac:dyDescent="0.4">
      <c r="A27" s="210" t="s">
        <v>219</v>
      </c>
      <c r="B27" s="211"/>
      <c r="C27" s="211"/>
      <c r="D27" s="211"/>
      <c r="E27" s="211"/>
      <c r="F27" s="211"/>
      <c r="G27" s="211"/>
      <c r="H27" s="211"/>
      <c r="I27" s="212"/>
      <c r="J27" s="212"/>
      <c r="K27" s="212"/>
      <c r="L27" s="212"/>
      <c r="M27" s="212">
        <v>106957.36</v>
      </c>
      <c r="N27" s="213">
        <v>0</v>
      </c>
      <c r="O27" s="213">
        <v>145000</v>
      </c>
      <c r="P27" s="213">
        <v>235000</v>
      </c>
      <c r="Q27" s="213">
        <f>'Liquidez Angel Luis'!M12</f>
        <v>200000</v>
      </c>
      <c r="R27" s="213">
        <f>'Liquidez Angel Luis'!O12</f>
        <v>235000</v>
      </c>
      <c r="S27" s="213">
        <f>'Liquidez Angel Luis'!Q12</f>
        <v>305000</v>
      </c>
      <c r="T27" s="213">
        <f>'Liquidez Angel Luis'!S12</f>
        <v>304500</v>
      </c>
      <c r="U27" s="181"/>
      <c r="V27" s="181"/>
    </row>
    <row r="28" spans="1:22" ht="17.25" customHeight="1" thickBot="1" x14ac:dyDescent="0.4">
      <c r="A28" s="210" t="s">
        <v>211</v>
      </c>
      <c r="B28" s="211"/>
      <c r="C28" s="211"/>
      <c r="D28" s="211"/>
      <c r="E28" s="211"/>
      <c r="F28" s="211"/>
      <c r="G28" s="211"/>
      <c r="H28" s="211"/>
      <c r="I28" s="212"/>
      <c r="J28" s="212"/>
      <c r="K28" s="212"/>
      <c r="L28" s="212"/>
      <c r="M28" s="212"/>
      <c r="N28" s="213">
        <v>-77979.81</v>
      </c>
      <c r="O28" s="213">
        <v>-69841.83</v>
      </c>
      <c r="P28" s="213">
        <v>-119033.73</v>
      </c>
      <c r="Q28" s="213">
        <f>'Liquidez Angel Luis'!M19+'Liquidez Angel Luis'!M20</f>
        <v>0</v>
      </c>
      <c r="R28" s="213">
        <f>'Liquidez Angel Luis'!O19+'Liquidez Angel Luis'!O20</f>
        <v>0</v>
      </c>
      <c r="S28" s="213">
        <f>'Liquidez Angel Luis'!Q19+'Liquidez Angel Luis'!Q20</f>
        <v>0</v>
      </c>
      <c r="T28" s="213">
        <f>'Liquidez Angel Luis'!S19+'Liquidez Angel Luis'!S20</f>
        <v>0</v>
      </c>
      <c r="U28" s="181"/>
      <c r="V28" s="181"/>
    </row>
    <row r="29" spans="1:22" ht="17.25" customHeight="1" thickBot="1" x14ac:dyDescent="0.4">
      <c r="A29" s="210" t="s">
        <v>276</v>
      </c>
      <c r="B29" s="211"/>
      <c r="C29" s="211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3">
        <v>194783.55</v>
      </c>
      <c r="O29" s="213">
        <v>473679.24</v>
      </c>
      <c r="P29" s="213">
        <v>476719.24</v>
      </c>
      <c r="Q29" s="213">
        <v>476719.24</v>
      </c>
      <c r="R29" s="213">
        <v>476719.24</v>
      </c>
      <c r="S29" s="213">
        <v>612000</v>
      </c>
      <c r="T29" s="213">
        <v>612000</v>
      </c>
      <c r="U29" s="181"/>
      <c r="V29" s="181"/>
    </row>
    <row r="30" spans="1:22" ht="17.25" customHeight="1" thickBot="1" x14ac:dyDescent="0.4">
      <c r="A30" s="341" t="s">
        <v>245</v>
      </c>
      <c r="B30" s="211">
        <v>955000</v>
      </c>
      <c r="C30" s="211">
        <v>955000</v>
      </c>
      <c r="D30" s="211">
        <v>955000</v>
      </c>
      <c r="E30" s="211">
        <v>955000</v>
      </c>
      <c r="F30" s="211">
        <v>955000</v>
      </c>
      <c r="G30" s="211">
        <v>955000</v>
      </c>
      <c r="H30" s="211">
        <v>955000</v>
      </c>
      <c r="I30" s="211">
        <v>955000</v>
      </c>
      <c r="J30" s="211">
        <v>955000</v>
      </c>
      <c r="K30" s="211">
        <v>955000</v>
      </c>
      <c r="L30" s="211">
        <v>955000</v>
      </c>
      <c r="M30" s="212">
        <v>575000</v>
      </c>
      <c r="N30" s="212">
        <v>575000</v>
      </c>
      <c r="O30" s="212">
        <v>575000</v>
      </c>
      <c r="P30" s="212">
        <v>575000</v>
      </c>
      <c r="Q30" s="212">
        <v>575000</v>
      </c>
      <c r="R30" s="212">
        <v>575000</v>
      </c>
      <c r="S30" s="212">
        <v>670000</v>
      </c>
      <c r="T30" s="212">
        <v>670000</v>
      </c>
      <c r="U30" s="181"/>
      <c r="V30" s="181"/>
    </row>
    <row r="31" spans="1:22" ht="17.25" customHeight="1" thickBot="1" x14ac:dyDescent="0.4">
      <c r="A31" s="210" t="s">
        <v>38</v>
      </c>
      <c r="B31" s="211">
        <v>50000</v>
      </c>
      <c r="C31" s="211">
        <v>50000</v>
      </c>
      <c r="D31" s="211">
        <v>60000</v>
      </c>
      <c r="E31" s="211">
        <v>30000</v>
      </c>
      <c r="F31" s="211">
        <v>28000</v>
      </c>
      <c r="G31" s="211">
        <v>26000</v>
      </c>
      <c r="H31" s="211">
        <v>24000</v>
      </c>
      <c r="I31" s="212">
        <v>22000</v>
      </c>
      <c r="J31" s="212">
        <v>20000</v>
      </c>
      <c r="K31" s="212">
        <v>18000</v>
      </c>
      <c r="L31" s="212">
        <v>16000</v>
      </c>
      <c r="M31" s="212">
        <v>71500</v>
      </c>
      <c r="N31" s="213">
        <v>71500</v>
      </c>
      <c r="O31" s="213">
        <v>71500</v>
      </c>
      <c r="P31" s="213">
        <v>52000</v>
      </c>
      <c r="Q31" s="213">
        <v>41322</v>
      </c>
      <c r="R31" s="213">
        <v>88000</v>
      </c>
      <c r="S31" s="213">
        <v>70000</v>
      </c>
      <c r="T31" s="213">
        <v>70000</v>
      </c>
      <c r="U31" s="181"/>
      <c r="V31" s="181"/>
    </row>
    <row r="32" spans="1:22" ht="17.25" customHeight="1" thickBot="1" x14ac:dyDescent="0.4">
      <c r="A32" s="159" t="s">
        <v>244</v>
      </c>
      <c r="B32" s="214">
        <f t="shared" ref="B32:O32" si="14">SUM(B25:B31)</f>
        <v>1005000</v>
      </c>
      <c r="C32" s="214">
        <f t="shared" si="14"/>
        <v>1005000</v>
      </c>
      <c r="D32" s="214">
        <f t="shared" si="14"/>
        <v>1015000</v>
      </c>
      <c r="E32" s="214">
        <f t="shared" si="14"/>
        <v>985000</v>
      </c>
      <c r="F32" s="214">
        <f t="shared" si="14"/>
        <v>983000</v>
      </c>
      <c r="G32" s="214">
        <f t="shared" si="14"/>
        <v>981000</v>
      </c>
      <c r="H32" s="214">
        <f t="shared" si="14"/>
        <v>979000</v>
      </c>
      <c r="I32" s="214">
        <f t="shared" si="14"/>
        <v>985002.8</v>
      </c>
      <c r="J32" s="214">
        <f t="shared" si="14"/>
        <v>990996.75</v>
      </c>
      <c r="K32" s="214">
        <f t="shared" si="14"/>
        <v>996940.34</v>
      </c>
      <c r="L32" s="214">
        <f t="shared" si="14"/>
        <v>1002053</v>
      </c>
      <c r="M32" s="214">
        <f t="shared" si="14"/>
        <v>1071602.8799999999</v>
      </c>
      <c r="N32" s="215">
        <f t="shared" si="14"/>
        <v>1151507.75</v>
      </c>
      <c r="O32" s="215">
        <f t="shared" si="14"/>
        <v>1252177.8700000001</v>
      </c>
      <c r="P32" s="215">
        <f t="shared" ref="P32" si="15">SUM(P25:P31)</f>
        <v>1320216.3500000001</v>
      </c>
      <c r="Q32" s="215">
        <f t="shared" ref="Q32:T32" si="16">SUM(Q25:Q31)</f>
        <v>1374007.01</v>
      </c>
      <c r="R32" s="215">
        <f t="shared" ref="R32:S32" si="17">SUM(R25:R31)</f>
        <v>1481458.72</v>
      </c>
      <c r="S32" s="215">
        <f t="shared" si="17"/>
        <v>1765974.23</v>
      </c>
      <c r="T32" s="215">
        <f t="shared" si="16"/>
        <v>1788230.22</v>
      </c>
      <c r="V32" s="181"/>
    </row>
    <row r="33" spans="1:22" ht="15.4" thickBot="1" x14ac:dyDescent="0.4">
      <c r="A33" s="325" t="s">
        <v>246</v>
      </c>
      <c r="B33" s="216">
        <f t="shared" ref="B33:O33" si="18">B32+B24</f>
        <v>499759.4</v>
      </c>
      <c r="C33" s="216">
        <f t="shared" si="18"/>
        <v>635523.53</v>
      </c>
      <c r="D33" s="224">
        <f t="shared" si="18"/>
        <v>742071.65999999992</v>
      </c>
      <c r="E33" s="224">
        <f t="shared" si="18"/>
        <v>889538.67</v>
      </c>
      <c r="F33" s="224">
        <f t="shared" si="18"/>
        <v>898937.55</v>
      </c>
      <c r="G33" s="224">
        <f t="shared" si="18"/>
        <v>889896.4</v>
      </c>
      <c r="H33" s="224">
        <f t="shared" si="18"/>
        <v>929171.86</v>
      </c>
      <c r="I33" s="224">
        <f t="shared" si="18"/>
        <v>968267.33000000007</v>
      </c>
      <c r="J33" s="224">
        <f t="shared" si="18"/>
        <v>960135.21</v>
      </c>
      <c r="K33" s="224">
        <f t="shared" si="18"/>
        <v>1089026.6099999999</v>
      </c>
      <c r="L33" s="224">
        <f t="shared" si="18"/>
        <v>1257063.1599999999</v>
      </c>
      <c r="M33" s="224">
        <f t="shared" si="18"/>
        <v>1333046.44</v>
      </c>
      <c r="N33" s="225">
        <f t="shared" si="18"/>
        <v>1423761.22</v>
      </c>
      <c r="O33" s="225">
        <f t="shared" si="18"/>
        <v>1493013.55</v>
      </c>
      <c r="P33" s="225">
        <f t="shared" ref="P33" si="19">P32+P24</f>
        <v>1592949.8</v>
      </c>
      <c r="Q33" s="225">
        <f t="shared" ref="Q33:T33" si="20">Q32+Q24</f>
        <v>1777943.27</v>
      </c>
      <c r="R33" s="225">
        <f t="shared" ref="R33:S33" si="21">R32+R24</f>
        <v>1858128.55</v>
      </c>
      <c r="S33" s="225">
        <f t="shared" si="21"/>
        <v>2099989.2800000003</v>
      </c>
      <c r="T33" s="225">
        <f t="shared" si="20"/>
        <v>2085794.22</v>
      </c>
      <c r="V33" s="181"/>
    </row>
    <row r="34" spans="1:22" s="259" customFormat="1" ht="18.399999999999999" thickBot="1" x14ac:dyDescent="0.4">
      <c r="A34" s="254" t="s">
        <v>205</v>
      </c>
      <c r="B34" s="255">
        <v>0</v>
      </c>
      <c r="C34" s="256">
        <f t="shared" ref="C34:D34" si="22">C33-B33</f>
        <v>135764.13</v>
      </c>
      <c r="D34" s="256">
        <f t="shared" si="22"/>
        <v>106548.12999999989</v>
      </c>
      <c r="E34" s="256">
        <f>E33-D33</f>
        <v>147467.01000000013</v>
      </c>
      <c r="F34" s="256">
        <f t="shared" ref="F34:P34" si="23">F33-E33</f>
        <v>9398.8800000000047</v>
      </c>
      <c r="G34" s="257">
        <f t="shared" si="23"/>
        <v>-9041.1500000000233</v>
      </c>
      <c r="H34" s="256">
        <f t="shared" si="23"/>
        <v>39275.459999999963</v>
      </c>
      <c r="I34" s="256">
        <f t="shared" si="23"/>
        <v>39095.470000000088</v>
      </c>
      <c r="J34" s="257">
        <f t="shared" si="23"/>
        <v>-8132.1200000001118</v>
      </c>
      <c r="K34" s="256">
        <f t="shared" si="23"/>
        <v>128891.39999999991</v>
      </c>
      <c r="L34" s="256">
        <f t="shared" si="23"/>
        <v>168036.55000000005</v>
      </c>
      <c r="M34" s="256">
        <f t="shared" si="23"/>
        <v>75983.280000000028</v>
      </c>
      <c r="N34" s="258">
        <f t="shared" si="23"/>
        <v>90714.780000000028</v>
      </c>
      <c r="O34" s="258">
        <f t="shared" si="23"/>
        <v>69252.330000000075</v>
      </c>
      <c r="P34" s="258">
        <f t="shared" si="23"/>
        <v>99936.25</v>
      </c>
      <c r="Q34" s="258">
        <f>Q33-P33</f>
        <v>184993.46999999997</v>
      </c>
      <c r="R34" s="258">
        <f>R33-Q33</f>
        <v>80185.280000000028</v>
      </c>
      <c r="S34" s="258">
        <f>S33-R33</f>
        <v>241860.73000000021</v>
      </c>
      <c r="T34" s="258">
        <f>T33-S33</f>
        <v>-14195.060000000289</v>
      </c>
      <c r="V34" s="260"/>
    </row>
    <row r="35" spans="1:22" ht="17.25" customHeight="1" x14ac:dyDescent="0.35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U35" s="181"/>
      <c r="V35" s="181"/>
    </row>
    <row r="36" spans="1:22" ht="17.25" customHeight="1" x14ac:dyDescent="0.35">
      <c r="A36" s="309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U36" s="181"/>
      <c r="V36" s="181"/>
    </row>
    <row r="37" spans="1:22" ht="17.25" customHeight="1" x14ac:dyDescent="0.35">
      <c r="A37" s="309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U37" s="181"/>
      <c r="V37" s="314"/>
    </row>
    <row r="38" spans="1:22" ht="17.25" customHeight="1" x14ac:dyDescent="0.35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V38" s="142">
        <v>-200000</v>
      </c>
    </row>
    <row r="39" spans="1:22" ht="17.25" customHeight="1" x14ac:dyDescent="0.35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42"/>
      <c r="O39" s="142"/>
      <c r="P39" s="142"/>
      <c r="Q39" s="142"/>
      <c r="R39" s="142"/>
      <c r="S39" s="142"/>
      <c r="T39" s="142"/>
      <c r="V39" s="142">
        <v>185461.39</v>
      </c>
    </row>
    <row r="40" spans="1:22" ht="17.25" customHeight="1" x14ac:dyDescent="0.35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42"/>
      <c r="O40" s="142"/>
      <c r="P40" s="142"/>
      <c r="Q40" s="142"/>
      <c r="R40" s="142"/>
      <c r="S40" s="142"/>
      <c r="T40" s="142"/>
    </row>
    <row r="41" spans="1:22" ht="17.25" customHeight="1" x14ac:dyDescent="0.35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42"/>
      <c r="O41" s="142"/>
      <c r="P41" s="142"/>
      <c r="Q41" s="142"/>
      <c r="R41" s="142"/>
      <c r="S41" s="142"/>
      <c r="T41" s="142"/>
    </row>
    <row r="42" spans="1:22" ht="17.25" customHeight="1" x14ac:dyDescent="0.35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42"/>
      <c r="O42" s="142"/>
      <c r="P42" s="142"/>
      <c r="Q42" s="142"/>
      <c r="R42" s="142"/>
      <c r="S42" s="142"/>
      <c r="T42" s="142"/>
    </row>
    <row r="43" spans="1:22" ht="17.25" customHeight="1" x14ac:dyDescent="0.35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42"/>
      <c r="O43" s="142"/>
      <c r="P43" s="142"/>
      <c r="Q43" s="142"/>
      <c r="R43" s="142"/>
      <c r="S43" s="142"/>
      <c r="T43" s="142"/>
    </row>
    <row r="44" spans="1:22" ht="17.25" customHeight="1" x14ac:dyDescent="0.35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42"/>
      <c r="O44" s="142"/>
      <c r="P44" s="142"/>
      <c r="Q44" s="142"/>
      <c r="R44" s="142"/>
      <c r="S44" s="142"/>
      <c r="T44" s="142"/>
    </row>
    <row r="45" spans="1:22" ht="17.25" customHeight="1" x14ac:dyDescent="0.35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42"/>
      <c r="O45" s="142"/>
      <c r="P45" s="142"/>
      <c r="Q45" s="142"/>
      <c r="R45" s="142"/>
      <c r="S45" s="142"/>
      <c r="T45" s="142"/>
    </row>
    <row r="46" spans="1:22" ht="17.25" customHeight="1" x14ac:dyDescent="0.3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42"/>
      <c r="O46" s="142"/>
      <c r="P46" s="142"/>
      <c r="Q46" s="142"/>
      <c r="R46" s="142"/>
      <c r="S46" s="142"/>
      <c r="T46" s="142"/>
    </row>
    <row r="47" spans="1:22" ht="17.25" customHeight="1" x14ac:dyDescent="0.35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42"/>
      <c r="O47" s="142"/>
      <c r="P47" s="142"/>
      <c r="Q47" s="142"/>
      <c r="R47" s="142"/>
      <c r="S47" s="142"/>
      <c r="T47" s="142"/>
    </row>
    <row r="48" spans="1:22" ht="17.25" customHeight="1" x14ac:dyDescent="0.35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42"/>
      <c r="O48" s="142"/>
      <c r="P48" s="142"/>
      <c r="Q48" s="142"/>
      <c r="R48" s="142"/>
      <c r="S48" s="142"/>
      <c r="T48" s="142"/>
    </row>
    <row r="49" spans="1:20" ht="17.25" customHeight="1" x14ac:dyDescent="0.35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42"/>
      <c r="O49" s="142"/>
      <c r="P49" s="142"/>
      <c r="Q49" s="142"/>
      <c r="R49" s="142"/>
      <c r="S49" s="142"/>
      <c r="T49" s="142"/>
    </row>
    <row r="50" spans="1:20" ht="17.25" customHeight="1" x14ac:dyDescent="0.35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42"/>
      <c r="O50" s="142"/>
      <c r="P50" s="142"/>
      <c r="Q50" s="142"/>
      <c r="R50" s="142"/>
      <c r="S50" s="142"/>
      <c r="T50" s="142"/>
    </row>
    <row r="51" spans="1:20" ht="17.25" customHeight="1" x14ac:dyDescent="0.35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42"/>
      <c r="O51" s="142"/>
      <c r="P51" s="142"/>
      <c r="Q51" s="142"/>
      <c r="R51" s="142"/>
      <c r="S51" s="142"/>
      <c r="T51" s="142"/>
    </row>
    <row r="52" spans="1:20" ht="17.25" customHeight="1" x14ac:dyDescent="0.35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42"/>
      <c r="O52" s="142"/>
      <c r="P52" s="142"/>
      <c r="Q52" s="142"/>
      <c r="R52" s="142"/>
      <c r="S52" s="142"/>
      <c r="T52" s="142"/>
    </row>
    <row r="53" spans="1:20" ht="17.25" customHeight="1" x14ac:dyDescent="0.35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42"/>
      <c r="O53" s="142"/>
      <c r="P53" s="142"/>
      <c r="Q53" s="142"/>
      <c r="R53" s="142"/>
      <c r="S53" s="142"/>
      <c r="T53" s="142"/>
    </row>
    <row r="54" spans="1:20" ht="17.25" customHeight="1" x14ac:dyDescent="0.35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42"/>
      <c r="O54" s="142"/>
      <c r="P54" s="142"/>
      <c r="Q54" s="142"/>
      <c r="R54" s="142"/>
      <c r="S54" s="142"/>
      <c r="T54" s="142"/>
    </row>
    <row r="55" spans="1:20" ht="17.25" customHeight="1" x14ac:dyDescent="0.35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42"/>
      <c r="O55" s="142"/>
      <c r="P55" s="142"/>
      <c r="Q55" s="142"/>
      <c r="R55" s="142"/>
      <c r="S55" s="142"/>
      <c r="T55" s="142"/>
    </row>
    <row r="56" spans="1:20" ht="17.25" customHeight="1" x14ac:dyDescent="0.3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42"/>
      <c r="O56" s="142"/>
      <c r="P56" s="142"/>
      <c r="Q56" s="142"/>
      <c r="R56" s="142"/>
      <c r="S56" s="142"/>
      <c r="T56" s="142"/>
    </row>
    <row r="57" spans="1:20" ht="17.25" customHeight="1" x14ac:dyDescent="0.35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42"/>
      <c r="O57" s="142"/>
      <c r="P57" s="142"/>
      <c r="Q57" s="142"/>
      <c r="R57" s="142"/>
      <c r="S57" s="142"/>
      <c r="T57" s="142"/>
    </row>
    <row r="58" spans="1:20" ht="17.25" customHeight="1" x14ac:dyDescent="0.35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42"/>
      <c r="O58" s="142"/>
      <c r="P58" s="142"/>
      <c r="Q58" s="142"/>
      <c r="R58" s="142"/>
      <c r="S58" s="142"/>
      <c r="T58" s="142"/>
    </row>
    <row r="59" spans="1:20" ht="17.25" customHeight="1" x14ac:dyDescent="0.35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42"/>
      <c r="O59" s="142"/>
      <c r="P59" s="142"/>
      <c r="Q59" s="142"/>
      <c r="R59" s="142"/>
      <c r="S59" s="142"/>
      <c r="T59" s="142"/>
    </row>
    <row r="60" spans="1:20" ht="17.25" customHeight="1" x14ac:dyDescent="0.35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42"/>
      <c r="O60" s="142"/>
      <c r="P60" s="142"/>
      <c r="Q60" s="142"/>
      <c r="R60" s="142"/>
      <c r="S60" s="142"/>
      <c r="T60" s="142"/>
    </row>
    <row r="61" spans="1:20" ht="17.25" customHeight="1" x14ac:dyDescent="0.35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42"/>
      <c r="O61" s="142"/>
      <c r="P61" s="142"/>
      <c r="Q61" s="142"/>
      <c r="R61" s="142"/>
      <c r="S61" s="142"/>
      <c r="T61" s="142"/>
    </row>
    <row r="62" spans="1:20" ht="17.25" customHeight="1" x14ac:dyDescent="0.35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42"/>
      <c r="O62" s="142"/>
      <c r="P62" s="142"/>
      <c r="Q62" s="142"/>
      <c r="R62" s="142"/>
      <c r="S62" s="142"/>
      <c r="T62" s="142"/>
    </row>
    <row r="63" spans="1:20" ht="17.25" customHeight="1" x14ac:dyDescent="0.35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42"/>
      <c r="O63" s="142"/>
      <c r="P63" s="142"/>
      <c r="Q63" s="142"/>
      <c r="R63" s="142"/>
      <c r="S63" s="142"/>
      <c r="T63" s="142"/>
    </row>
    <row r="64" spans="1:20" ht="17.25" customHeight="1" x14ac:dyDescent="0.35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42"/>
      <c r="O64" s="142"/>
      <c r="P64" s="142"/>
      <c r="Q64" s="142"/>
      <c r="R64" s="142"/>
      <c r="S64" s="142"/>
      <c r="T64" s="142"/>
    </row>
    <row r="65" spans="1:20" ht="17.25" customHeight="1" x14ac:dyDescent="0.3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42"/>
      <c r="O65" s="142"/>
      <c r="P65" s="142"/>
      <c r="Q65" s="142"/>
      <c r="R65" s="142"/>
      <c r="S65" s="142"/>
      <c r="T65" s="142"/>
    </row>
    <row r="66" spans="1:20" ht="17.25" customHeight="1" x14ac:dyDescent="0.35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42"/>
      <c r="O66" s="142"/>
      <c r="P66" s="142"/>
      <c r="Q66" s="142"/>
      <c r="R66" s="142"/>
      <c r="S66" s="142"/>
      <c r="T66" s="142"/>
    </row>
    <row r="67" spans="1:20" ht="17.25" customHeight="1" x14ac:dyDescent="0.35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42"/>
      <c r="O67" s="142"/>
      <c r="P67" s="142"/>
      <c r="Q67" s="142"/>
      <c r="R67" s="142"/>
      <c r="S67" s="142"/>
      <c r="T67" s="142"/>
    </row>
    <row r="68" spans="1:20" ht="17.25" customHeight="1" x14ac:dyDescent="0.35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42"/>
      <c r="O68" s="142"/>
      <c r="P68" s="142"/>
      <c r="Q68" s="142"/>
      <c r="R68" s="142"/>
      <c r="S68" s="142"/>
      <c r="T68" s="142"/>
    </row>
    <row r="69" spans="1:20" ht="17.25" customHeight="1" x14ac:dyDescent="0.35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42"/>
      <c r="O69" s="142"/>
      <c r="P69" s="142"/>
      <c r="Q69" s="142"/>
      <c r="R69" s="142"/>
      <c r="S69" s="142"/>
      <c r="T69" s="142"/>
    </row>
    <row r="70" spans="1:20" ht="17.25" customHeight="1" x14ac:dyDescent="0.35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42"/>
      <c r="O70" s="142"/>
      <c r="P70" s="142"/>
      <c r="Q70" s="142"/>
      <c r="R70" s="142"/>
      <c r="S70" s="142"/>
      <c r="T70" s="142"/>
    </row>
    <row r="71" spans="1:20" ht="17.25" customHeight="1" x14ac:dyDescent="0.35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42"/>
      <c r="O71" s="142"/>
      <c r="P71" s="142"/>
      <c r="Q71" s="142"/>
      <c r="R71" s="142"/>
      <c r="S71" s="142"/>
      <c r="T71" s="142"/>
    </row>
    <row r="72" spans="1:20" ht="17.25" customHeight="1" x14ac:dyDescent="0.35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42"/>
      <c r="O72" s="142"/>
      <c r="P72" s="142"/>
      <c r="Q72" s="142"/>
      <c r="R72" s="142"/>
      <c r="S72" s="142"/>
      <c r="T72" s="142"/>
    </row>
    <row r="73" spans="1:20" ht="17.25" customHeight="1" x14ac:dyDescent="0.35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42"/>
      <c r="O73" s="142"/>
      <c r="P73" s="142"/>
      <c r="Q73" s="142"/>
      <c r="R73" s="142"/>
      <c r="S73" s="142"/>
      <c r="T73" s="142"/>
    </row>
    <row r="74" spans="1:20" ht="17.25" customHeight="1" x14ac:dyDescent="0.35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42"/>
      <c r="O74" s="142"/>
      <c r="P74" s="142"/>
      <c r="Q74" s="142"/>
      <c r="R74" s="142"/>
      <c r="S74" s="142"/>
      <c r="T74" s="142"/>
    </row>
    <row r="75" spans="1:20" ht="17.25" customHeight="1" x14ac:dyDescent="0.3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42"/>
      <c r="O75" s="142"/>
      <c r="P75" s="142"/>
      <c r="Q75" s="142"/>
      <c r="R75" s="142"/>
      <c r="S75" s="142"/>
      <c r="T75" s="142"/>
    </row>
    <row r="76" spans="1:20" ht="17.25" customHeight="1" x14ac:dyDescent="0.35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42"/>
      <c r="O76" s="142"/>
      <c r="P76" s="142"/>
      <c r="Q76" s="142"/>
      <c r="R76" s="142"/>
      <c r="S76" s="142"/>
      <c r="T76" s="142"/>
    </row>
    <row r="77" spans="1:20" ht="17.25" customHeight="1" x14ac:dyDescent="0.35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42"/>
      <c r="O77" s="142"/>
      <c r="P77" s="142"/>
      <c r="Q77" s="142"/>
      <c r="R77" s="142"/>
      <c r="S77" s="142"/>
      <c r="T77" s="142"/>
    </row>
    <row r="78" spans="1:20" ht="17.25" customHeight="1" x14ac:dyDescent="0.35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42"/>
      <c r="O78" s="142"/>
      <c r="P78" s="142"/>
      <c r="Q78" s="142"/>
      <c r="R78" s="142"/>
      <c r="S78" s="142"/>
      <c r="T78" s="142"/>
    </row>
    <row r="79" spans="1:20" ht="17.25" customHeight="1" x14ac:dyDescent="0.35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42"/>
      <c r="O79" s="142"/>
      <c r="P79" s="142"/>
      <c r="Q79" s="142"/>
      <c r="R79" s="142"/>
      <c r="S79" s="142"/>
      <c r="T79" s="142"/>
    </row>
    <row r="80" spans="1:20" ht="17.25" customHeight="1" x14ac:dyDescent="0.35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42"/>
      <c r="O80" s="142"/>
      <c r="P80" s="142"/>
      <c r="Q80" s="142"/>
      <c r="R80" s="142"/>
      <c r="S80" s="142"/>
      <c r="T80" s="142"/>
    </row>
    <row r="81" spans="1:20" ht="17.25" customHeight="1" x14ac:dyDescent="0.35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42"/>
      <c r="O81" s="142"/>
      <c r="P81" s="142"/>
      <c r="Q81" s="142"/>
      <c r="R81" s="142"/>
      <c r="S81" s="142"/>
      <c r="T81" s="142"/>
    </row>
    <row r="82" spans="1:20" ht="17.25" customHeight="1" x14ac:dyDescent="0.35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42"/>
      <c r="O82" s="142"/>
      <c r="P82" s="142"/>
      <c r="Q82" s="142"/>
      <c r="R82" s="142"/>
      <c r="S82" s="142"/>
      <c r="T82" s="142"/>
    </row>
    <row r="83" spans="1:20" ht="17.25" customHeight="1" x14ac:dyDescent="0.35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42"/>
      <c r="O83" s="142"/>
      <c r="P83" s="142"/>
      <c r="Q83" s="142"/>
      <c r="R83" s="142"/>
      <c r="S83" s="142"/>
      <c r="T83" s="142"/>
    </row>
    <row r="84" spans="1:20" ht="17.25" customHeight="1" x14ac:dyDescent="0.35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42"/>
      <c r="O84" s="142"/>
      <c r="P84" s="142"/>
      <c r="Q84" s="142"/>
      <c r="R84" s="142"/>
      <c r="S84" s="142"/>
      <c r="T84" s="142"/>
    </row>
    <row r="85" spans="1:20" ht="17.25" customHeight="1" x14ac:dyDescent="0.3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42"/>
      <c r="O85" s="142"/>
      <c r="P85" s="142"/>
      <c r="Q85" s="142"/>
      <c r="R85" s="142"/>
      <c r="S85" s="142"/>
      <c r="T85" s="142"/>
    </row>
    <row r="86" spans="1:20" ht="17.25" customHeight="1" x14ac:dyDescent="0.35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42"/>
      <c r="O86" s="142"/>
      <c r="P86" s="142"/>
      <c r="Q86" s="142"/>
      <c r="R86" s="142"/>
      <c r="S86" s="142"/>
      <c r="T86" s="142"/>
    </row>
    <row r="87" spans="1:20" ht="17.25" customHeight="1" x14ac:dyDescent="0.35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42"/>
      <c r="O87" s="142"/>
      <c r="P87" s="142"/>
      <c r="Q87" s="142"/>
      <c r="R87" s="142"/>
      <c r="S87" s="142"/>
      <c r="T87" s="142"/>
    </row>
    <row r="88" spans="1:20" ht="17.25" customHeight="1" x14ac:dyDescent="0.35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142"/>
      <c r="O88" s="142"/>
      <c r="P88" s="142"/>
      <c r="Q88" s="142"/>
      <c r="R88" s="142"/>
      <c r="S88" s="142"/>
      <c r="T88" s="142"/>
    </row>
    <row r="89" spans="1:20" ht="17.25" customHeight="1" x14ac:dyDescent="0.35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142"/>
      <c r="O89" s="142"/>
      <c r="P89" s="142"/>
      <c r="Q89" s="142"/>
      <c r="R89" s="142"/>
      <c r="S89" s="142"/>
      <c r="T89" s="142"/>
    </row>
    <row r="90" spans="1:20" ht="17.25" customHeight="1" x14ac:dyDescent="0.35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142"/>
      <c r="O90" s="142"/>
      <c r="P90" s="142"/>
      <c r="Q90" s="142"/>
      <c r="R90" s="142"/>
      <c r="S90" s="142"/>
      <c r="T90" s="142"/>
    </row>
    <row r="91" spans="1:20" ht="17.25" customHeight="1" x14ac:dyDescent="0.35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142"/>
      <c r="O91" s="142"/>
      <c r="P91" s="142"/>
      <c r="Q91" s="142"/>
      <c r="R91" s="142"/>
      <c r="S91" s="142"/>
      <c r="T91" s="142"/>
    </row>
    <row r="92" spans="1:20" ht="17.25" customHeight="1" x14ac:dyDescent="0.35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142"/>
      <c r="O92" s="142"/>
      <c r="P92" s="142"/>
      <c r="Q92" s="142"/>
      <c r="R92" s="142"/>
      <c r="S92" s="142"/>
      <c r="T92" s="142"/>
    </row>
    <row r="93" spans="1:20" ht="17.25" customHeight="1" x14ac:dyDescent="0.35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142"/>
      <c r="O93" s="142"/>
      <c r="P93" s="142"/>
      <c r="Q93" s="142"/>
      <c r="R93" s="142"/>
      <c r="S93" s="142"/>
      <c r="T93" s="142"/>
    </row>
    <row r="94" spans="1:20" ht="17.25" customHeight="1" x14ac:dyDescent="0.35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142"/>
      <c r="O94" s="142"/>
      <c r="P94" s="142"/>
      <c r="Q94" s="142"/>
      <c r="R94" s="142"/>
      <c r="S94" s="142"/>
      <c r="T94" s="142"/>
    </row>
    <row r="95" spans="1:20" ht="17.25" customHeight="1" x14ac:dyDescent="0.35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142"/>
      <c r="O95" s="142"/>
      <c r="P95" s="142"/>
      <c r="Q95" s="142"/>
      <c r="R95" s="142"/>
      <c r="S95" s="142"/>
      <c r="T95" s="142"/>
    </row>
    <row r="96" spans="1:20" ht="17.25" customHeight="1" x14ac:dyDescent="0.35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142"/>
      <c r="O96" s="142"/>
      <c r="P96" s="142"/>
      <c r="Q96" s="142"/>
      <c r="R96" s="142"/>
      <c r="S96" s="142"/>
      <c r="T96" s="142"/>
    </row>
    <row r="97" spans="1:20" ht="17.25" customHeight="1" x14ac:dyDescent="0.35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142"/>
      <c r="O97" s="142"/>
      <c r="P97" s="142"/>
      <c r="Q97" s="142"/>
      <c r="R97" s="142"/>
      <c r="S97" s="142"/>
      <c r="T97" s="142"/>
    </row>
    <row r="98" spans="1:20" ht="17.25" customHeight="1" x14ac:dyDescent="0.35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142"/>
      <c r="O98" s="142"/>
      <c r="P98" s="142"/>
      <c r="Q98" s="142"/>
      <c r="R98" s="142"/>
      <c r="S98" s="142"/>
      <c r="T98" s="142"/>
    </row>
    <row r="99" spans="1:20" ht="17.25" customHeight="1" x14ac:dyDescent="0.35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142"/>
      <c r="O99" s="142"/>
      <c r="P99" s="142"/>
      <c r="Q99" s="142"/>
      <c r="R99" s="142"/>
      <c r="S99" s="142"/>
      <c r="T99" s="142"/>
    </row>
    <row r="100" spans="1:20" ht="17.25" customHeight="1" x14ac:dyDescent="0.35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142"/>
      <c r="O100" s="142"/>
      <c r="P100" s="142"/>
      <c r="Q100" s="142"/>
      <c r="R100" s="142"/>
      <c r="S100" s="142"/>
      <c r="T100" s="142"/>
    </row>
    <row r="101" spans="1:20" ht="17.25" customHeight="1" x14ac:dyDescent="0.35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142"/>
      <c r="O101" s="142"/>
      <c r="P101" s="142"/>
      <c r="Q101" s="142"/>
      <c r="R101" s="142"/>
      <c r="S101" s="142"/>
      <c r="T101" s="142"/>
    </row>
    <row r="102" spans="1:20" ht="17.25" customHeight="1" x14ac:dyDescent="0.35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142"/>
      <c r="O102" s="142"/>
      <c r="P102" s="142"/>
      <c r="Q102" s="142"/>
      <c r="R102" s="142"/>
      <c r="S102" s="142"/>
      <c r="T102" s="142"/>
    </row>
    <row r="103" spans="1:20" ht="17.25" customHeight="1" x14ac:dyDescent="0.35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142"/>
      <c r="O103" s="142"/>
      <c r="P103" s="142"/>
      <c r="Q103" s="142"/>
      <c r="R103" s="142"/>
      <c r="S103" s="142"/>
      <c r="T103" s="142"/>
    </row>
    <row r="104" spans="1:20" ht="17.25" customHeight="1" x14ac:dyDescent="0.35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142"/>
      <c r="O104" s="142"/>
      <c r="P104" s="142"/>
      <c r="Q104" s="142"/>
      <c r="R104" s="142"/>
      <c r="S104" s="142"/>
      <c r="T104" s="142"/>
    </row>
    <row r="105" spans="1:20" ht="17.25" customHeight="1" x14ac:dyDescent="0.35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142"/>
      <c r="O105" s="142"/>
      <c r="P105" s="142"/>
      <c r="Q105" s="142"/>
      <c r="R105" s="142"/>
      <c r="S105" s="142"/>
      <c r="T105" s="142"/>
    </row>
    <row r="106" spans="1:20" ht="17.25" customHeight="1" x14ac:dyDescent="0.35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142"/>
      <c r="O106" s="142"/>
      <c r="P106" s="142"/>
      <c r="Q106" s="142"/>
      <c r="R106" s="142"/>
      <c r="S106" s="142"/>
      <c r="T106" s="142"/>
    </row>
    <row r="107" spans="1:20" ht="17.25" customHeight="1" x14ac:dyDescent="0.35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142"/>
      <c r="O107" s="142"/>
      <c r="P107" s="142"/>
      <c r="Q107" s="142"/>
      <c r="R107" s="142"/>
      <c r="S107" s="142"/>
      <c r="T107" s="142"/>
    </row>
    <row r="108" spans="1:20" ht="17.25" customHeight="1" x14ac:dyDescent="0.35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142"/>
      <c r="O108" s="142"/>
      <c r="P108" s="142"/>
      <c r="Q108" s="142"/>
      <c r="R108" s="142"/>
      <c r="S108" s="142"/>
      <c r="T108" s="142"/>
    </row>
    <row r="109" spans="1:20" ht="17.25" customHeight="1" x14ac:dyDescent="0.35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142"/>
      <c r="O109" s="142"/>
      <c r="P109" s="142"/>
      <c r="Q109" s="142"/>
      <c r="R109" s="142"/>
      <c r="S109" s="142"/>
      <c r="T109" s="142"/>
    </row>
    <row r="110" spans="1:20" ht="17.25" customHeight="1" x14ac:dyDescent="0.35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142"/>
      <c r="O110" s="142"/>
      <c r="P110" s="142"/>
      <c r="Q110" s="142"/>
      <c r="R110" s="142"/>
      <c r="S110" s="142"/>
      <c r="T110" s="142"/>
    </row>
    <row r="111" spans="1:20" ht="17.25" customHeight="1" x14ac:dyDescent="0.35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142"/>
      <c r="O111" s="142"/>
      <c r="P111" s="142"/>
      <c r="Q111" s="142"/>
      <c r="R111" s="142"/>
      <c r="S111" s="142"/>
      <c r="T111" s="142"/>
    </row>
    <row r="112" spans="1:20" ht="17.25" customHeight="1" x14ac:dyDescent="0.35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142"/>
      <c r="O112" s="142"/>
      <c r="P112" s="142"/>
      <c r="Q112" s="142"/>
      <c r="R112" s="142"/>
      <c r="S112" s="142"/>
      <c r="T112" s="142"/>
    </row>
    <row r="113" spans="1:20" ht="17.25" customHeight="1" x14ac:dyDescent="0.35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142"/>
      <c r="O113" s="142"/>
      <c r="P113" s="142"/>
      <c r="Q113" s="142"/>
      <c r="R113" s="142"/>
      <c r="S113" s="142"/>
      <c r="T113" s="142"/>
    </row>
    <row r="114" spans="1:20" ht="17.25" customHeight="1" x14ac:dyDescent="0.35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142"/>
      <c r="O114" s="142"/>
      <c r="P114" s="142"/>
      <c r="Q114" s="142"/>
      <c r="R114" s="142"/>
      <c r="S114" s="142"/>
      <c r="T114" s="142"/>
    </row>
    <row r="115" spans="1:20" ht="17.25" customHeight="1" x14ac:dyDescent="0.35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142"/>
      <c r="O115" s="142"/>
      <c r="P115" s="142"/>
      <c r="Q115" s="142"/>
      <c r="R115" s="142"/>
      <c r="S115" s="142"/>
      <c r="T115" s="142"/>
    </row>
    <row r="116" spans="1:20" ht="17.25" customHeight="1" x14ac:dyDescent="0.35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142"/>
      <c r="O116" s="142"/>
      <c r="P116" s="142"/>
      <c r="Q116" s="142"/>
      <c r="R116" s="142"/>
      <c r="S116" s="142"/>
      <c r="T116" s="142"/>
    </row>
    <row r="117" spans="1:20" ht="17.25" customHeight="1" x14ac:dyDescent="0.35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142"/>
      <c r="O117" s="142"/>
      <c r="P117" s="142"/>
      <c r="Q117" s="142"/>
      <c r="R117" s="142"/>
      <c r="S117" s="142"/>
      <c r="T117" s="142"/>
    </row>
    <row r="118" spans="1:20" ht="17.25" customHeight="1" x14ac:dyDescent="0.35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142"/>
      <c r="O118" s="142"/>
      <c r="P118" s="142"/>
      <c r="Q118" s="142"/>
      <c r="R118" s="142"/>
      <c r="S118" s="142"/>
      <c r="T118" s="142"/>
    </row>
  </sheetData>
  <conditionalFormatting sqref="B24:T24">
    <cfRule type="cellIs" dxfId="3" priority="3" stopIfTrue="1" operator="lessThan">
      <formula>1</formula>
    </cfRule>
    <cfRule type="cellIs" dxfId="2" priority="4" stopIfTrue="1" operator="equal">
      <formula>1</formula>
    </cfRule>
  </conditionalFormatting>
  <conditionalFormatting sqref="B33:T33">
    <cfRule type="cellIs" dxfId="1" priority="1" stopIfTrue="1" operator="lessThan">
      <formula>1</formula>
    </cfRule>
    <cfRule type="cellIs" dxfId="0" priority="2" stopIfTrue="1" operator="equal">
      <formula>1</formula>
    </cfRule>
  </conditionalFormatting>
  <pageMargins left="0.7" right="0.7" top="0.75" bottom="0.75" header="0.3" footer="0.3"/>
  <pageSetup paperSize="9" orientation="portrait" r:id="rId1"/>
  <ignoredErrors>
    <ignoredError sqref="T16 B16:P16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T43"/>
  <sheetViews>
    <sheetView zoomScale="101" zoomScaleNormal="101" workbookViewId="0">
      <pane xSplit="2" topLeftCell="L1" activePane="topRight" state="frozen"/>
      <selection pane="topRight" activeCell="S9" sqref="S9"/>
    </sheetView>
  </sheetViews>
  <sheetFormatPr baseColWidth="10" defaultColWidth="10.59765625" defaultRowHeight="15.4" x14ac:dyDescent="0.35"/>
  <cols>
    <col min="1" max="1" width="0.796875" style="138" customWidth="1"/>
    <col min="2" max="2" width="26.6484375" style="138" customWidth="1"/>
    <col min="3" max="3" width="9.34765625" style="138" bestFit="1" customWidth="1"/>
    <col min="4" max="4" width="6.69921875" style="138" bestFit="1" customWidth="1"/>
    <col min="5" max="5" width="9.6484375" style="138" customWidth="1"/>
    <col min="6" max="6" width="9.046875" style="138" customWidth="1"/>
    <col min="7" max="7" width="9.34765625" style="138" customWidth="1"/>
    <col min="8" max="8" width="9.44921875" style="138" customWidth="1"/>
    <col min="9" max="9" width="9.44921875" style="138" bestFit="1" customWidth="1"/>
    <col min="10" max="10" width="9.8984375" style="138" bestFit="1" customWidth="1"/>
    <col min="11" max="11" width="9.44921875" style="138" bestFit="1" customWidth="1"/>
    <col min="12" max="12" width="9.046875" style="138" customWidth="1"/>
    <col min="13" max="13" width="9.44921875" style="138" bestFit="1" customWidth="1"/>
    <col min="14" max="14" width="9.046875" style="138" bestFit="1" customWidth="1"/>
    <col min="15" max="15" width="9.44921875" style="138" bestFit="1" customWidth="1"/>
    <col min="16" max="16" width="8.546875" style="138" bestFit="1" customWidth="1"/>
    <col min="17" max="17" width="9.75" style="138" customWidth="1"/>
    <col min="18" max="18" width="9.046875" style="138" bestFit="1" customWidth="1"/>
    <col min="19" max="16384" width="10.59765625" style="138"/>
  </cols>
  <sheetData>
    <row r="1" spans="1:20" ht="11.1" customHeight="1" x14ac:dyDescent="0.35"/>
    <row r="2" spans="1:20" ht="30.6" customHeight="1" x14ac:dyDescent="0.35">
      <c r="A2" s="139"/>
      <c r="B2" s="228" t="s">
        <v>320</v>
      </c>
      <c r="C2" s="334" t="s">
        <v>271</v>
      </c>
      <c r="D2" s="335" t="s">
        <v>0</v>
      </c>
      <c r="E2" s="336" t="s">
        <v>272</v>
      </c>
      <c r="F2" s="337" t="s">
        <v>0</v>
      </c>
      <c r="G2" s="334" t="s">
        <v>199</v>
      </c>
      <c r="H2" s="335" t="s">
        <v>0</v>
      </c>
      <c r="I2" s="336" t="s">
        <v>234</v>
      </c>
      <c r="J2" s="337" t="s">
        <v>0</v>
      </c>
      <c r="K2" s="338" t="s">
        <v>269</v>
      </c>
      <c r="L2" s="333" t="s">
        <v>0</v>
      </c>
      <c r="M2" s="336" t="s">
        <v>302</v>
      </c>
      <c r="N2" s="337" t="s">
        <v>0</v>
      </c>
      <c r="O2" s="338" t="s">
        <v>311</v>
      </c>
      <c r="P2" s="333" t="s">
        <v>0</v>
      </c>
      <c r="Q2" s="336" t="s">
        <v>312</v>
      </c>
      <c r="R2" s="337" t="s">
        <v>0</v>
      </c>
      <c r="S2" s="328" t="s">
        <v>319</v>
      </c>
      <c r="T2" s="329" t="s">
        <v>0</v>
      </c>
    </row>
    <row r="3" spans="1:20" ht="28.5" hidden="1" customHeight="1" x14ac:dyDescent="0.35">
      <c r="A3" s="139"/>
      <c r="B3" s="232" t="s">
        <v>196</v>
      </c>
      <c r="C3" s="237">
        <v>252642.43</v>
      </c>
      <c r="D3" s="234">
        <v>0</v>
      </c>
      <c r="E3" s="233">
        <v>277824.52</v>
      </c>
      <c r="F3" s="235">
        <f t="shared" ref="F3:F21" si="0">E3-C3</f>
        <v>25182.090000000026</v>
      </c>
      <c r="G3" s="233">
        <v>100918.01</v>
      </c>
      <c r="H3" s="238">
        <f t="shared" ref="H3:H5" si="1">G3-E3</f>
        <v>-176906.51</v>
      </c>
      <c r="I3" s="233">
        <v>0</v>
      </c>
      <c r="J3" s="238">
        <f t="shared" ref="J3:L5" si="2">I3-G3</f>
        <v>-100918.01</v>
      </c>
      <c r="K3" s="233">
        <v>0</v>
      </c>
      <c r="L3" s="238">
        <f t="shared" si="2"/>
        <v>0</v>
      </c>
      <c r="M3" s="233">
        <v>0</v>
      </c>
      <c r="N3" s="238">
        <f t="shared" ref="N3" si="3">M3-K3</f>
        <v>0</v>
      </c>
      <c r="O3" s="233">
        <v>0</v>
      </c>
      <c r="P3" s="238">
        <f t="shared" ref="P3" si="4">O3-M3</f>
        <v>0</v>
      </c>
      <c r="Q3" s="233">
        <v>0</v>
      </c>
      <c r="R3" s="238">
        <f t="shared" ref="R3" si="5">Q3-O3</f>
        <v>0</v>
      </c>
      <c r="S3" s="233">
        <v>0</v>
      </c>
      <c r="T3" s="238">
        <f t="shared" ref="T3" si="6">S3-Q3</f>
        <v>0</v>
      </c>
    </row>
    <row r="4" spans="1:20" ht="25.5" customHeight="1" x14ac:dyDescent="0.35">
      <c r="A4" s="139"/>
      <c r="B4" s="229" t="s">
        <v>263</v>
      </c>
      <c r="C4" s="282">
        <v>0</v>
      </c>
      <c r="D4" s="283">
        <v>0</v>
      </c>
      <c r="E4" s="284">
        <v>0</v>
      </c>
      <c r="F4" s="285">
        <v>0</v>
      </c>
      <c r="G4" s="284">
        <v>239373.11</v>
      </c>
      <c r="H4" s="285">
        <f t="shared" si="1"/>
        <v>239373.11</v>
      </c>
      <c r="I4" s="284">
        <v>5736.39</v>
      </c>
      <c r="J4" s="286">
        <f t="shared" si="2"/>
        <v>-233636.71999999997</v>
      </c>
      <c r="K4" s="284">
        <v>50722.59</v>
      </c>
      <c r="L4" s="285">
        <f>K4-I4</f>
        <v>44986.2</v>
      </c>
      <c r="M4" s="284">
        <v>27713.56</v>
      </c>
      <c r="N4" s="286">
        <f>M4-K4</f>
        <v>-23009.029999999995</v>
      </c>
      <c r="O4" s="284">
        <v>47000</v>
      </c>
      <c r="P4" s="285">
        <f>O4-M4</f>
        <v>19286.439999999999</v>
      </c>
      <c r="Q4" s="284">
        <v>36368</v>
      </c>
      <c r="R4" s="285">
        <f>Q4-O4</f>
        <v>-10632</v>
      </c>
      <c r="S4" s="284">
        <v>61107.59</v>
      </c>
      <c r="T4" s="285">
        <f>S4-Q4</f>
        <v>24739.589999999997</v>
      </c>
    </row>
    <row r="5" spans="1:20" ht="25.5" customHeight="1" x14ac:dyDescent="0.35">
      <c r="A5" s="139"/>
      <c r="B5" s="232" t="s">
        <v>202</v>
      </c>
      <c r="C5" s="287">
        <v>18000</v>
      </c>
      <c r="D5" s="288">
        <v>0</v>
      </c>
      <c r="E5" s="289">
        <v>1200</v>
      </c>
      <c r="F5" s="290">
        <f t="shared" si="0"/>
        <v>-16800</v>
      </c>
      <c r="G5" s="289">
        <v>1200</v>
      </c>
      <c r="H5" s="290">
        <f t="shared" si="1"/>
        <v>0</v>
      </c>
      <c r="I5" s="289">
        <v>1200</v>
      </c>
      <c r="J5" s="291">
        <f t="shared" si="2"/>
        <v>0</v>
      </c>
      <c r="K5" s="289">
        <v>1200</v>
      </c>
      <c r="L5" s="291">
        <f t="shared" si="2"/>
        <v>0</v>
      </c>
      <c r="M5" s="289">
        <v>1200</v>
      </c>
      <c r="N5" s="291">
        <f t="shared" ref="N5:N8" si="7">M5-K5</f>
        <v>0</v>
      </c>
      <c r="O5" s="289">
        <v>4226.17</v>
      </c>
      <c r="P5" s="291">
        <f t="shared" ref="P5:P8" si="8">O5-M5</f>
        <v>3026.17</v>
      </c>
      <c r="Q5" s="289">
        <v>14500</v>
      </c>
      <c r="R5" s="291">
        <f t="shared" ref="R5:R8" si="9">Q5-O5</f>
        <v>10273.83</v>
      </c>
      <c r="S5" s="289">
        <v>12000</v>
      </c>
      <c r="T5" s="291">
        <f t="shared" ref="T5:T8" si="10">S5-Q5</f>
        <v>-2500</v>
      </c>
    </row>
    <row r="6" spans="1:20" ht="25.5" customHeight="1" x14ac:dyDescent="0.35">
      <c r="A6" s="139"/>
      <c r="B6" s="229" t="s">
        <v>251</v>
      </c>
      <c r="C6" s="282">
        <v>0</v>
      </c>
      <c r="D6" s="283">
        <v>0</v>
      </c>
      <c r="E6" s="284">
        <v>0</v>
      </c>
      <c r="F6" s="285">
        <v>0</v>
      </c>
      <c r="G6" s="284">
        <v>0</v>
      </c>
      <c r="H6" s="285">
        <f t="shared" ref="H6:H7" si="11">G6-E6</f>
        <v>0</v>
      </c>
      <c r="I6" s="284">
        <v>0</v>
      </c>
      <c r="J6" s="285">
        <f t="shared" ref="J6:L7" si="12">I6-G6</f>
        <v>0</v>
      </c>
      <c r="K6" s="284">
        <v>0</v>
      </c>
      <c r="L6" s="285">
        <f t="shared" si="12"/>
        <v>0</v>
      </c>
      <c r="M6" s="284">
        <v>0</v>
      </c>
      <c r="N6" s="285">
        <f t="shared" si="7"/>
        <v>0</v>
      </c>
      <c r="O6" s="284">
        <v>0</v>
      </c>
      <c r="P6" s="285">
        <f t="shared" si="8"/>
        <v>0</v>
      </c>
      <c r="Q6" s="284">
        <v>0</v>
      </c>
      <c r="R6" s="285">
        <f t="shared" si="9"/>
        <v>0</v>
      </c>
      <c r="S6" s="284">
        <v>9075</v>
      </c>
      <c r="T6" s="285">
        <f t="shared" si="10"/>
        <v>9075</v>
      </c>
    </row>
    <row r="7" spans="1:20" ht="25.5" customHeight="1" x14ac:dyDescent="0.35">
      <c r="A7" s="139"/>
      <c r="B7" s="232" t="s">
        <v>250</v>
      </c>
      <c r="C7" s="287">
        <v>0</v>
      </c>
      <c r="D7" s="288">
        <v>0</v>
      </c>
      <c r="E7" s="289">
        <v>0</v>
      </c>
      <c r="F7" s="290">
        <f t="shared" ref="F7" si="13">E7-C7</f>
        <v>0</v>
      </c>
      <c r="G7" s="289">
        <v>0</v>
      </c>
      <c r="H7" s="290">
        <f t="shared" si="11"/>
        <v>0</v>
      </c>
      <c r="I7" s="289">
        <v>0</v>
      </c>
      <c r="J7" s="291">
        <f t="shared" si="12"/>
        <v>0</v>
      </c>
      <c r="K7" s="289">
        <v>0</v>
      </c>
      <c r="L7" s="291">
        <f t="shared" si="12"/>
        <v>0</v>
      </c>
      <c r="M7" s="289">
        <v>0</v>
      </c>
      <c r="N7" s="291">
        <f t="shared" si="7"/>
        <v>0</v>
      </c>
      <c r="O7" s="289">
        <v>0</v>
      </c>
      <c r="P7" s="291">
        <f t="shared" si="8"/>
        <v>0</v>
      </c>
      <c r="Q7" s="289">
        <v>0</v>
      </c>
      <c r="R7" s="291">
        <f t="shared" si="9"/>
        <v>0</v>
      </c>
      <c r="S7" s="289">
        <v>6975</v>
      </c>
      <c r="T7" s="291">
        <f t="shared" si="10"/>
        <v>6975</v>
      </c>
    </row>
    <row r="8" spans="1:20" ht="25.5" customHeight="1" x14ac:dyDescent="0.35">
      <c r="A8" s="139"/>
      <c r="B8" s="229" t="s">
        <v>308</v>
      </c>
      <c r="C8" s="282">
        <v>0</v>
      </c>
      <c r="D8" s="283">
        <v>0</v>
      </c>
      <c r="E8" s="284">
        <v>0</v>
      </c>
      <c r="F8" s="292">
        <f t="shared" ref="F8" si="14">E8-C8</f>
        <v>0</v>
      </c>
      <c r="G8" s="284">
        <v>0</v>
      </c>
      <c r="H8" s="292">
        <f t="shared" ref="H8" si="15">G8-E8</f>
        <v>0</v>
      </c>
      <c r="I8" s="284">
        <v>0</v>
      </c>
      <c r="J8" s="285">
        <f t="shared" ref="J8" si="16">I8-G8</f>
        <v>0</v>
      </c>
      <c r="K8" s="284">
        <v>0</v>
      </c>
      <c r="L8" s="285">
        <f t="shared" ref="L8" si="17">K8-I8</f>
        <v>0</v>
      </c>
      <c r="M8" s="284">
        <v>0</v>
      </c>
      <c r="N8" s="285">
        <f t="shared" si="7"/>
        <v>0</v>
      </c>
      <c r="O8" s="284">
        <v>0</v>
      </c>
      <c r="P8" s="285">
        <f t="shared" si="8"/>
        <v>0</v>
      </c>
      <c r="Q8" s="284">
        <v>0</v>
      </c>
      <c r="R8" s="285">
        <f t="shared" si="9"/>
        <v>0</v>
      </c>
      <c r="S8" s="284">
        <v>6585.26</v>
      </c>
      <c r="T8" s="285">
        <f t="shared" si="10"/>
        <v>6585.26</v>
      </c>
    </row>
    <row r="9" spans="1:20" ht="25.5" customHeight="1" x14ac:dyDescent="0.35">
      <c r="A9" s="139"/>
      <c r="B9" s="230" t="s">
        <v>1</v>
      </c>
      <c r="C9" s="293">
        <v>31053</v>
      </c>
      <c r="D9" s="294">
        <v>0</v>
      </c>
      <c r="E9" s="293">
        <v>40321</v>
      </c>
      <c r="F9" s="295">
        <f>E9-C9</f>
        <v>9268</v>
      </c>
      <c r="G9" s="293">
        <v>47912.89</v>
      </c>
      <c r="H9" s="295">
        <f>G9-E9</f>
        <v>7591.8899999999994</v>
      </c>
      <c r="I9" s="293">
        <v>51104.07</v>
      </c>
      <c r="J9" s="295">
        <f>I9-G9</f>
        <v>3191.1800000000003</v>
      </c>
      <c r="K9" s="296">
        <v>48608.25</v>
      </c>
      <c r="L9" s="327">
        <f>K9-I9</f>
        <v>-2495.8199999999997</v>
      </c>
      <c r="M9" s="296">
        <v>52052.21</v>
      </c>
      <c r="N9" s="295">
        <f>M9-K9</f>
        <v>3443.9599999999991</v>
      </c>
      <c r="O9" s="296">
        <v>55513.31</v>
      </c>
      <c r="P9" s="295">
        <f>O9-M9</f>
        <v>3461.0999999999985</v>
      </c>
      <c r="Q9" s="296">
        <v>58106.23</v>
      </c>
      <c r="R9" s="295">
        <f>Q9-O9</f>
        <v>2592.9200000000055</v>
      </c>
      <c r="S9" s="296">
        <v>58622.63</v>
      </c>
      <c r="T9" s="295">
        <f>S9-Q9</f>
        <v>516.39999999999418</v>
      </c>
    </row>
    <row r="10" spans="1:20" ht="27.4" hidden="1" customHeight="1" x14ac:dyDescent="0.35">
      <c r="A10" s="139"/>
      <c r="B10" s="229" t="s">
        <v>203</v>
      </c>
      <c r="C10" s="284">
        <v>39170</v>
      </c>
      <c r="D10" s="283">
        <v>0</v>
      </c>
      <c r="E10" s="284">
        <v>0</v>
      </c>
      <c r="F10" s="292">
        <f t="shared" si="0"/>
        <v>-39170</v>
      </c>
      <c r="G10" s="284">
        <v>0</v>
      </c>
      <c r="H10" s="292">
        <f t="shared" ref="F10:H21" si="18">G10-E10</f>
        <v>0</v>
      </c>
      <c r="I10" s="284">
        <v>0</v>
      </c>
      <c r="J10" s="292">
        <f t="shared" ref="J10:L21" si="19">I10-G10</f>
        <v>0</v>
      </c>
      <c r="K10" s="284">
        <v>0</v>
      </c>
      <c r="L10" s="292">
        <f t="shared" si="19"/>
        <v>0</v>
      </c>
      <c r="M10" s="284">
        <v>0</v>
      </c>
      <c r="N10" s="292">
        <f t="shared" ref="N10:N21" si="20">M10-K10</f>
        <v>0</v>
      </c>
      <c r="O10" s="284">
        <v>0</v>
      </c>
      <c r="P10" s="339">
        <f t="shared" ref="P10:P21" si="21">O10-M10</f>
        <v>0</v>
      </c>
      <c r="Q10" s="284">
        <v>0</v>
      </c>
      <c r="R10" s="339">
        <f t="shared" ref="R10:R21" si="22">Q10-O10</f>
        <v>0</v>
      </c>
      <c r="S10" s="284">
        <v>0</v>
      </c>
      <c r="T10" s="339">
        <f t="shared" ref="T10:T21" si="23">S10-Q10</f>
        <v>0</v>
      </c>
    </row>
    <row r="11" spans="1:20" ht="27.4" hidden="1" customHeight="1" x14ac:dyDescent="0.35">
      <c r="A11" s="139"/>
      <c r="B11" s="230" t="s">
        <v>2</v>
      </c>
      <c r="C11" s="293">
        <v>49457.36</v>
      </c>
      <c r="D11" s="294">
        <v>0</v>
      </c>
      <c r="E11" s="293">
        <v>21957.360000000001</v>
      </c>
      <c r="F11" s="297">
        <f>E11-C11</f>
        <v>-27500</v>
      </c>
      <c r="G11" s="293">
        <v>0</v>
      </c>
      <c r="H11" s="297">
        <f t="shared" si="18"/>
        <v>-21957.360000000001</v>
      </c>
      <c r="I11" s="293">
        <v>0</v>
      </c>
      <c r="J11" s="297">
        <f t="shared" si="19"/>
        <v>0</v>
      </c>
      <c r="K11" s="293">
        <v>0</v>
      </c>
      <c r="L11" s="297">
        <f t="shared" si="19"/>
        <v>0</v>
      </c>
      <c r="M11" s="293">
        <v>0</v>
      </c>
      <c r="N11" s="297">
        <f t="shared" si="20"/>
        <v>0</v>
      </c>
      <c r="O11" s="293">
        <v>0</v>
      </c>
      <c r="P11" s="340">
        <f t="shared" si="21"/>
        <v>0</v>
      </c>
      <c r="Q11" s="293">
        <v>0</v>
      </c>
      <c r="R11" s="340">
        <f t="shared" si="22"/>
        <v>0</v>
      </c>
      <c r="S11" s="293">
        <v>0</v>
      </c>
      <c r="T11" s="340">
        <f t="shared" si="23"/>
        <v>0</v>
      </c>
    </row>
    <row r="12" spans="1:20" ht="28.15" customHeight="1" x14ac:dyDescent="0.35">
      <c r="A12" s="139"/>
      <c r="B12" s="229" t="s">
        <v>3</v>
      </c>
      <c r="C12" s="284">
        <v>0</v>
      </c>
      <c r="D12" s="283">
        <v>0</v>
      </c>
      <c r="E12" s="284">
        <v>60000</v>
      </c>
      <c r="F12" s="285">
        <f t="shared" ref="F12" si="24">E12-C12</f>
        <v>60000</v>
      </c>
      <c r="G12" s="284">
        <v>0</v>
      </c>
      <c r="H12" s="292">
        <f t="shared" si="18"/>
        <v>-60000</v>
      </c>
      <c r="I12" s="284">
        <v>145000</v>
      </c>
      <c r="J12" s="285">
        <f t="shared" si="19"/>
        <v>145000</v>
      </c>
      <c r="K12" s="284">
        <v>235000</v>
      </c>
      <c r="L12" s="285">
        <f t="shared" si="19"/>
        <v>90000</v>
      </c>
      <c r="M12" s="284">
        <v>200000</v>
      </c>
      <c r="N12" s="286">
        <f t="shared" si="20"/>
        <v>-35000</v>
      </c>
      <c r="O12" s="284">
        <v>235000</v>
      </c>
      <c r="P12" s="285">
        <f t="shared" si="21"/>
        <v>35000</v>
      </c>
      <c r="Q12" s="284">
        <v>305000</v>
      </c>
      <c r="R12" s="285">
        <f t="shared" si="22"/>
        <v>70000</v>
      </c>
      <c r="S12" s="284">
        <v>304500</v>
      </c>
      <c r="T12" s="285">
        <f t="shared" si="23"/>
        <v>-500</v>
      </c>
    </row>
    <row r="13" spans="1:20" ht="27.4" hidden="1" customHeight="1" x14ac:dyDescent="0.35">
      <c r="A13" s="139"/>
      <c r="B13" s="230" t="s">
        <v>4</v>
      </c>
      <c r="C13" s="293">
        <v>0</v>
      </c>
      <c r="D13" s="294">
        <v>0</v>
      </c>
      <c r="E13" s="293">
        <v>25000</v>
      </c>
      <c r="F13" s="295">
        <f t="shared" ref="F13" si="25">E13-C13</f>
        <v>25000</v>
      </c>
      <c r="G13" s="293">
        <v>0</v>
      </c>
      <c r="H13" s="297">
        <f t="shared" si="18"/>
        <v>-25000</v>
      </c>
      <c r="I13" s="293">
        <v>0</v>
      </c>
      <c r="J13" s="297">
        <f t="shared" si="19"/>
        <v>0</v>
      </c>
      <c r="K13" s="293">
        <v>0</v>
      </c>
      <c r="L13" s="297">
        <f t="shared" si="19"/>
        <v>0</v>
      </c>
      <c r="M13" s="293">
        <v>0</v>
      </c>
      <c r="N13" s="297">
        <f t="shared" si="20"/>
        <v>0</v>
      </c>
      <c r="O13" s="293">
        <v>0</v>
      </c>
      <c r="P13" s="340">
        <f t="shared" si="21"/>
        <v>0</v>
      </c>
      <c r="Q13" s="293">
        <v>0</v>
      </c>
      <c r="R13" s="340">
        <f t="shared" si="22"/>
        <v>0</v>
      </c>
      <c r="S13" s="293">
        <v>0</v>
      </c>
      <c r="T13" s="340">
        <f t="shared" si="23"/>
        <v>0</v>
      </c>
    </row>
    <row r="14" spans="1:20" ht="27.4" customHeight="1" x14ac:dyDescent="0.35">
      <c r="A14" s="139"/>
      <c r="B14" s="229" t="s">
        <v>318</v>
      </c>
      <c r="C14" s="284"/>
      <c r="D14" s="283"/>
      <c r="E14" s="284"/>
      <c r="F14" s="285"/>
      <c r="G14" s="284"/>
      <c r="H14" s="292"/>
      <c r="I14" s="284"/>
      <c r="J14" s="292">
        <v>0</v>
      </c>
      <c r="K14" s="339">
        <v>0</v>
      </c>
      <c r="L14" s="292">
        <v>0</v>
      </c>
      <c r="M14" s="339">
        <v>0</v>
      </c>
      <c r="N14" s="292">
        <v>0</v>
      </c>
      <c r="O14" s="284">
        <v>0</v>
      </c>
      <c r="P14" s="339">
        <v>0</v>
      </c>
      <c r="Q14" s="284">
        <v>0</v>
      </c>
      <c r="R14" s="339">
        <v>0</v>
      </c>
      <c r="S14" s="284">
        <v>13725</v>
      </c>
      <c r="T14" s="339">
        <f t="shared" si="23"/>
        <v>13725</v>
      </c>
    </row>
    <row r="15" spans="1:20" ht="33" customHeight="1" x14ac:dyDescent="0.35">
      <c r="A15" s="139"/>
      <c r="B15" s="232" t="s">
        <v>5</v>
      </c>
      <c r="C15" s="289">
        <v>0</v>
      </c>
      <c r="D15" s="288">
        <v>0</v>
      </c>
      <c r="E15" s="289">
        <v>0</v>
      </c>
      <c r="F15" s="291">
        <f t="shared" si="18"/>
        <v>0</v>
      </c>
      <c r="G15" s="289">
        <v>0</v>
      </c>
      <c r="H15" s="291">
        <f t="shared" si="18"/>
        <v>0</v>
      </c>
      <c r="I15" s="289">
        <v>0</v>
      </c>
      <c r="J15" s="291">
        <f t="shared" si="19"/>
        <v>0</v>
      </c>
      <c r="K15" s="289">
        <v>0</v>
      </c>
      <c r="L15" s="291">
        <f t="shared" si="19"/>
        <v>0</v>
      </c>
      <c r="M15" s="289">
        <v>0</v>
      </c>
      <c r="N15" s="291">
        <f t="shared" si="20"/>
        <v>0</v>
      </c>
      <c r="O15" s="289">
        <v>0</v>
      </c>
      <c r="P15" s="291">
        <f t="shared" si="21"/>
        <v>0</v>
      </c>
      <c r="Q15" s="289">
        <v>0</v>
      </c>
      <c r="R15" s="291">
        <f t="shared" si="22"/>
        <v>0</v>
      </c>
      <c r="S15" s="289">
        <v>24475</v>
      </c>
      <c r="T15" s="291">
        <f t="shared" si="23"/>
        <v>24475</v>
      </c>
    </row>
    <row r="16" spans="1:20" ht="33" hidden="1" customHeight="1" x14ac:dyDescent="0.35">
      <c r="A16" s="139"/>
      <c r="B16" s="229" t="s">
        <v>207</v>
      </c>
      <c r="C16" s="284">
        <v>0</v>
      </c>
      <c r="D16" s="283">
        <v>0</v>
      </c>
      <c r="E16" s="284">
        <v>0</v>
      </c>
      <c r="F16" s="285">
        <f t="shared" si="0"/>
        <v>0</v>
      </c>
      <c r="G16" s="284">
        <v>165757</v>
      </c>
      <c r="H16" s="285">
        <f t="shared" ref="H16" si="26">G16-E16</f>
        <v>165757</v>
      </c>
      <c r="I16" s="284">
        <v>165757</v>
      </c>
      <c r="J16" s="292">
        <f t="shared" si="19"/>
        <v>0</v>
      </c>
      <c r="K16" s="284">
        <v>165757</v>
      </c>
      <c r="L16" s="285">
        <f t="shared" si="19"/>
        <v>0</v>
      </c>
      <c r="M16" s="284">
        <v>165757</v>
      </c>
      <c r="N16" s="285">
        <f t="shared" si="20"/>
        <v>0</v>
      </c>
      <c r="O16" s="284">
        <v>165757</v>
      </c>
      <c r="P16" s="285">
        <f t="shared" si="21"/>
        <v>0</v>
      </c>
      <c r="Q16" s="284">
        <v>165757</v>
      </c>
      <c r="R16" s="285">
        <f t="shared" si="22"/>
        <v>0</v>
      </c>
      <c r="S16" s="284">
        <v>165757</v>
      </c>
      <c r="T16" s="285">
        <f t="shared" si="23"/>
        <v>0</v>
      </c>
    </row>
    <row r="17" spans="1:20" ht="33" hidden="1" customHeight="1" x14ac:dyDescent="0.35">
      <c r="A17" s="139"/>
      <c r="B17" s="232" t="s">
        <v>240</v>
      </c>
      <c r="C17" s="289">
        <v>0</v>
      </c>
      <c r="D17" s="288">
        <v>0</v>
      </c>
      <c r="E17" s="289">
        <v>0</v>
      </c>
      <c r="F17" s="291">
        <f t="shared" ref="F17" si="27">E17-C17</f>
        <v>0</v>
      </c>
      <c r="G17" s="289">
        <v>0</v>
      </c>
      <c r="H17" s="290">
        <f t="shared" ref="H17" si="28">G17-E17</f>
        <v>0</v>
      </c>
      <c r="I17" s="289">
        <v>100440</v>
      </c>
      <c r="J17" s="291">
        <f t="shared" ref="J17:L17" si="29">I17-G17</f>
        <v>100440</v>
      </c>
      <c r="K17" s="289">
        <v>100440</v>
      </c>
      <c r="L17" s="291">
        <f t="shared" si="29"/>
        <v>0</v>
      </c>
      <c r="M17" s="289">
        <v>100440</v>
      </c>
      <c r="N17" s="291">
        <f t="shared" si="20"/>
        <v>0</v>
      </c>
      <c r="O17" s="289">
        <v>100440</v>
      </c>
      <c r="P17" s="291">
        <f t="shared" si="21"/>
        <v>0</v>
      </c>
      <c r="Q17" s="289">
        <v>100440</v>
      </c>
      <c r="R17" s="291">
        <f t="shared" si="22"/>
        <v>0</v>
      </c>
      <c r="S17" s="289">
        <v>100440</v>
      </c>
      <c r="T17" s="291">
        <f t="shared" si="23"/>
        <v>0</v>
      </c>
    </row>
    <row r="18" spans="1:20" ht="33" hidden="1" customHeight="1" x14ac:dyDescent="0.35">
      <c r="A18" s="139"/>
      <c r="B18" s="229" t="s">
        <v>275</v>
      </c>
      <c r="C18" s="284">
        <v>0</v>
      </c>
      <c r="D18" s="283">
        <v>0</v>
      </c>
      <c r="E18" s="284">
        <v>0</v>
      </c>
      <c r="F18" s="285">
        <f t="shared" ref="F18:F19" si="30">E18-C18</f>
        <v>0</v>
      </c>
      <c r="G18" s="284">
        <v>0</v>
      </c>
      <c r="H18" s="292">
        <f t="shared" ref="H18:H19" si="31">G18-E18</f>
        <v>0</v>
      </c>
      <c r="I18" s="284">
        <v>157846</v>
      </c>
      <c r="J18" s="285">
        <f t="shared" ref="J18:J19" si="32">I18-G18</f>
        <v>157846</v>
      </c>
      <c r="K18" s="284">
        <v>157846</v>
      </c>
      <c r="L18" s="285">
        <f t="shared" ref="L18:L19" si="33">K18-I18</f>
        <v>0</v>
      </c>
      <c r="M18" s="284">
        <v>157846</v>
      </c>
      <c r="N18" s="285">
        <f t="shared" si="20"/>
        <v>0</v>
      </c>
      <c r="O18" s="284">
        <v>157846</v>
      </c>
      <c r="P18" s="285">
        <f t="shared" si="21"/>
        <v>0</v>
      </c>
      <c r="Q18" s="284">
        <v>157846</v>
      </c>
      <c r="R18" s="285">
        <f t="shared" si="22"/>
        <v>0</v>
      </c>
      <c r="S18" s="284">
        <v>157846</v>
      </c>
      <c r="T18" s="285">
        <f t="shared" si="23"/>
        <v>0</v>
      </c>
    </row>
    <row r="19" spans="1:20" ht="27.4" hidden="1" customHeight="1" x14ac:dyDescent="0.35">
      <c r="A19" s="139"/>
      <c r="B19" s="232" t="s">
        <v>210</v>
      </c>
      <c r="C19" s="287">
        <v>0</v>
      </c>
      <c r="D19" s="288">
        <v>0</v>
      </c>
      <c r="E19" s="289">
        <v>0</v>
      </c>
      <c r="F19" s="290">
        <f t="shared" si="30"/>
        <v>0</v>
      </c>
      <c r="G19" s="298">
        <v>-77979.81</v>
      </c>
      <c r="H19" s="290">
        <f t="shared" si="31"/>
        <v>-77979.81</v>
      </c>
      <c r="I19" s="298">
        <v>-69841.83</v>
      </c>
      <c r="J19" s="291">
        <f t="shared" si="32"/>
        <v>8137.9799999999959</v>
      </c>
      <c r="K19" s="298">
        <v>-63633.63</v>
      </c>
      <c r="L19" s="291">
        <f t="shared" si="33"/>
        <v>6208.2000000000044</v>
      </c>
      <c r="M19" s="289">
        <v>0</v>
      </c>
      <c r="N19" s="291">
        <f t="shared" si="20"/>
        <v>63633.63</v>
      </c>
      <c r="O19" s="289">
        <v>0</v>
      </c>
      <c r="P19" s="291">
        <f t="shared" si="21"/>
        <v>0</v>
      </c>
      <c r="Q19" s="289">
        <v>0</v>
      </c>
      <c r="R19" s="291">
        <f t="shared" si="22"/>
        <v>0</v>
      </c>
      <c r="S19" s="289">
        <v>0</v>
      </c>
      <c r="T19" s="291">
        <f t="shared" si="23"/>
        <v>0</v>
      </c>
    </row>
    <row r="20" spans="1:20" ht="27.4" hidden="1" customHeight="1" x14ac:dyDescent="0.35">
      <c r="A20" s="139"/>
      <c r="B20" s="229" t="s">
        <v>210</v>
      </c>
      <c r="C20" s="282">
        <v>0</v>
      </c>
      <c r="D20" s="283">
        <v>0</v>
      </c>
      <c r="E20" s="284">
        <v>0</v>
      </c>
      <c r="F20" s="292">
        <f t="shared" ref="F20" si="34">E20-C20</f>
        <v>0</v>
      </c>
      <c r="G20" s="286">
        <v>0</v>
      </c>
      <c r="H20" s="292">
        <v>0</v>
      </c>
      <c r="I20" s="286">
        <v>0</v>
      </c>
      <c r="J20" s="285">
        <f t="shared" si="19"/>
        <v>0</v>
      </c>
      <c r="K20" s="286">
        <v>-55400.1</v>
      </c>
      <c r="L20" s="285">
        <f t="shared" si="19"/>
        <v>-55400.1</v>
      </c>
      <c r="M20" s="284">
        <v>0</v>
      </c>
      <c r="N20" s="285">
        <f t="shared" si="20"/>
        <v>55400.1</v>
      </c>
      <c r="O20" s="284">
        <v>0</v>
      </c>
      <c r="P20" s="285">
        <f t="shared" si="21"/>
        <v>0</v>
      </c>
      <c r="Q20" s="284">
        <v>0</v>
      </c>
      <c r="R20" s="285">
        <f t="shared" si="22"/>
        <v>0</v>
      </c>
      <c r="S20" s="284">
        <v>0</v>
      </c>
      <c r="T20" s="285">
        <f t="shared" si="23"/>
        <v>0</v>
      </c>
    </row>
    <row r="21" spans="1:20" ht="27.4" hidden="1" customHeight="1" x14ac:dyDescent="0.35">
      <c r="A21" s="139"/>
      <c r="B21" s="232" t="s">
        <v>6</v>
      </c>
      <c r="C21" s="289">
        <v>0</v>
      </c>
      <c r="D21" s="288">
        <v>0</v>
      </c>
      <c r="E21" s="289">
        <v>0</v>
      </c>
      <c r="F21" s="290">
        <f t="shared" si="0"/>
        <v>0</v>
      </c>
      <c r="G21" s="289">
        <v>0</v>
      </c>
      <c r="H21" s="291">
        <f t="shared" si="18"/>
        <v>0</v>
      </c>
      <c r="I21" s="289">
        <v>0</v>
      </c>
      <c r="J21" s="291">
        <f t="shared" si="19"/>
        <v>0</v>
      </c>
      <c r="K21" s="289">
        <v>0</v>
      </c>
      <c r="L21" s="291">
        <f t="shared" si="19"/>
        <v>0</v>
      </c>
      <c r="M21" s="289">
        <v>0</v>
      </c>
      <c r="N21" s="291">
        <f t="shared" si="20"/>
        <v>0</v>
      </c>
      <c r="O21" s="289">
        <v>0</v>
      </c>
      <c r="P21" s="291">
        <f t="shared" si="21"/>
        <v>0</v>
      </c>
      <c r="Q21" s="289">
        <v>0</v>
      </c>
      <c r="R21" s="291">
        <f t="shared" si="22"/>
        <v>0</v>
      </c>
      <c r="S21" s="289">
        <v>0</v>
      </c>
      <c r="T21" s="291">
        <f t="shared" si="23"/>
        <v>0</v>
      </c>
    </row>
    <row r="22" spans="1:20" ht="22.7" customHeight="1" x14ac:dyDescent="0.35">
      <c r="A22" s="139"/>
      <c r="B22" s="330" t="s">
        <v>7</v>
      </c>
      <c r="C22" s="331">
        <f>SUM(C3:C21)</f>
        <v>390322.79</v>
      </c>
      <c r="D22" s="332">
        <v>0</v>
      </c>
      <c r="E22" s="331">
        <f t="shared" ref="E22:L22" si="35">SUM(E3:E21)</f>
        <v>426302.88</v>
      </c>
      <c r="F22" s="332">
        <f t="shared" si="35"/>
        <v>35980.090000000026</v>
      </c>
      <c r="G22" s="331">
        <f t="shared" si="35"/>
        <v>477181.2</v>
      </c>
      <c r="H22" s="332">
        <f t="shared" si="35"/>
        <v>50878.319999999978</v>
      </c>
      <c r="I22" s="331">
        <f t="shared" si="35"/>
        <v>557241.63</v>
      </c>
      <c r="J22" s="332">
        <f t="shared" si="35"/>
        <v>80060.430000000008</v>
      </c>
      <c r="K22" s="331">
        <f t="shared" si="35"/>
        <v>640540.11</v>
      </c>
      <c r="L22" s="332">
        <f t="shared" si="35"/>
        <v>83298.48000000001</v>
      </c>
      <c r="M22" s="331">
        <f t="shared" ref="M22:N22" si="36">SUM(M3:M21)</f>
        <v>705008.77</v>
      </c>
      <c r="N22" s="332">
        <f t="shared" si="36"/>
        <v>64468.66</v>
      </c>
      <c r="O22" s="331">
        <f t="shared" ref="O22:P22" si="37">SUM(O3:O21)</f>
        <v>765782.48</v>
      </c>
      <c r="P22" s="332">
        <f t="shared" si="37"/>
        <v>60773.71</v>
      </c>
      <c r="Q22" s="331">
        <f t="shared" ref="Q22:R22" si="38">SUM(Q3:Q21)</f>
        <v>838017.23</v>
      </c>
      <c r="R22" s="332">
        <f t="shared" si="38"/>
        <v>72234.75</v>
      </c>
      <c r="S22" s="331">
        <f t="shared" ref="S22:T22" si="39">SUM(S3:S21)</f>
        <v>921108.47999999998</v>
      </c>
      <c r="T22" s="332">
        <f t="shared" si="39"/>
        <v>83091.25</v>
      </c>
    </row>
    <row r="23" spans="1:20" ht="16.350000000000001" customHeight="1" x14ac:dyDescent="0.35">
      <c r="A23" s="139"/>
      <c r="B23" s="231"/>
      <c r="C23" s="354">
        <v>2018</v>
      </c>
      <c r="D23" s="354"/>
      <c r="E23" s="354" t="s">
        <v>9</v>
      </c>
      <c r="F23" s="354"/>
      <c r="G23" s="354" t="s">
        <v>200</v>
      </c>
      <c r="H23" s="354"/>
      <c r="I23" s="354" t="s">
        <v>235</v>
      </c>
      <c r="J23" s="354"/>
      <c r="K23" s="354" t="s">
        <v>270</v>
      </c>
      <c r="L23" s="354"/>
      <c r="M23" s="354" t="s">
        <v>305</v>
      </c>
      <c r="N23" s="354"/>
      <c r="O23" s="354" t="s">
        <v>305</v>
      </c>
      <c r="P23" s="354"/>
      <c r="Q23" s="354" t="s">
        <v>305</v>
      </c>
      <c r="R23" s="354"/>
      <c r="S23" s="354" t="s">
        <v>305</v>
      </c>
      <c r="T23" s="354"/>
    </row>
    <row r="24" spans="1:20" ht="23.45" customHeight="1" x14ac:dyDescent="0.35">
      <c r="A24" s="139"/>
      <c r="B24" s="326" t="s">
        <v>10</v>
      </c>
      <c r="C24" s="355">
        <v>0</v>
      </c>
      <c r="D24" s="355"/>
      <c r="E24" s="355">
        <f>E22-C22</f>
        <v>35980.090000000026</v>
      </c>
      <c r="F24" s="355"/>
      <c r="G24" s="355">
        <f>G22-E22</f>
        <v>50878.320000000007</v>
      </c>
      <c r="H24" s="355"/>
      <c r="I24" s="355">
        <f>I22-G22</f>
        <v>80060.429999999993</v>
      </c>
      <c r="J24" s="355"/>
      <c r="K24" s="355">
        <f>K22-I22</f>
        <v>83298.479999999981</v>
      </c>
      <c r="L24" s="355"/>
      <c r="M24" s="355">
        <f>M22-K22</f>
        <v>64468.660000000033</v>
      </c>
      <c r="N24" s="355"/>
      <c r="O24" s="355">
        <f>O22-M22</f>
        <v>60773.709999999963</v>
      </c>
      <c r="P24" s="355"/>
      <c r="Q24" s="355">
        <f>Q22-O22</f>
        <v>72234.75</v>
      </c>
      <c r="R24" s="355"/>
      <c r="S24" s="355">
        <f>S22-Q22</f>
        <v>83091.25</v>
      </c>
      <c r="T24" s="355"/>
    </row>
    <row r="25" spans="1:20" x14ac:dyDescent="0.35">
      <c r="A25" s="139"/>
      <c r="B25" s="167"/>
      <c r="C25" s="167"/>
      <c r="D25" s="167"/>
      <c r="E25" s="167"/>
      <c r="F25" s="167"/>
      <c r="G25" s="139"/>
      <c r="H25" s="139"/>
      <c r="I25" s="139"/>
      <c r="J25" s="139"/>
      <c r="K25" s="139"/>
      <c r="L25" s="139"/>
      <c r="M25" s="139"/>
      <c r="N25" s="139"/>
    </row>
    <row r="26" spans="1:20" x14ac:dyDescent="0.35">
      <c r="A26" s="139"/>
      <c r="B26" s="167"/>
      <c r="C26" s="167"/>
      <c r="D26" s="167"/>
      <c r="E26" s="167"/>
      <c r="F26" s="167"/>
      <c r="G26" s="139"/>
      <c r="H26" s="139"/>
      <c r="I26" s="139"/>
      <c r="J26" s="139"/>
      <c r="K26" s="139"/>
      <c r="L26" s="139"/>
      <c r="M26" s="139"/>
      <c r="N26" s="139"/>
    </row>
    <row r="27" spans="1:20" x14ac:dyDescent="0.35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</row>
    <row r="28" spans="1:20" x14ac:dyDescent="0.35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</row>
    <row r="29" spans="1:20" x14ac:dyDescent="0.35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0" spans="1:20" x14ac:dyDescent="0.35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</row>
    <row r="31" spans="1:20" x14ac:dyDescent="0.35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</row>
    <row r="32" spans="1:20" x14ac:dyDescent="0.35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</row>
    <row r="33" spans="1:14" x14ac:dyDescent="0.3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4" spans="1:14" x14ac:dyDescent="0.35">
      <c r="A34" s="139"/>
      <c r="H34" s="139"/>
      <c r="I34" s="139"/>
      <c r="J34" s="139"/>
      <c r="K34" s="139"/>
      <c r="L34" s="139"/>
      <c r="M34" s="139"/>
      <c r="N34" s="139"/>
    </row>
    <row r="35" spans="1:14" x14ac:dyDescent="0.35">
      <c r="H35" s="139"/>
      <c r="I35" s="139"/>
      <c r="J35" s="139"/>
      <c r="K35" s="139"/>
      <c r="L35" s="139"/>
      <c r="M35" s="139"/>
      <c r="N35" s="139"/>
    </row>
    <row r="36" spans="1:14" x14ac:dyDescent="0.35">
      <c r="H36" s="139"/>
      <c r="I36" s="139"/>
      <c r="J36" s="139"/>
      <c r="K36" s="139"/>
      <c r="L36" s="139"/>
      <c r="M36" s="139"/>
      <c r="N36" s="139"/>
    </row>
    <row r="37" spans="1:14" x14ac:dyDescent="0.35">
      <c r="H37" s="139"/>
      <c r="I37" s="139"/>
      <c r="J37" s="139"/>
      <c r="K37" s="139"/>
      <c r="L37" s="139"/>
      <c r="M37" s="139"/>
      <c r="N37" s="139"/>
    </row>
    <row r="38" spans="1:14" x14ac:dyDescent="0.35">
      <c r="H38" s="139"/>
      <c r="I38" s="139"/>
      <c r="J38" s="139"/>
      <c r="K38" s="139"/>
      <c r="L38" s="139"/>
      <c r="M38" s="139"/>
      <c r="N38" s="139"/>
    </row>
    <row r="39" spans="1:14" x14ac:dyDescent="0.35">
      <c r="H39" s="139"/>
      <c r="I39" s="139"/>
      <c r="J39" s="139"/>
      <c r="K39" s="139"/>
      <c r="L39" s="139"/>
      <c r="M39" s="139"/>
      <c r="N39" s="139"/>
    </row>
    <row r="40" spans="1:14" x14ac:dyDescent="0.35">
      <c r="H40" s="139"/>
      <c r="I40" s="139"/>
      <c r="J40" s="139"/>
      <c r="K40" s="139"/>
      <c r="L40" s="139"/>
      <c r="M40" s="139"/>
      <c r="N40" s="139"/>
    </row>
    <row r="41" spans="1:14" x14ac:dyDescent="0.35">
      <c r="H41" s="139"/>
      <c r="I41" s="139"/>
      <c r="J41" s="139"/>
      <c r="K41" s="139"/>
      <c r="L41" s="139"/>
      <c r="M41" s="139"/>
      <c r="N41" s="139"/>
    </row>
    <row r="42" spans="1:14" x14ac:dyDescent="0.35">
      <c r="H42" s="139"/>
      <c r="I42" s="139"/>
      <c r="J42" s="139"/>
      <c r="K42" s="139"/>
      <c r="L42" s="139"/>
      <c r="M42" s="139"/>
      <c r="N42" s="139"/>
    </row>
    <row r="43" spans="1:14" x14ac:dyDescent="0.35">
      <c r="H43" s="139"/>
      <c r="I43" s="139"/>
      <c r="J43" s="139"/>
      <c r="K43" s="139"/>
      <c r="L43" s="139"/>
      <c r="M43" s="139"/>
      <c r="N43" s="139"/>
    </row>
  </sheetData>
  <mergeCells count="18">
    <mergeCell ref="C24:D24"/>
    <mergeCell ref="M23:N23"/>
    <mergeCell ref="M24:N24"/>
    <mergeCell ref="K23:L23"/>
    <mergeCell ref="K24:L24"/>
    <mergeCell ref="I23:J23"/>
    <mergeCell ref="I24:J24"/>
    <mergeCell ref="E24:F24"/>
    <mergeCell ref="C23:D23"/>
    <mergeCell ref="E23:F23"/>
    <mergeCell ref="G23:H23"/>
    <mergeCell ref="G24:H24"/>
    <mergeCell ref="S23:T23"/>
    <mergeCell ref="S24:T24"/>
    <mergeCell ref="Q23:R23"/>
    <mergeCell ref="Q24:R24"/>
    <mergeCell ref="O23:P23"/>
    <mergeCell ref="O24:P24"/>
  </mergeCells>
  <pageMargins left="0.75000000000000011" right="0.75000000000000011" top="1" bottom="1" header="0.5" footer="0.5"/>
  <pageSetup paperSize="9" scale="43" orientation="landscape" horizontalDpi="4294967292" verticalDpi="4294967292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89AB-497B-493B-BA3B-37D792F432FE}">
  <dimension ref="B1:O16"/>
  <sheetViews>
    <sheetView workbookViewId="0">
      <selection activeCell="H11" sqref="H11"/>
    </sheetView>
  </sheetViews>
  <sheetFormatPr baseColWidth="10" defaultColWidth="11" defaultRowHeight="18" customHeight="1" x14ac:dyDescent="0.35"/>
  <cols>
    <col min="1" max="1" width="0.8984375" customWidth="1"/>
    <col min="2" max="2" width="17" bestFit="1" customWidth="1"/>
    <col min="4" max="4" width="1" customWidth="1"/>
    <col min="5" max="5" width="19.046875" customWidth="1"/>
    <col min="7" max="7" width="0.8984375" customWidth="1"/>
    <col min="8" max="8" width="18.5" customWidth="1"/>
    <col min="10" max="10" width="1" customWidth="1"/>
    <col min="11" max="11" width="13.25" bestFit="1" customWidth="1"/>
    <col min="13" max="13" width="1.94921875" customWidth="1"/>
    <col min="14" max="14" width="13.25" bestFit="1" customWidth="1"/>
  </cols>
  <sheetData>
    <row r="1" spans="2:15" ht="8.4499999999999993" customHeight="1" x14ac:dyDescent="0.35"/>
    <row r="2" spans="2:15" ht="18" customHeight="1" x14ac:dyDescent="0.35">
      <c r="B2" s="357" t="s">
        <v>307</v>
      </c>
      <c r="C2" s="357"/>
      <c r="E2" s="356" t="s">
        <v>299</v>
      </c>
      <c r="F2" s="356"/>
      <c r="H2" s="356" t="s">
        <v>298</v>
      </c>
      <c r="I2" s="356"/>
      <c r="K2" s="356" t="s">
        <v>300</v>
      </c>
      <c r="L2" s="356"/>
      <c r="N2" s="356" t="s">
        <v>301</v>
      </c>
      <c r="O2" s="356"/>
    </row>
    <row r="3" spans="2:15" ht="18" customHeight="1" x14ac:dyDescent="0.35">
      <c r="B3" s="261" t="s">
        <v>288</v>
      </c>
      <c r="C3" s="262">
        <v>44787</v>
      </c>
      <c r="E3" s="261" t="s">
        <v>288</v>
      </c>
      <c r="F3" s="262">
        <v>46983</v>
      </c>
      <c r="H3" s="261" t="s">
        <v>288</v>
      </c>
      <c r="I3" s="262">
        <v>43546</v>
      </c>
      <c r="K3" s="261" t="s">
        <v>288</v>
      </c>
      <c r="L3" s="262">
        <v>43668</v>
      </c>
      <c r="N3" s="261" t="s">
        <v>288</v>
      </c>
      <c r="O3" s="262">
        <v>44185</v>
      </c>
    </row>
    <row r="4" spans="2:15" ht="18" customHeight="1" x14ac:dyDescent="0.35">
      <c r="B4" s="263" t="s">
        <v>289</v>
      </c>
      <c r="C4" s="264">
        <v>0.03</v>
      </c>
      <c r="E4" s="277" t="s">
        <v>297</v>
      </c>
      <c r="F4" s="276">
        <v>43695</v>
      </c>
      <c r="H4" s="277" t="s">
        <v>297</v>
      </c>
      <c r="I4" s="276">
        <v>43546</v>
      </c>
      <c r="K4" s="277" t="s">
        <v>297</v>
      </c>
      <c r="L4" s="276">
        <v>43487</v>
      </c>
      <c r="N4" s="277" t="s">
        <v>297</v>
      </c>
      <c r="O4" s="276">
        <v>43454</v>
      </c>
    </row>
    <row r="5" spans="2:15" ht="18" customHeight="1" x14ac:dyDescent="0.35">
      <c r="B5" s="265" t="s">
        <v>290</v>
      </c>
      <c r="C5" s="264">
        <v>3.5000000000000001E-3</v>
      </c>
      <c r="E5" s="265" t="s">
        <v>295</v>
      </c>
      <c r="F5" s="266">
        <v>64628.45</v>
      </c>
      <c r="H5" s="265" t="s">
        <v>295</v>
      </c>
      <c r="I5" s="266">
        <v>76371.34</v>
      </c>
      <c r="K5" s="265" t="s">
        <v>295</v>
      </c>
      <c r="L5" s="266">
        <v>50000</v>
      </c>
      <c r="N5" s="265" t="s">
        <v>295</v>
      </c>
      <c r="O5" s="266">
        <v>100000</v>
      </c>
    </row>
    <row r="6" spans="2:15" ht="18" customHeight="1" x14ac:dyDescent="0.35">
      <c r="B6" s="265" t="s">
        <v>295</v>
      </c>
      <c r="C6" s="266">
        <v>200000</v>
      </c>
      <c r="E6" s="263" t="s">
        <v>289</v>
      </c>
      <c r="F6" s="264">
        <v>1.9519999999999999E-2</v>
      </c>
      <c r="H6" s="263" t="s">
        <v>289</v>
      </c>
      <c r="I6" s="264">
        <v>1.9900000000000001E-2</v>
      </c>
      <c r="K6" s="263" t="s">
        <v>289</v>
      </c>
      <c r="L6" s="264">
        <v>2.9600000000000001E-2</v>
      </c>
      <c r="N6" s="263" t="s">
        <v>289</v>
      </c>
      <c r="O6" s="264">
        <v>4.3400000000000001E-2</v>
      </c>
    </row>
    <row r="7" spans="2:15" ht="18" customHeight="1" x14ac:dyDescent="0.35">
      <c r="B7" s="265" t="s">
        <v>291</v>
      </c>
      <c r="C7" s="278">
        <v>50000</v>
      </c>
      <c r="E7" s="272" t="s">
        <v>151</v>
      </c>
      <c r="F7" s="273">
        <f>F5*F6</f>
        <v>1261.5473439999998</v>
      </c>
      <c r="H7" s="272" t="s">
        <v>151</v>
      </c>
      <c r="I7" s="273">
        <f>I5*I6</f>
        <v>1519.7896659999999</v>
      </c>
      <c r="K7" s="272" t="s">
        <v>151</v>
      </c>
      <c r="L7" s="273">
        <f>L5*L6</f>
        <v>1480</v>
      </c>
      <c r="N7" s="272" t="s">
        <v>151</v>
      </c>
      <c r="O7" s="273">
        <f>O5*O6</f>
        <v>4340</v>
      </c>
    </row>
    <row r="8" spans="2:15" ht="18" customHeight="1" x14ac:dyDescent="0.35">
      <c r="B8" s="265" t="s">
        <v>292</v>
      </c>
      <c r="C8" s="266">
        <v>150000</v>
      </c>
      <c r="E8" s="272" t="s">
        <v>152</v>
      </c>
      <c r="F8" s="274">
        <f>F7/12</f>
        <v>105.12894533333332</v>
      </c>
      <c r="H8" s="272" t="s">
        <v>152</v>
      </c>
      <c r="I8" s="274">
        <f>I7/12</f>
        <v>126.64913883333332</v>
      </c>
      <c r="K8" s="272" t="s">
        <v>152</v>
      </c>
      <c r="L8" s="274">
        <f>L7/12</f>
        <v>123.33333333333333</v>
      </c>
      <c r="N8" s="272" t="s">
        <v>152</v>
      </c>
      <c r="O8" s="274">
        <f>O7/12</f>
        <v>361.66666666666669</v>
      </c>
    </row>
    <row r="9" spans="2:15" ht="18" customHeight="1" x14ac:dyDescent="0.35">
      <c r="B9" s="267" t="s">
        <v>291</v>
      </c>
      <c r="C9" s="268">
        <f>(C7*C4)/12</f>
        <v>125</v>
      </c>
    </row>
    <row r="10" spans="2:15" ht="18" customHeight="1" x14ac:dyDescent="0.35">
      <c r="B10" s="269" t="s">
        <v>292</v>
      </c>
      <c r="C10" s="270">
        <f>(C5*C8)/12</f>
        <v>43.75</v>
      </c>
      <c r="E10" s="356" t="s">
        <v>296</v>
      </c>
      <c r="F10" s="356"/>
    </row>
    <row r="11" spans="2:15" ht="18" customHeight="1" x14ac:dyDescent="0.35">
      <c r="B11" s="271" t="s">
        <v>293</v>
      </c>
      <c r="C11" s="275">
        <f>SUM(C9:C10)*12</f>
        <v>2025</v>
      </c>
      <c r="E11" s="261" t="s">
        <v>288</v>
      </c>
      <c r="F11" s="262">
        <v>47713</v>
      </c>
    </row>
    <row r="12" spans="2:15" ht="18" customHeight="1" x14ac:dyDescent="0.35">
      <c r="B12" s="271" t="s">
        <v>294</v>
      </c>
      <c r="C12" s="275">
        <f>C11/12</f>
        <v>168.75</v>
      </c>
      <c r="E12" s="261" t="s">
        <v>297</v>
      </c>
      <c r="F12" s="262">
        <v>43695</v>
      </c>
    </row>
    <row r="13" spans="2:15" ht="18" customHeight="1" x14ac:dyDescent="0.35">
      <c r="E13" s="265" t="s">
        <v>295</v>
      </c>
      <c r="F13" s="266">
        <v>64628.45</v>
      </c>
    </row>
    <row r="14" spans="2:15" ht="18" customHeight="1" x14ac:dyDescent="0.35">
      <c r="E14" s="263" t="s">
        <v>289</v>
      </c>
      <c r="F14" s="264">
        <v>1.9519999999999999E-2</v>
      </c>
    </row>
    <row r="15" spans="2:15" ht="18" customHeight="1" x14ac:dyDescent="0.35">
      <c r="E15" s="272" t="s">
        <v>151</v>
      </c>
      <c r="F15" s="273">
        <f>F13*F14</f>
        <v>1261.5473439999998</v>
      </c>
    </row>
    <row r="16" spans="2:15" ht="18" customHeight="1" x14ac:dyDescent="0.35">
      <c r="E16" s="272" t="s">
        <v>152</v>
      </c>
      <c r="F16" s="274">
        <f>F15/12</f>
        <v>105.12894533333332</v>
      </c>
    </row>
  </sheetData>
  <mergeCells count="6">
    <mergeCell ref="N2:O2"/>
    <mergeCell ref="B2:C2"/>
    <mergeCell ref="E2:F2"/>
    <mergeCell ref="E10:F10"/>
    <mergeCell ref="H2:I2"/>
    <mergeCell ref="K2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B57E-C74D-4E0B-A6A8-9549CD28A204}">
  <sheetPr>
    <tabColor theme="6" tint="-0.499984740745262"/>
  </sheetPr>
  <dimension ref="B1:M25"/>
  <sheetViews>
    <sheetView zoomScale="105" workbookViewId="0">
      <selection activeCell="H8" sqref="H8"/>
    </sheetView>
  </sheetViews>
  <sheetFormatPr baseColWidth="10" defaultColWidth="11.09765625" defaultRowHeight="14.65" x14ac:dyDescent="0.35"/>
  <cols>
    <col min="1" max="1" width="1" style="201" customWidth="1"/>
    <col min="2" max="2" width="35.19921875" style="201" bestFit="1" customWidth="1"/>
    <col min="3" max="4" width="10.5" style="201" bestFit="1" customWidth="1"/>
    <col min="5" max="5" width="2.34765625" style="201" customWidth="1"/>
    <col min="6" max="6" width="21.796875" style="201" bestFit="1" customWidth="1"/>
    <col min="7" max="7" width="12.69921875" style="201" bestFit="1" customWidth="1"/>
    <col min="8" max="8" width="11.59765625" style="201" bestFit="1" customWidth="1"/>
    <col min="9" max="9" width="8.25" style="201" bestFit="1" customWidth="1"/>
    <col min="10" max="10" width="9.75" style="201" bestFit="1" customWidth="1"/>
    <col min="11" max="11" width="7.25" style="201" bestFit="1" customWidth="1"/>
    <col min="12" max="12" width="8.25" style="201" bestFit="1" customWidth="1"/>
    <col min="13" max="16384" width="11.09765625" style="201"/>
  </cols>
  <sheetData>
    <row r="1" spans="2:13" x14ac:dyDescent="0.35">
      <c r="G1" s="244"/>
      <c r="H1" s="244"/>
      <c r="I1" s="244"/>
      <c r="J1" s="244"/>
      <c r="K1" s="358"/>
      <c r="L1" s="359"/>
      <c r="M1" s="244"/>
    </row>
    <row r="2" spans="2:13" ht="17.649999999999999" customHeight="1" x14ac:dyDescent="0.35">
      <c r="B2" s="245">
        <v>2022</v>
      </c>
      <c r="C2" s="245" t="s">
        <v>259</v>
      </c>
      <c r="D2" s="343" t="s">
        <v>217</v>
      </c>
      <c r="F2" s="360" t="s">
        <v>249</v>
      </c>
      <c r="G2" s="361"/>
      <c r="H2" s="361"/>
      <c r="I2" s="361"/>
      <c r="J2" s="361"/>
      <c r="K2" s="361"/>
      <c r="L2" s="362"/>
      <c r="M2" s="244"/>
    </row>
    <row r="3" spans="2:13" ht="17.649999999999999" customHeight="1" x14ac:dyDescent="0.35">
      <c r="B3" s="197" t="s">
        <v>283</v>
      </c>
      <c r="C3" s="198">
        <v>1781</v>
      </c>
      <c r="D3" s="243">
        <f>C3</f>
        <v>1781</v>
      </c>
      <c r="F3" s="226" t="s">
        <v>261</v>
      </c>
      <c r="G3" s="347" t="s">
        <v>255</v>
      </c>
      <c r="H3" s="347" t="s">
        <v>53</v>
      </c>
      <c r="I3" s="347" t="s">
        <v>277</v>
      </c>
      <c r="J3" s="347" t="s">
        <v>306</v>
      </c>
      <c r="K3" s="347" t="s">
        <v>257</v>
      </c>
      <c r="L3" s="347" t="s">
        <v>258</v>
      </c>
      <c r="M3" s="246"/>
    </row>
    <row r="4" spans="2:13" ht="17.649999999999999" customHeight="1" x14ac:dyDescent="0.35">
      <c r="B4" s="197" t="s">
        <v>284</v>
      </c>
      <c r="C4" s="198">
        <v>1390</v>
      </c>
      <c r="D4" s="243">
        <f t="shared" ref="D4:D10" si="0">C4</f>
        <v>1390</v>
      </c>
      <c r="F4" s="223" t="s">
        <v>260</v>
      </c>
      <c r="G4" s="348">
        <v>194573.55</v>
      </c>
      <c r="H4" s="349">
        <v>4.3200000000000002E-2</v>
      </c>
      <c r="I4" s="350">
        <f>L4-K4</f>
        <v>700</v>
      </c>
      <c r="J4" s="249">
        <f>G4*H4/12</f>
        <v>700.46477999999991</v>
      </c>
      <c r="K4" s="250">
        <v>125</v>
      </c>
      <c r="L4" s="250">
        <v>825</v>
      </c>
      <c r="M4" s="244"/>
    </row>
    <row r="5" spans="2:13" ht="17.649999999999999" customHeight="1" x14ac:dyDescent="0.35">
      <c r="B5" s="197" t="s">
        <v>287</v>
      </c>
      <c r="C5" s="198">
        <v>3300</v>
      </c>
      <c r="D5" s="243">
        <f t="shared" ref="D5" si="1">C5</f>
        <v>3300</v>
      </c>
      <c r="F5" s="223" t="s">
        <v>274</v>
      </c>
      <c r="G5" s="348">
        <v>124299</v>
      </c>
      <c r="H5" s="349">
        <v>5.5449999999999999E-2</v>
      </c>
      <c r="I5" s="350">
        <f>L5-K5</f>
        <v>575</v>
      </c>
      <c r="J5" s="249">
        <f>G5*H5/12</f>
        <v>574.36496249999993</v>
      </c>
      <c r="K5" s="250">
        <v>50</v>
      </c>
      <c r="L5" s="250">
        <v>625</v>
      </c>
      <c r="M5" s="244"/>
    </row>
    <row r="6" spans="2:13" ht="17.649999999999999" customHeight="1" x14ac:dyDescent="0.35">
      <c r="B6" s="197" t="s">
        <v>286</v>
      </c>
      <c r="C6" s="198">
        <v>799.04</v>
      </c>
      <c r="D6" s="243">
        <f>C6</f>
        <v>799.04</v>
      </c>
      <c r="F6" s="223" t="s">
        <v>273</v>
      </c>
      <c r="G6" s="351">
        <v>157846</v>
      </c>
      <c r="H6" s="349">
        <v>3.44E-2</v>
      </c>
      <c r="I6" s="350">
        <f>L6-K6</f>
        <v>452.6</v>
      </c>
      <c r="J6" s="249">
        <f>G6*H6/12</f>
        <v>452.49186666666668</v>
      </c>
      <c r="K6" s="249">
        <v>115</v>
      </c>
      <c r="L6" s="249">
        <v>567.6</v>
      </c>
      <c r="M6" s="244"/>
    </row>
    <row r="7" spans="2:13" ht="17.649999999999999" customHeight="1" x14ac:dyDescent="0.35">
      <c r="B7" s="197" t="s">
        <v>285</v>
      </c>
      <c r="C7" s="198">
        <v>3150</v>
      </c>
      <c r="D7" s="243">
        <f>C7</f>
        <v>3150</v>
      </c>
      <c r="F7" s="223"/>
      <c r="G7" s="351"/>
      <c r="H7" s="349"/>
      <c r="I7" s="350"/>
      <c r="J7" s="249"/>
      <c r="K7" s="249"/>
      <c r="L7" s="249"/>
    </row>
    <row r="8" spans="2:13" ht="17.649999999999999" customHeight="1" x14ac:dyDescent="0.35">
      <c r="D8" s="344"/>
    </row>
    <row r="9" spans="2:13" ht="17.649999999999999" customHeight="1" x14ac:dyDescent="0.35">
      <c r="B9" s="197"/>
      <c r="C9" s="198"/>
      <c r="D9" s="243">
        <f t="shared" si="0"/>
        <v>0</v>
      </c>
      <c r="F9" s="352" t="s">
        <v>314</v>
      </c>
      <c r="G9" s="352" t="s">
        <v>315</v>
      </c>
      <c r="H9" s="352" t="s">
        <v>316</v>
      </c>
      <c r="I9" s="344" t="s">
        <v>317</v>
      </c>
      <c r="J9" s="344"/>
      <c r="K9" s="344"/>
    </row>
    <row r="10" spans="2:13" ht="17.649999999999999" customHeight="1" x14ac:dyDescent="0.35">
      <c r="B10" s="197"/>
      <c r="C10" s="198"/>
      <c r="D10" s="243">
        <f t="shared" si="0"/>
        <v>0</v>
      </c>
      <c r="F10" s="353">
        <v>185000</v>
      </c>
      <c r="G10" s="353">
        <f>F10*8%</f>
        <v>14800</v>
      </c>
      <c r="H10" s="353">
        <v>10000</v>
      </c>
      <c r="I10" s="353">
        <v>10200</v>
      </c>
    </row>
    <row r="11" spans="2:13" ht="17.649999999999999" customHeight="1" x14ac:dyDescent="0.35">
      <c r="B11" s="197"/>
      <c r="C11" s="198"/>
      <c r="D11" s="243">
        <f>C11</f>
        <v>0</v>
      </c>
    </row>
    <row r="12" spans="2:13" ht="17.649999999999999" customHeight="1" x14ac:dyDescent="0.35">
      <c r="B12" s="197"/>
      <c r="C12" s="198"/>
      <c r="D12" s="243">
        <f>C12</f>
        <v>0</v>
      </c>
    </row>
    <row r="13" spans="2:13" ht="17.649999999999999" customHeight="1" x14ac:dyDescent="0.35">
      <c r="B13" s="197"/>
      <c r="C13" s="198"/>
      <c r="D13" s="243">
        <f>C13</f>
        <v>0</v>
      </c>
      <c r="F13" s="316"/>
      <c r="G13" s="317"/>
    </row>
    <row r="14" spans="2:13" ht="17.649999999999999" customHeight="1" x14ac:dyDescent="0.35">
      <c r="B14" s="202"/>
      <c r="C14" s="203"/>
      <c r="D14" s="243">
        <f>C14</f>
        <v>0</v>
      </c>
      <c r="F14" s="342"/>
      <c r="G14" s="320"/>
      <c r="H14" s="318"/>
      <c r="I14" s="321"/>
      <c r="J14" s="345"/>
    </row>
    <row r="15" spans="2:13" ht="17.649999999999999" customHeight="1" x14ac:dyDescent="0.35">
      <c r="B15" s="202"/>
      <c r="C15" s="203"/>
      <c r="D15" s="243">
        <f>C15</f>
        <v>0</v>
      </c>
      <c r="F15" s="346"/>
      <c r="G15" s="322"/>
      <c r="H15" s="319"/>
      <c r="I15" s="321"/>
      <c r="J15" s="345"/>
      <c r="L15" s="204"/>
    </row>
    <row r="16" spans="2:13" ht="17.649999999999999" customHeight="1" x14ac:dyDescent="0.35">
      <c r="B16" s="222" t="s">
        <v>10</v>
      </c>
      <c r="C16" s="315">
        <f>SUM(C3:C15)</f>
        <v>10420.040000000001</v>
      </c>
      <c r="D16" s="315">
        <f>SUM(D3:D15)</f>
        <v>10420.040000000001</v>
      </c>
    </row>
    <row r="23" spans="4:6" x14ac:dyDescent="0.35">
      <c r="F23" s="252"/>
    </row>
    <row r="24" spans="4:6" x14ac:dyDescent="0.35">
      <c r="D24" s="253"/>
      <c r="F24" s="252"/>
    </row>
    <row r="25" spans="4:6" x14ac:dyDescent="0.35">
      <c r="D25" s="253"/>
      <c r="F25" s="252"/>
    </row>
  </sheetData>
  <mergeCells count="2">
    <mergeCell ref="K1:L1"/>
    <mergeCell ref="F2:L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FBA9-D95C-4EA7-806D-D1B58D53CEDF}">
  <sheetPr>
    <tabColor theme="0"/>
  </sheetPr>
  <dimension ref="B1:M25"/>
  <sheetViews>
    <sheetView zoomScale="105" workbookViewId="0">
      <selection activeCell="C23" sqref="C23"/>
    </sheetView>
  </sheetViews>
  <sheetFormatPr baseColWidth="10" defaultColWidth="11.09765625" defaultRowHeight="14.65" x14ac:dyDescent="0.35"/>
  <cols>
    <col min="1" max="1" width="1.94921875" style="201" customWidth="1"/>
    <col min="2" max="2" width="42.94921875" style="201" customWidth="1"/>
    <col min="3" max="3" width="12.69921875" style="201" bestFit="1" customWidth="1"/>
    <col min="4" max="4" width="13.046875" style="201" bestFit="1" customWidth="1"/>
    <col min="5" max="5" width="2.34765625" style="201" customWidth="1"/>
    <col min="6" max="6" width="12.59765625" style="201" bestFit="1" customWidth="1"/>
    <col min="7" max="7" width="9.34765625" style="201" bestFit="1" customWidth="1"/>
    <col min="8" max="8" width="6" style="201" bestFit="1" customWidth="1"/>
    <col min="9" max="9" width="6.69921875" style="201" bestFit="1" customWidth="1"/>
    <col min="10" max="10" width="7.75" style="201" customWidth="1"/>
    <col min="11" max="11" width="8.44921875" style="201" bestFit="1" customWidth="1"/>
    <col min="12" max="12" width="9.84765625" style="201" bestFit="1" customWidth="1"/>
    <col min="13" max="16384" width="11.09765625" style="201"/>
  </cols>
  <sheetData>
    <row r="1" spans="2:13" x14ac:dyDescent="0.35">
      <c r="G1" s="244"/>
      <c r="H1" s="244"/>
      <c r="I1" s="244"/>
      <c r="J1" s="244"/>
      <c r="K1" s="358"/>
      <c r="L1" s="359"/>
      <c r="M1" s="244"/>
    </row>
    <row r="2" spans="2:13" ht="17.649999999999999" customHeight="1" x14ac:dyDescent="0.35">
      <c r="B2" s="245">
        <v>2021</v>
      </c>
      <c r="C2" s="245" t="s">
        <v>259</v>
      </c>
      <c r="D2" s="245" t="s">
        <v>217</v>
      </c>
      <c r="F2" s="373" t="s">
        <v>249</v>
      </c>
      <c r="G2" s="374"/>
      <c r="H2" s="374"/>
      <c r="I2" s="374"/>
      <c r="J2" s="374"/>
      <c r="K2" s="374"/>
      <c r="L2" s="375"/>
      <c r="M2" s="244"/>
    </row>
    <row r="3" spans="2:13" ht="17.649999999999999" customHeight="1" x14ac:dyDescent="0.35">
      <c r="B3" s="197" t="s">
        <v>236</v>
      </c>
      <c r="C3" s="198">
        <v>7671.4</v>
      </c>
      <c r="D3" s="370">
        <f>C3+C4</f>
        <v>11259.05</v>
      </c>
      <c r="F3" s="226" t="s">
        <v>261</v>
      </c>
      <c r="G3" s="226" t="s">
        <v>255</v>
      </c>
      <c r="H3" s="226" t="s">
        <v>53</v>
      </c>
      <c r="I3" s="226" t="s">
        <v>277</v>
      </c>
      <c r="J3" s="226" t="s">
        <v>256</v>
      </c>
      <c r="K3" s="226" t="s">
        <v>257</v>
      </c>
      <c r="L3" s="226" t="s">
        <v>258</v>
      </c>
      <c r="M3" s="246"/>
    </row>
    <row r="4" spans="2:13" ht="17.649999999999999" customHeight="1" x14ac:dyDescent="0.35">
      <c r="B4" s="197" t="s">
        <v>241</v>
      </c>
      <c r="C4" s="198">
        <v>3587.65</v>
      </c>
      <c r="D4" s="370"/>
      <c r="F4" s="223" t="s">
        <v>260</v>
      </c>
      <c r="G4" s="219">
        <v>194573.55</v>
      </c>
      <c r="H4" s="247">
        <v>3.5400000000000001E-2</v>
      </c>
      <c r="I4" s="248">
        <f>J4-K4</f>
        <v>447.98394499999995</v>
      </c>
      <c r="J4" s="249">
        <f>G4*H4/12</f>
        <v>573.99197249999997</v>
      </c>
      <c r="K4" s="250">
        <f>L4-J4</f>
        <v>126.00802750000003</v>
      </c>
      <c r="L4" s="250">
        <v>700</v>
      </c>
      <c r="M4" s="244"/>
    </row>
    <row r="5" spans="2:13" ht="17.649999999999999" customHeight="1" x14ac:dyDescent="0.35">
      <c r="B5" s="197" t="s">
        <v>253</v>
      </c>
      <c r="C5" s="198">
        <v>8377.5499999999993</v>
      </c>
      <c r="D5" s="242">
        <f>C5</f>
        <v>8377.5499999999993</v>
      </c>
      <c r="F5" s="223" t="s">
        <v>274</v>
      </c>
      <c r="G5" s="219">
        <v>121259.69</v>
      </c>
      <c r="H5" s="247">
        <v>4.4499999999999998E-2</v>
      </c>
      <c r="I5" s="248">
        <f t="shared" ref="I5:I6" si="0">J5-K5</f>
        <v>349.34270083333331</v>
      </c>
      <c r="J5" s="249">
        <f>G5*H5/12</f>
        <v>449.67135041666666</v>
      </c>
      <c r="K5" s="250">
        <f>L5-J5</f>
        <v>100.32864958333334</v>
      </c>
      <c r="L5" s="250">
        <v>550</v>
      </c>
      <c r="M5" s="244"/>
    </row>
    <row r="6" spans="2:13" ht="17.649999999999999" customHeight="1" x14ac:dyDescent="0.35">
      <c r="B6" s="197" t="s">
        <v>242</v>
      </c>
      <c r="C6" s="198">
        <v>217.09</v>
      </c>
      <c r="D6" s="371">
        <f>SUM(C6:C9)</f>
        <v>1183.0900000000001</v>
      </c>
      <c r="F6" s="223" t="s">
        <v>273</v>
      </c>
      <c r="G6" s="236">
        <v>157846</v>
      </c>
      <c r="H6" s="247">
        <v>3.4500000000000003E-2</v>
      </c>
      <c r="I6" s="248">
        <f t="shared" si="0"/>
        <v>357.61450000000013</v>
      </c>
      <c r="J6" s="249">
        <f>G6*H6/12</f>
        <v>453.80725000000007</v>
      </c>
      <c r="K6" s="249">
        <f>L6-J6</f>
        <v>96.192749999999933</v>
      </c>
      <c r="L6" s="249">
        <v>550</v>
      </c>
      <c r="M6" s="244"/>
    </row>
    <row r="7" spans="2:13" ht="17.649999999999999" customHeight="1" x14ac:dyDescent="0.35">
      <c r="B7" s="197" t="s">
        <v>243</v>
      </c>
      <c r="C7" s="198">
        <v>150</v>
      </c>
      <c r="D7" s="371"/>
      <c r="F7" s="223"/>
      <c r="G7" s="219"/>
      <c r="H7" s="247"/>
      <c r="I7" s="247"/>
      <c r="J7" s="249"/>
      <c r="K7" s="250"/>
      <c r="L7" s="250"/>
    </row>
    <row r="8" spans="2:13" ht="17.649999999999999" customHeight="1" x14ac:dyDescent="0.35">
      <c r="B8" s="197" t="s">
        <v>248</v>
      </c>
      <c r="C8" s="198">
        <v>102</v>
      </c>
      <c r="D8" s="371"/>
      <c r="F8" s="239">
        <v>100000</v>
      </c>
      <c r="G8" s="240">
        <f>F8*H4</f>
        <v>3540</v>
      </c>
      <c r="H8" s="363">
        <f>AVERAGE(H4:H6)</f>
        <v>3.8133333333333332E-2</v>
      </c>
    </row>
    <row r="9" spans="2:13" ht="17.649999999999999" customHeight="1" x14ac:dyDescent="0.35">
      <c r="B9" s="197" t="s">
        <v>247</v>
      </c>
      <c r="C9" s="198">
        <v>714</v>
      </c>
      <c r="D9" s="372"/>
      <c r="F9" s="239">
        <v>100000</v>
      </c>
      <c r="G9" s="241">
        <f>F9*H5</f>
        <v>4450</v>
      </c>
      <c r="H9" s="366"/>
    </row>
    <row r="10" spans="2:13" ht="17.649999999999999" customHeight="1" x14ac:dyDescent="0.35">
      <c r="B10" s="197" t="s">
        <v>266</v>
      </c>
      <c r="C10" s="198">
        <v>1259</v>
      </c>
      <c r="D10" s="243">
        <f>C10</f>
        <v>1259</v>
      </c>
      <c r="F10" s="239">
        <v>100000</v>
      </c>
      <c r="G10" s="240">
        <f>F10*H6</f>
        <v>3450.0000000000005</v>
      </c>
      <c r="H10" s="367"/>
    </row>
    <row r="11" spans="2:13" ht="17.649999999999999" customHeight="1" x14ac:dyDescent="0.35">
      <c r="B11" s="199" t="s">
        <v>252</v>
      </c>
      <c r="C11" s="200">
        <v>575</v>
      </c>
      <c r="D11" s="220">
        <f>C11</f>
        <v>575</v>
      </c>
    </row>
    <row r="12" spans="2:13" ht="17.649999999999999" customHeight="1" x14ac:dyDescent="0.35">
      <c r="B12" s="197" t="s">
        <v>267</v>
      </c>
      <c r="C12" s="198">
        <v>671.88</v>
      </c>
      <c r="D12" s="243">
        <f>C12</f>
        <v>671.88</v>
      </c>
      <c r="F12" s="239">
        <v>194573.55</v>
      </c>
      <c r="G12" s="240">
        <f>F12*H4</f>
        <v>6887.9036699999997</v>
      </c>
      <c r="H12" s="363">
        <f>AVERAGE(H4:H6)</f>
        <v>3.8133333333333332E-2</v>
      </c>
    </row>
    <row r="13" spans="2:13" ht="17.649999999999999" customHeight="1" x14ac:dyDescent="0.35">
      <c r="B13" s="199" t="s">
        <v>265</v>
      </c>
      <c r="C13" s="200">
        <v>4000</v>
      </c>
      <c r="D13" s="220">
        <f>C13</f>
        <v>4000</v>
      </c>
      <c r="F13" s="239">
        <v>121259.69</v>
      </c>
      <c r="G13" s="241">
        <f>F13*H5</f>
        <v>5396.0562049999999</v>
      </c>
      <c r="H13" s="364"/>
    </row>
    <row r="14" spans="2:13" ht="17.649999999999999" customHeight="1" x14ac:dyDescent="0.35">
      <c r="B14" s="202" t="s">
        <v>279</v>
      </c>
      <c r="C14" s="203">
        <v>5000</v>
      </c>
      <c r="D14" s="368">
        <f>SUM(C14:C15)</f>
        <v>7046</v>
      </c>
      <c r="F14" s="239">
        <v>157846</v>
      </c>
      <c r="G14" s="240">
        <f>F14*H6</f>
        <v>5445.6870000000008</v>
      </c>
      <c r="H14" s="365"/>
    </row>
    <row r="15" spans="2:13" ht="17.649999999999999" customHeight="1" x14ac:dyDescent="0.35">
      <c r="B15" s="202" t="s">
        <v>278</v>
      </c>
      <c r="C15" s="203">
        <v>2046</v>
      </c>
      <c r="D15" s="369"/>
      <c r="L15" s="204"/>
    </row>
    <row r="16" spans="2:13" ht="17.649999999999999" customHeight="1" x14ac:dyDescent="0.35">
      <c r="B16" s="222" t="s">
        <v>10</v>
      </c>
      <c r="C16" s="251">
        <f>SUM(C3:C15)</f>
        <v>34371.57</v>
      </c>
      <c r="D16" s="251">
        <f>SUM(D3:D15)</f>
        <v>34371.57</v>
      </c>
    </row>
    <row r="23" spans="4:6" x14ac:dyDescent="0.35">
      <c r="F23" s="252"/>
    </row>
    <row r="24" spans="4:6" x14ac:dyDescent="0.35">
      <c r="D24" s="253"/>
      <c r="F24" s="252"/>
    </row>
    <row r="25" spans="4:6" x14ac:dyDescent="0.35">
      <c r="D25" s="253"/>
      <c r="F25" s="252"/>
    </row>
  </sheetData>
  <mergeCells count="7">
    <mergeCell ref="H12:H14"/>
    <mergeCell ref="H8:H10"/>
    <mergeCell ref="K1:L1"/>
    <mergeCell ref="D14:D15"/>
    <mergeCell ref="D3:D4"/>
    <mergeCell ref="D6:D9"/>
    <mergeCell ref="F2:L2"/>
  </mergeCells>
  <pageMargins left="0.7" right="0.7" top="0.75" bottom="0.75" header="0.3" footer="0.3"/>
  <pageSetup paperSize="9" orientation="portrait" r:id="rId1"/>
  <ignoredErrors>
    <ignoredError sqref="D6 D14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7E01-483F-455C-9FBA-AAEE41565F8E}">
  <dimension ref="B2:F25"/>
  <sheetViews>
    <sheetView zoomScale="99" workbookViewId="0">
      <selection activeCell="D16" sqref="D16:D18"/>
    </sheetView>
  </sheetViews>
  <sheetFormatPr baseColWidth="10" defaultColWidth="11" defaultRowHeight="14.65" x14ac:dyDescent="0.35"/>
  <cols>
    <col min="1" max="1" width="1.94921875" customWidth="1"/>
    <col min="2" max="2" width="30.75" bestFit="1" customWidth="1"/>
    <col min="3" max="3" width="12.3984375" bestFit="1" customWidth="1"/>
    <col min="4" max="4" width="12.796875" customWidth="1"/>
    <col min="5" max="5" width="27.69921875" bestFit="1" customWidth="1"/>
    <col min="6" max="6" width="23.09765625" bestFit="1" customWidth="1"/>
  </cols>
  <sheetData>
    <row r="2" spans="2:6" x14ac:dyDescent="0.35">
      <c r="B2" s="218">
        <v>2020</v>
      </c>
      <c r="C2" s="218" t="s">
        <v>259</v>
      </c>
      <c r="D2" s="218" t="s">
        <v>217</v>
      </c>
    </row>
    <row r="3" spans="2:6" x14ac:dyDescent="0.35">
      <c r="B3" s="182" t="s">
        <v>208</v>
      </c>
      <c r="C3" s="183">
        <v>5500</v>
      </c>
      <c r="D3" s="221">
        <f>C3</f>
        <v>5500</v>
      </c>
    </row>
    <row r="4" spans="2:6" x14ac:dyDescent="0.35">
      <c r="B4" s="182" t="s">
        <v>218</v>
      </c>
      <c r="C4" s="183">
        <v>4000</v>
      </c>
      <c r="D4" s="221">
        <f>C4</f>
        <v>4000</v>
      </c>
      <c r="F4" s="142"/>
    </row>
    <row r="5" spans="2:6" x14ac:dyDescent="0.35">
      <c r="B5" s="185" t="s">
        <v>215</v>
      </c>
      <c r="C5" s="186">
        <v>13381.59</v>
      </c>
      <c r="D5" s="377">
        <f>SUM(C5:C6)</f>
        <v>15030.59</v>
      </c>
      <c r="F5" s="142"/>
    </row>
    <row r="6" spans="2:6" x14ac:dyDescent="0.35">
      <c r="B6" s="185" t="s">
        <v>216</v>
      </c>
      <c r="C6" s="186">
        <v>1649</v>
      </c>
      <c r="D6" s="378"/>
      <c r="F6" s="142"/>
    </row>
    <row r="7" spans="2:6" x14ac:dyDescent="0.35">
      <c r="B7" s="187" t="s">
        <v>212</v>
      </c>
      <c r="C7" s="191">
        <v>6000</v>
      </c>
      <c r="D7" s="377">
        <f>SUM(C7:C9)</f>
        <v>12400</v>
      </c>
      <c r="F7" s="142"/>
    </row>
    <row r="8" spans="2:6" x14ac:dyDescent="0.35">
      <c r="B8" s="187" t="s">
        <v>228</v>
      </c>
      <c r="C8" s="191">
        <v>5000</v>
      </c>
      <c r="D8" s="377"/>
      <c r="F8" s="142"/>
    </row>
    <row r="9" spans="2:6" x14ac:dyDescent="0.35">
      <c r="B9" s="187" t="s">
        <v>230</v>
      </c>
      <c r="C9" s="191">
        <v>1400</v>
      </c>
      <c r="D9" s="378"/>
      <c r="F9" s="142"/>
    </row>
    <row r="10" spans="2:6" x14ac:dyDescent="0.35">
      <c r="B10" s="188" t="s">
        <v>214</v>
      </c>
      <c r="C10" s="192">
        <v>4000</v>
      </c>
      <c r="D10" s="377">
        <f>SUM(C10:C11)</f>
        <v>7000</v>
      </c>
      <c r="F10" s="142"/>
    </row>
    <row r="11" spans="2:6" x14ac:dyDescent="0.35">
      <c r="B11" s="188" t="s">
        <v>213</v>
      </c>
      <c r="C11" s="192">
        <v>3000</v>
      </c>
      <c r="D11" s="378"/>
      <c r="F11" s="142"/>
    </row>
    <row r="12" spans="2:6" x14ac:dyDescent="0.35">
      <c r="B12" s="184" t="s">
        <v>226</v>
      </c>
      <c r="C12" s="193">
        <v>4656</v>
      </c>
      <c r="D12" s="377">
        <f>SUM(C12:C14)</f>
        <v>7389</v>
      </c>
    </row>
    <row r="13" spans="2:6" x14ac:dyDescent="0.35">
      <c r="B13" s="184" t="s">
        <v>225</v>
      </c>
      <c r="C13" s="193">
        <v>1533</v>
      </c>
      <c r="D13" s="377"/>
    </row>
    <row r="14" spans="2:6" x14ac:dyDescent="0.35">
      <c r="B14" s="184" t="s">
        <v>227</v>
      </c>
      <c r="C14" s="193">
        <v>1200</v>
      </c>
      <c r="D14" s="377"/>
    </row>
    <row r="15" spans="2:6" x14ac:dyDescent="0.35">
      <c r="B15" s="182" t="s">
        <v>209</v>
      </c>
      <c r="C15" s="183">
        <v>8000</v>
      </c>
      <c r="D15" s="221">
        <f>C15</f>
        <v>8000</v>
      </c>
    </row>
    <row r="16" spans="2:6" x14ac:dyDescent="0.35">
      <c r="B16" s="182" t="s">
        <v>237</v>
      </c>
      <c r="C16" s="183">
        <v>8076.75</v>
      </c>
      <c r="D16" s="377">
        <f>SUM(C16:C18)</f>
        <v>20295.25</v>
      </c>
      <c r="E16" s="376"/>
    </row>
    <row r="17" spans="2:5" x14ac:dyDescent="0.35">
      <c r="B17" s="182" t="s">
        <v>238</v>
      </c>
      <c r="C17" s="183">
        <v>6050</v>
      </c>
      <c r="D17" s="377"/>
      <c r="E17" s="376"/>
    </row>
    <row r="18" spans="2:5" x14ac:dyDescent="0.35">
      <c r="B18" s="182" t="s">
        <v>239</v>
      </c>
      <c r="C18" s="183">
        <v>6168.5</v>
      </c>
      <c r="D18" s="377"/>
      <c r="E18" s="376"/>
    </row>
    <row r="19" spans="2:5" x14ac:dyDescent="0.35">
      <c r="B19" s="182" t="s">
        <v>229</v>
      </c>
      <c r="C19" s="183">
        <v>671</v>
      </c>
      <c r="D19" s="377">
        <f>SUM(C19:C23)</f>
        <v>2137.5499999999997</v>
      </c>
      <c r="E19" s="376"/>
    </row>
    <row r="20" spans="2:5" x14ac:dyDescent="0.35">
      <c r="B20" s="182" t="s">
        <v>220</v>
      </c>
      <c r="C20" s="183">
        <v>140</v>
      </c>
      <c r="D20" s="377"/>
      <c r="E20" s="195"/>
    </row>
    <row r="21" spans="2:5" x14ac:dyDescent="0.35">
      <c r="B21" s="182" t="s">
        <v>221</v>
      </c>
      <c r="C21" s="183">
        <v>114</v>
      </c>
      <c r="D21" s="377"/>
      <c r="E21" s="195"/>
    </row>
    <row r="22" spans="2:5" x14ac:dyDescent="0.35">
      <c r="B22" s="182" t="s">
        <v>224</v>
      </c>
      <c r="C22" s="183">
        <v>787.16</v>
      </c>
      <c r="D22" s="377"/>
      <c r="E22" s="195"/>
    </row>
    <row r="23" spans="2:5" x14ac:dyDescent="0.35">
      <c r="B23" s="182" t="s">
        <v>222</v>
      </c>
      <c r="C23" s="183">
        <v>425.39</v>
      </c>
      <c r="D23" s="377"/>
      <c r="E23" s="195"/>
    </row>
    <row r="24" spans="2:5" x14ac:dyDescent="0.35">
      <c r="B24" s="182" t="s">
        <v>223</v>
      </c>
      <c r="C24" s="183">
        <v>6594</v>
      </c>
      <c r="D24" s="221">
        <f>C24</f>
        <v>6594</v>
      </c>
      <c r="E24" s="194"/>
    </row>
    <row r="25" spans="2:5" x14ac:dyDescent="0.35">
      <c r="B25" s="189" t="s">
        <v>10</v>
      </c>
      <c r="C25" s="190">
        <f>SUM(C3:C24)</f>
        <v>88346.39</v>
      </c>
      <c r="D25" s="190">
        <f>SUM(D3:D24)</f>
        <v>88346.39</v>
      </c>
    </row>
  </sheetData>
  <mergeCells count="7">
    <mergeCell ref="E16:E19"/>
    <mergeCell ref="D16:D18"/>
    <mergeCell ref="D19:D23"/>
    <mergeCell ref="D5:D6"/>
    <mergeCell ref="D7:D9"/>
    <mergeCell ref="D10:D11"/>
    <mergeCell ref="D12:D14"/>
  </mergeCells>
  <pageMargins left="0.7" right="0.7" top="0.75" bottom="0.75" header="0.3" footer="0.3"/>
  <pageSetup paperSize="9" orientation="portrait" r:id="rId1"/>
  <ignoredErrors>
    <ignoredError sqref="D9:D14 D5:D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28"/>
  <sheetViews>
    <sheetView topLeftCell="L1" zoomScale="107" zoomScaleNormal="117" workbookViewId="0">
      <selection activeCell="W5" sqref="W5"/>
    </sheetView>
  </sheetViews>
  <sheetFormatPr baseColWidth="10" defaultColWidth="10.59765625" defaultRowHeight="15.4" x14ac:dyDescent="0.35"/>
  <cols>
    <col min="1" max="2" width="13.84765625" style="138" bestFit="1" customWidth="1"/>
    <col min="3" max="3" width="11.09765625" style="138" bestFit="1" customWidth="1"/>
    <col min="4" max="4" width="10.09765625" style="138" bestFit="1" customWidth="1"/>
    <col min="5" max="5" width="11.09765625" style="138" bestFit="1" customWidth="1"/>
    <col min="6" max="6" width="10.09765625" style="138" bestFit="1" customWidth="1"/>
    <col min="7" max="7" width="11.09765625" style="138" bestFit="1" customWidth="1"/>
    <col min="8" max="8" width="10.09765625" style="138" bestFit="1" customWidth="1"/>
    <col min="9" max="9" width="11.09765625" style="138" bestFit="1" customWidth="1"/>
    <col min="10" max="10" width="9.25" style="138" bestFit="1" customWidth="1"/>
    <col min="11" max="11" width="11.09765625" style="138" bestFit="1" customWidth="1"/>
    <col min="12" max="12" width="9.25" style="138" bestFit="1" customWidth="1"/>
    <col min="13" max="13" width="11.09765625" style="138" bestFit="1" customWidth="1"/>
    <col min="14" max="14" width="9.25" style="138" bestFit="1" customWidth="1"/>
    <col min="15" max="15" width="10.09765625" style="138" customWidth="1"/>
    <col min="16" max="16" width="10.796875" style="138" bestFit="1" customWidth="1"/>
    <col min="17" max="17" width="9.75" style="138" customWidth="1"/>
    <col min="18" max="18" width="10.796875" style="138" bestFit="1" customWidth="1"/>
    <col min="19" max="19" width="10.09765625" style="138" bestFit="1" customWidth="1"/>
    <col min="20" max="20" width="10.796875" style="138" bestFit="1" customWidth="1"/>
    <col min="21" max="21" width="10.09765625" style="138" bestFit="1" customWidth="1"/>
    <col min="22" max="22" width="9.84765625" style="138" bestFit="1" customWidth="1"/>
    <col min="23" max="23" width="12.5" style="138" bestFit="1" customWidth="1"/>
    <col min="24" max="24" width="12.5" style="138" customWidth="1"/>
    <col min="25" max="25" width="19.046875" style="138" bestFit="1" customWidth="1"/>
    <col min="26" max="26" width="5.69921875" style="138" bestFit="1" customWidth="1"/>
    <col min="27" max="27" width="7.25" style="138" bestFit="1" customWidth="1"/>
    <col min="28" max="28" width="7.09765625" style="138" customWidth="1"/>
    <col min="29" max="32" width="7.25" style="138" bestFit="1" customWidth="1"/>
    <col min="33" max="36" width="6.59765625" style="138" bestFit="1" customWidth="1"/>
    <col min="37" max="38" width="6.296875" style="138" bestFit="1" customWidth="1"/>
    <col min="39" max="16384" width="10.59765625" style="138"/>
  </cols>
  <sheetData>
    <row r="1" spans="1:40" ht="8.25" customHeight="1" x14ac:dyDescent="0.35"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</row>
    <row r="2" spans="1:40" ht="33.200000000000003" customHeight="1" x14ac:dyDescent="0.35">
      <c r="A2" s="90" t="s">
        <v>39</v>
      </c>
      <c r="B2" s="90" t="s">
        <v>40</v>
      </c>
      <c r="C2" s="90" t="s">
        <v>41</v>
      </c>
      <c r="D2" s="91" t="s">
        <v>0</v>
      </c>
      <c r="E2" s="90" t="s">
        <v>42</v>
      </c>
      <c r="F2" s="91" t="s">
        <v>0</v>
      </c>
      <c r="G2" s="90" t="s">
        <v>43</v>
      </c>
      <c r="H2" s="91" t="s">
        <v>0</v>
      </c>
      <c r="I2" s="90" t="s">
        <v>44</v>
      </c>
      <c r="J2" s="92" t="s">
        <v>0</v>
      </c>
      <c r="K2" s="137" t="s">
        <v>45</v>
      </c>
      <c r="L2" s="92" t="s">
        <v>0</v>
      </c>
      <c r="M2" s="137" t="s">
        <v>46</v>
      </c>
      <c r="N2" s="92" t="s">
        <v>0</v>
      </c>
      <c r="O2" s="137" t="s">
        <v>47</v>
      </c>
      <c r="P2" s="92" t="s">
        <v>0</v>
      </c>
      <c r="Q2" s="137" t="s">
        <v>48</v>
      </c>
      <c r="R2" s="92" t="s">
        <v>0</v>
      </c>
      <c r="S2" s="134" t="s">
        <v>49</v>
      </c>
      <c r="T2" s="131" t="s">
        <v>0</v>
      </c>
      <c r="U2" s="134" t="s">
        <v>50</v>
      </c>
      <c r="V2" s="131" t="s">
        <v>0</v>
      </c>
      <c r="W2" s="128" t="s">
        <v>51</v>
      </c>
      <c r="X2" s="128" t="s">
        <v>0</v>
      </c>
      <c r="Y2" s="129" t="s">
        <v>52</v>
      </c>
      <c r="Z2" s="93" t="s">
        <v>53</v>
      </c>
      <c r="AA2" s="94" t="s">
        <v>54</v>
      </c>
      <c r="AB2" s="94" t="s">
        <v>55</v>
      </c>
      <c r="AC2" s="94" t="s">
        <v>56</v>
      </c>
      <c r="AD2" s="94" t="s">
        <v>57</v>
      </c>
      <c r="AE2" s="94" t="s">
        <v>58</v>
      </c>
      <c r="AF2" s="94" t="s">
        <v>59</v>
      </c>
      <c r="AG2" s="94" t="s">
        <v>60</v>
      </c>
      <c r="AH2" s="94" t="s">
        <v>61</v>
      </c>
      <c r="AI2" s="94" t="s">
        <v>62</v>
      </c>
      <c r="AJ2" s="94" t="s">
        <v>63</v>
      </c>
      <c r="AK2" s="94" t="s">
        <v>64</v>
      </c>
      <c r="AL2" s="141" t="s">
        <v>65</v>
      </c>
      <c r="AM2" s="139"/>
      <c r="AN2" s="139"/>
    </row>
    <row r="3" spans="1:40" ht="34.15" customHeight="1" x14ac:dyDescent="0.35">
      <c r="A3" s="393">
        <v>478300</v>
      </c>
      <c r="B3" s="166">
        <v>478300</v>
      </c>
      <c r="C3" s="166">
        <f>'Año 2009'!B19</f>
        <v>186474.01</v>
      </c>
      <c r="D3" s="173">
        <f>C3-B3</f>
        <v>-291825.99</v>
      </c>
      <c r="E3" s="166">
        <v>176741.71</v>
      </c>
      <c r="F3" s="173">
        <f>E3-C3</f>
        <v>-9732.3000000000175</v>
      </c>
      <c r="G3" s="166">
        <v>169396.51</v>
      </c>
      <c r="H3" s="95">
        <f>G3-E3</f>
        <v>-7345.1999999999825</v>
      </c>
      <c r="I3" s="96">
        <v>142951.56</v>
      </c>
      <c r="J3" s="97">
        <f>I3-G3</f>
        <v>-26444.950000000012</v>
      </c>
      <c r="K3" s="96">
        <v>134546.79999999999</v>
      </c>
      <c r="L3" s="97">
        <f>K3-I3</f>
        <v>-8404.7600000000093</v>
      </c>
      <c r="M3" s="96">
        <v>126495.77</v>
      </c>
      <c r="N3" s="97">
        <f>M3-K3</f>
        <v>-8051.0299999999843</v>
      </c>
      <c r="O3" s="96">
        <v>118043.26</v>
      </c>
      <c r="P3" s="97">
        <f>O3-M3</f>
        <v>-8452.5100000000093</v>
      </c>
      <c r="Q3" s="98">
        <v>86727.94</v>
      </c>
      <c r="R3" s="97">
        <f>Q3-O3</f>
        <v>-31315.319999999992</v>
      </c>
      <c r="S3" s="98">
        <v>47779.63</v>
      </c>
      <c r="T3" s="97">
        <f>S3-Q3</f>
        <v>-38948.310000000005</v>
      </c>
      <c r="U3" s="98">
        <v>15877.57</v>
      </c>
      <c r="V3" s="97">
        <f>U3-S3</f>
        <v>-31902.059999999998</v>
      </c>
      <c r="W3" s="98">
        <v>0</v>
      </c>
      <c r="X3" s="97">
        <f>W3-U3</f>
        <v>-15877.57</v>
      </c>
      <c r="Y3" s="146" t="s">
        <v>66</v>
      </c>
      <c r="Z3" s="100">
        <v>7.4400000000000004E-3</v>
      </c>
      <c r="AA3" s="101">
        <v>2280.62</v>
      </c>
      <c r="AB3" s="101">
        <v>843.23</v>
      </c>
      <c r="AC3" s="101">
        <v>843.23</v>
      </c>
      <c r="AD3" s="101">
        <v>829.22</v>
      </c>
      <c r="AE3" s="101">
        <v>718</v>
      </c>
      <c r="AF3" s="101">
        <v>696.58</v>
      </c>
      <c r="AG3" s="101">
        <v>674.82</v>
      </c>
      <c r="AH3" s="101">
        <v>541.84</v>
      </c>
      <c r="AI3" s="143">
        <v>446.21</v>
      </c>
      <c r="AJ3" s="143">
        <v>263.20999999999998</v>
      </c>
      <c r="AK3" s="143">
        <v>99.22</v>
      </c>
      <c r="AL3" s="103">
        <v>83.38</v>
      </c>
      <c r="AM3" s="139"/>
      <c r="AN3" s="139"/>
    </row>
    <row r="4" spans="1:40" ht="37.35" customHeight="1" x14ac:dyDescent="0.35">
      <c r="A4" s="393"/>
      <c r="B4" s="166">
        <v>0</v>
      </c>
      <c r="C4" s="166">
        <f>'Año 2009'!B24</f>
        <v>188287.32</v>
      </c>
      <c r="D4" s="173">
        <f>C4-B4</f>
        <v>188287.32</v>
      </c>
      <c r="E4" s="166">
        <v>175972.84</v>
      </c>
      <c r="F4" s="173">
        <f>E4-C4</f>
        <v>-12314.48000000001</v>
      </c>
      <c r="G4" s="166">
        <v>134712.46</v>
      </c>
      <c r="H4" s="95">
        <f>G4-E4</f>
        <v>-41260.380000000005</v>
      </c>
      <c r="I4" s="96">
        <v>125972.94</v>
      </c>
      <c r="J4" s="97">
        <f>I4-G4</f>
        <v>-8739.5199999999895</v>
      </c>
      <c r="K4" s="96">
        <v>116945.11</v>
      </c>
      <c r="L4" s="97">
        <f>K4-I4</f>
        <v>-9027.8300000000017</v>
      </c>
      <c r="M4" s="96">
        <v>107619.47</v>
      </c>
      <c r="N4" s="97">
        <f>M4-K4</f>
        <v>-9325.64</v>
      </c>
      <c r="O4" s="96">
        <v>91174.52</v>
      </c>
      <c r="P4" s="97">
        <f>O4-M4</f>
        <v>-16444.949999999997</v>
      </c>
      <c r="Q4" s="98">
        <v>78931.509999999995</v>
      </c>
      <c r="R4" s="97">
        <f>Q4-O4</f>
        <v>-12243.010000000009</v>
      </c>
      <c r="S4" s="98">
        <v>55965.66</v>
      </c>
      <c r="T4" s="97">
        <f>S4-Q4</f>
        <v>-22965.849999999991</v>
      </c>
      <c r="U4" s="98">
        <v>39836.559999999998</v>
      </c>
      <c r="V4" s="97">
        <f>U4-S4</f>
        <v>-16129.100000000006</v>
      </c>
      <c r="W4" s="98">
        <v>0</v>
      </c>
      <c r="X4" s="97">
        <f>W4-U4</f>
        <v>-39836.559999999998</v>
      </c>
      <c r="Y4" s="104" t="s">
        <v>67</v>
      </c>
      <c r="Z4" s="105">
        <v>0.02</v>
      </c>
      <c r="AA4" s="101">
        <v>0</v>
      </c>
      <c r="AB4" s="101">
        <v>1329.12</v>
      </c>
      <c r="AC4" s="101">
        <v>1331.45</v>
      </c>
      <c r="AD4" s="101">
        <v>1082.7</v>
      </c>
      <c r="AE4" s="101">
        <v>1082.71</v>
      </c>
      <c r="AF4" s="106">
        <v>1082.3499999999999</v>
      </c>
      <c r="AG4" s="106">
        <v>1082.3499999999999</v>
      </c>
      <c r="AH4" s="101">
        <v>975.99</v>
      </c>
      <c r="AI4" s="101">
        <v>900.16</v>
      </c>
      <c r="AJ4" s="101">
        <v>747.83</v>
      </c>
      <c r="AK4" s="102">
        <v>747.83</v>
      </c>
      <c r="AL4" s="102">
        <v>618.38</v>
      </c>
      <c r="AM4" s="139"/>
      <c r="AN4" s="139"/>
    </row>
    <row r="5" spans="1:40" ht="36" customHeight="1" x14ac:dyDescent="0.35">
      <c r="A5" s="107"/>
      <c r="B5" s="174"/>
      <c r="C5" s="174"/>
      <c r="D5" s="175"/>
      <c r="E5" s="174"/>
      <c r="F5" s="175"/>
      <c r="G5" s="107"/>
      <c r="H5" s="108"/>
      <c r="I5" s="107"/>
      <c r="J5" s="108"/>
      <c r="K5" s="107"/>
      <c r="L5" s="108"/>
      <c r="M5" s="107"/>
      <c r="N5" s="108"/>
      <c r="O5" s="109">
        <v>-8002.8</v>
      </c>
      <c r="P5" s="110">
        <f>O5-M5</f>
        <v>-8002.8</v>
      </c>
      <c r="Q5" s="109">
        <v>-15996.75</v>
      </c>
      <c r="R5" s="110">
        <f>Q5-O5</f>
        <v>-7993.95</v>
      </c>
      <c r="S5" s="109">
        <v>-23940.34</v>
      </c>
      <c r="T5" s="110">
        <f>S5-Q5</f>
        <v>-7943.59</v>
      </c>
      <c r="U5" s="109">
        <v>-31053</v>
      </c>
      <c r="V5" s="110">
        <f>U5-S5</f>
        <v>-7112.66</v>
      </c>
      <c r="W5" s="109">
        <v>-32362.7</v>
      </c>
      <c r="X5" s="110">
        <f>W5-U5</f>
        <v>-1309.7000000000007</v>
      </c>
      <c r="Y5" s="135" t="s">
        <v>1</v>
      </c>
      <c r="Z5" s="111">
        <v>1E-3</v>
      </c>
      <c r="AA5" s="112">
        <v>0</v>
      </c>
      <c r="AB5" s="112">
        <v>0</v>
      </c>
      <c r="AC5" s="112">
        <v>0</v>
      </c>
      <c r="AD5" s="112">
        <v>0</v>
      </c>
      <c r="AE5" s="112">
        <v>0</v>
      </c>
      <c r="AF5" s="112">
        <v>0</v>
      </c>
      <c r="AG5" s="112">
        <v>0</v>
      </c>
      <c r="AH5" s="113">
        <v>0</v>
      </c>
      <c r="AI5" s="113">
        <v>0</v>
      </c>
      <c r="AJ5" s="113">
        <v>0</v>
      </c>
      <c r="AK5" s="113">
        <v>0</v>
      </c>
      <c r="AL5" s="113">
        <v>0</v>
      </c>
      <c r="AM5" s="139"/>
      <c r="AN5" s="139"/>
    </row>
    <row r="6" spans="1:40" ht="37.35" customHeight="1" x14ac:dyDescent="0.35">
      <c r="A6" s="114">
        <v>160000</v>
      </c>
      <c r="B6" s="116">
        <v>147394.25</v>
      </c>
      <c r="C6" s="116">
        <f>'Año 2009'!B4</f>
        <v>142595.66</v>
      </c>
      <c r="D6" s="117">
        <f t="shared" ref="D6:D11" si="0">C6-B6</f>
        <v>-4798.5899999999965</v>
      </c>
      <c r="E6" s="116">
        <v>138228.93</v>
      </c>
      <c r="F6" s="117">
        <f t="shared" ref="F6:F11" si="1">E6-C6</f>
        <v>-4366.7300000000105</v>
      </c>
      <c r="G6" s="116">
        <v>132881.43</v>
      </c>
      <c r="H6" s="115">
        <f>G6-E6</f>
        <v>-5347.5</v>
      </c>
      <c r="I6" s="109">
        <v>89992.06</v>
      </c>
      <c r="J6" s="117">
        <f>I6-G6</f>
        <v>-42889.369999999995</v>
      </c>
      <c r="K6" s="109">
        <v>66965.8</v>
      </c>
      <c r="L6" s="117">
        <f>K6-I6</f>
        <v>-23026.259999999995</v>
      </c>
      <c r="M6" s="109">
        <v>43500.01</v>
      </c>
      <c r="N6" s="117">
        <f>M6-K6</f>
        <v>-23465.79</v>
      </c>
      <c r="O6" s="109">
        <v>10359.799999999999</v>
      </c>
      <c r="P6" s="117">
        <f>O6-M6</f>
        <v>-33140.210000000006</v>
      </c>
      <c r="Q6" s="109">
        <v>0</v>
      </c>
      <c r="R6" s="117">
        <f>Q6-O6</f>
        <v>-10359.799999999999</v>
      </c>
      <c r="S6" s="109">
        <v>0</v>
      </c>
      <c r="T6" s="117">
        <f>S6-Q6</f>
        <v>0</v>
      </c>
      <c r="U6" s="109">
        <v>0</v>
      </c>
      <c r="V6" s="117">
        <f>U6-S6</f>
        <v>0</v>
      </c>
      <c r="W6" s="109">
        <v>0</v>
      </c>
      <c r="X6" s="117">
        <f>W6-U6</f>
        <v>0</v>
      </c>
      <c r="Y6" s="99" t="s">
        <v>68</v>
      </c>
      <c r="Z6" s="111">
        <v>2.2499999999999999E-2</v>
      </c>
      <c r="AA6" s="118">
        <v>1023.95</v>
      </c>
      <c r="AB6" s="118">
        <v>1023.95</v>
      </c>
      <c r="AC6" s="112">
        <v>758.97</v>
      </c>
      <c r="AD6" s="112">
        <v>768.51</v>
      </c>
      <c r="AE6" s="112">
        <v>536.41</v>
      </c>
      <c r="AF6" s="112">
        <v>417.78</v>
      </c>
      <c r="AG6" s="112">
        <v>286.29000000000002</v>
      </c>
      <c r="AH6" s="113">
        <v>69.16</v>
      </c>
      <c r="AI6" s="113">
        <v>0</v>
      </c>
      <c r="AJ6" s="113">
        <v>0</v>
      </c>
      <c r="AK6" s="113">
        <v>0</v>
      </c>
      <c r="AL6" s="113">
        <v>0</v>
      </c>
      <c r="AM6" s="139"/>
      <c r="AN6" s="139"/>
    </row>
    <row r="7" spans="1:40" ht="36" customHeight="1" x14ac:dyDescent="0.35">
      <c r="A7" s="114">
        <v>105000</v>
      </c>
      <c r="B7" s="116">
        <v>98634.880000000005</v>
      </c>
      <c r="C7" s="116">
        <f>'Año 2009'!B11</f>
        <v>87451.21</v>
      </c>
      <c r="D7" s="117">
        <f t="shared" si="0"/>
        <v>-11183.669999999998</v>
      </c>
      <c r="E7" s="116">
        <v>54318.76</v>
      </c>
      <c r="F7" s="117">
        <f t="shared" si="1"/>
        <v>-33132.450000000004</v>
      </c>
      <c r="G7" s="116">
        <v>17343.04</v>
      </c>
      <c r="H7" s="115">
        <f>G7-E7</f>
        <v>-36975.72</v>
      </c>
      <c r="I7" s="109">
        <v>0</v>
      </c>
      <c r="J7" s="117">
        <f>I7-G7</f>
        <v>-17343.04</v>
      </c>
      <c r="K7" s="109">
        <v>0</v>
      </c>
      <c r="L7" s="110">
        <f>I7-K7</f>
        <v>0</v>
      </c>
      <c r="M7" s="109">
        <v>0</v>
      </c>
      <c r="N7" s="110">
        <f>K7-M7</f>
        <v>0</v>
      </c>
      <c r="O7" s="109">
        <v>0</v>
      </c>
      <c r="P7" s="110">
        <f>M7-O7</f>
        <v>0</v>
      </c>
      <c r="Q7" s="109">
        <v>0</v>
      </c>
      <c r="R7" s="110">
        <f>M7-Q7</f>
        <v>0</v>
      </c>
      <c r="S7" s="109">
        <v>0</v>
      </c>
      <c r="T7" s="110">
        <f>O7-S7</f>
        <v>0</v>
      </c>
      <c r="U7" s="109">
        <v>0</v>
      </c>
      <c r="V7" s="110">
        <f>O7-U7</f>
        <v>0</v>
      </c>
      <c r="W7" s="109">
        <v>0</v>
      </c>
      <c r="X7" s="110">
        <f>U7-W7</f>
        <v>0</v>
      </c>
      <c r="Y7" s="99" t="s">
        <v>69</v>
      </c>
      <c r="Z7" s="119">
        <v>3.6499999999999998E-2</v>
      </c>
      <c r="AA7" s="112">
        <v>639.86</v>
      </c>
      <c r="AB7" s="112">
        <v>539.85</v>
      </c>
      <c r="AC7" s="112">
        <v>315.68</v>
      </c>
      <c r="AD7" s="112">
        <v>104.32</v>
      </c>
      <c r="AE7" s="112">
        <v>0</v>
      </c>
      <c r="AF7" s="112">
        <v>0</v>
      </c>
      <c r="AG7" s="112">
        <v>0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39"/>
      <c r="AN7" s="139"/>
    </row>
    <row r="8" spans="1:40" ht="39" customHeight="1" x14ac:dyDescent="0.35">
      <c r="A8" s="120">
        <v>133000</v>
      </c>
      <c r="B8" s="116">
        <v>123708.33</v>
      </c>
      <c r="C8" s="116">
        <f>'Año 2009'!B30</f>
        <v>111540.38</v>
      </c>
      <c r="D8" s="117">
        <f t="shared" si="0"/>
        <v>-12167.949999999997</v>
      </c>
      <c r="E8" s="116">
        <v>59538.21</v>
      </c>
      <c r="F8" s="117">
        <f t="shared" si="1"/>
        <v>-52002.170000000006</v>
      </c>
      <c r="G8" s="116">
        <v>0</v>
      </c>
      <c r="H8" s="115">
        <f>G8-E8</f>
        <v>-59538.21</v>
      </c>
      <c r="I8" s="109">
        <v>0</v>
      </c>
      <c r="J8" s="117">
        <f>G8-I8</f>
        <v>0</v>
      </c>
      <c r="K8" s="109">
        <v>0</v>
      </c>
      <c r="L8" s="110">
        <f>I8-K8</f>
        <v>0</v>
      </c>
      <c r="M8" s="109">
        <v>0</v>
      </c>
      <c r="N8" s="110">
        <f>K8-M8</f>
        <v>0</v>
      </c>
      <c r="O8" s="109">
        <v>0</v>
      </c>
      <c r="P8" s="110">
        <f>M8-O8</f>
        <v>0</v>
      </c>
      <c r="Q8" s="109">
        <v>0</v>
      </c>
      <c r="R8" s="110">
        <f>M8-Q8</f>
        <v>0</v>
      </c>
      <c r="S8" s="109">
        <v>0</v>
      </c>
      <c r="T8" s="110">
        <f>O8-S8</f>
        <v>0</v>
      </c>
      <c r="U8" s="109">
        <v>0</v>
      </c>
      <c r="V8" s="110">
        <f>O8-U8</f>
        <v>0</v>
      </c>
      <c r="W8" s="109">
        <v>0</v>
      </c>
      <c r="X8" s="110">
        <f>U8-W8</f>
        <v>0</v>
      </c>
      <c r="Y8" s="121" t="s">
        <v>70</v>
      </c>
      <c r="Z8" s="119">
        <v>3.5000000000000003E-2</v>
      </c>
      <c r="AA8" s="118">
        <v>1114.83</v>
      </c>
      <c r="AB8" s="112">
        <v>836.81</v>
      </c>
      <c r="AC8" s="112">
        <v>572.89</v>
      </c>
      <c r="AD8" s="112">
        <v>0</v>
      </c>
      <c r="AE8" s="112">
        <v>0</v>
      </c>
      <c r="AF8" s="112">
        <v>0</v>
      </c>
      <c r="AG8" s="112">
        <v>0</v>
      </c>
      <c r="AH8" s="113">
        <v>0</v>
      </c>
      <c r="AI8" s="113">
        <v>0</v>
      </c>
      <c r="AJ8" s="113">
        <v>0</v>
      </c>
      <c r="AK8" s="113">
        <v>0</v>
      </c>
      <c r="AL8" s="113">
        <v>0</v>
      </c>
      <c r="AM8" s="139"/>
      <c r="AN8" s="139"/>
    </row>
    <row r="9" spans="1:40" ht="19.350000000000001" customHeight="1" x14ac:dyDescent="0.35">
      <c r="A9" s="116">
        <v>15025.3</v>
      </c>
      <c r="B9" s="116">
        <v>15025.3</v>
      </c>
      <c r="C9" s="116">
        <f>'Año 2009'!B35</f>
        <v>12000</v>
      </c>
      <c r="D9" s="117">
        <f>C9-B9</f>
        <v>-3025.2999999999993</v>
      </c>
      <c r="E9" s="116">
        <v>9000</v>
      </c>
      <c r="F9" s="117">
        <f t="shared" si="1"/>
        <v>-3000</v>
      </c>
      <c r="G9" s="116">
        <v>0</v>
      </c>
      <c r="H9" s="115">
        <f>G9-E9</f>
        <v>-9000</v>
      </c>
      <c r="I9" s="109">
        <v>0</v>
      </c>
      <c r="J9" s="117">
        <f>G9-I9</f>
        <v>0</v>
      </c>
      <c r="K9" s="109">
        <v>0</v>
      </c>
      <c r="L9" s="110">
        <f>I9-K9</f>
        <v>0</v>
      </c>
      <c r="M9" s="109">
        <v>0</v>
      </c>
      <c r="N9" s="110">
        <f>K9-M9</f>
        <v>0</v>
      </c>
      <c r="O9" s="109">
        <v>0</v>
      </c>
      <c r="P9" s="110">
        <f>M9-O9</f>
        <v>0</v>
      </c>
      <c r="Q9" s="109">
        <v>0</v>
      </c>
      <c r="R9" s="110">
        <f>M9-Q9</f>
        <v>0</v>
      </c>
      <c r="S9" s="109">
        <v>0</v>
      </c>
      <c r="T9" s="110">
        <f>O9-S9</f>
        <v>0</v>
      </c>
      <c r="U9" s="109">
        <v>0</v>
      </c>
      <c r="V9" s="110">
        <f>O9-U9</f>
        <v>0</v>
      </c>
      <c r="W9" s="109">
        <v>0</v>
      </c>
      <c r="X9" s="110">
        <f>U9-W9</f>
        <v>0</v>
      </c>
      <c r="Y9" s="122" t="s">
        <v>71</v>
      </c>
      <c r="Z9" s="119">
        <v>3.5000000000000003E-2</v>
      </c>
      <c r="AA9" s="112">
        <v>62.61</v>
      </c>
      <c r="AB9" s="112">
        <v>35</v>
      </c>
      <c r="AC9" s="112">
        <v>26.25</v>
      </c>
      <c r="AD9" s="112">
        <v>0</v>
      </c>
      <c r="AE9" s="112">
        <v>0</v>
      </c>
      <c r="AF9" s="112">
        <v>0</v>
      </c>
      <c r="AG9" s="112">
        <v>0</v>
      </c>
      <c r="AH9" s="113">
        <v>0</v>
      </c>
      <c r="AI9" s="113">
        <v>0</v>
      </c>
      <c r="AJ9" s="113">
        <v>0</v>
      </c>
      <c r="AK9" s="113">
        <v>0</v>
      </c>
      <c r="AL9" s="113">
        <v>0</v>
      </c>
      <c r="AM9" s="139"/>
      <c r="AN9" s="139"/>
    </row>
    <row r="10" spans="1:40" ht="40.15" customHeight="1" x14ac:dyDescent="0.35">
      <c r="A10" s="176">
        <v>24000</v>
      </c>
      <c r="B10" s="116">
        <v>21049.95</v>
      </c>
      <c r="C10" s="116">
        <v>20000</v>
      </c>
      <c r="D10" s="117">
        <f t="shared" si="0"/>
        <v>-1049.9500000000007</v>
      </c>
      <c r="E10" s="116">
        <v>18000</v>
      </c>
      <c r="F10" s="117">
        <f t="shared" si="1"/>
        <v>-2000</v>
      </c>
      <c r="G10" s="116">
        <v>0</v>
      </c>
      <c r="H10" s="115">
        <f>E10-G10</f>
        <v>18000</v>
      </c>
      <c r="I10" s="109">
        <v>0</v>
      </c>
      <c r="J10" s="117">
        <f>G10-I10</f>
        <v>0</v>
      </c>
      <c r="K10" s="109">
        <v>0</v>
      </c>
      <c r="L10" s="110">
        <f>I10-K10</f>
        <v>0</v>
      </c>
      <c r="M10" s="109">
        <v>0</v>
      </c>
      <c r="N10" s="110">
        <f>K10-M10</f>
        <v>0</v>
      </c>
      <c r="O10" s="109">
        <v>0</v>
      </c>
      <c r="P10" s="110">
        <f>M10-O10</f>
        <v>0</v>
      </c>
      <c r="Q10" s="109">
        <v>0</v>
      </c>
      <c r="R10" s="110">
        <f>M10-Q10</f>
        <v>0</v>
      </c>
      <c r="S10" s="109">
        <v>0</v>
      </c>
      <c r="T10" s="110">
        <f>O10-S10</f>
        <v>0</v>
      </c>
      <c r="U10" s="109">
        <v>0</v>
      </c>
      <c r="V10" s="144">
        <f>O10-U10</f>
        <v>0</v>
      </c>
      <c r="W10" s="109">
        <v>0</v>
      </c>
      <c r="X10" s="110">
        <f>U10-W10</f>
        <v>0</v>
      </c>
      <c r="Y10" s="121" t="s">
        <v>72</v>
      </c>
      <c r="Z10" s="112"/>
      <c r="AA10" s="112">
        <v>207.12</v>
      </c>
      <c r="AB10" s="112">
        <v>143.38</v>
      </c>
      <c r="AC10" s="112">
        <v>143.38</v>
      </c>
      <c r="AD10" s="112">
        <v>0</v>
      </c>
      <c r="AE10" s="112">
        <v>0</v>
      </c>
      <c r="AF10" s="112">
        <v>0</v>
      </c>
      <c r="AG10" s="112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39"/>
      <c r="AN10" s="139"/>
    </row>
    <row r="11" spans="1:40" ht="36" customHeight="1" x14ac:dyDescent="0.35">
      <c r="A11" s="136">
        <f>A6+A7+A3+A8+A4+A9+A10</f>
        <v>915325.3</v>
      </c>
      <c r="B11" s="130">
        <f>B6+B7+B3+B8+B4+B9+B10</f>
        <v>884112.71</v>
      </c>
      <c r="C11" s="130">
        <f>C6+C7+C3+C8+C4+C9+C10</f>
        <v>748348.58000000007</v>
      </c>
      <c r="D11" s="123">
        <f t="shared" si="0"/>
        <v>-135764.12999999989</v>
      </c>
      <c r="E11" s="130">
        <f>E6+E7+E3+E8+E4+E9+E10</f>
        <v>631800.45000000007</v>
      </c>
      <c r="F11" s="123">
        <f t="shared" si="1"/>
        <v>-116548.13</v>
      </c>
      <c r="G11" s="130">
        <f>G6+G7+G3+G8+G4+G9+G10</f>
        <v>454333.43999999994</v>
      </c>
      <c r="H11" s="123">
        <f>G11-E11</f>
        <v>-177467.01000000013</v>
      </c>
      <c r="I11" s="130">
        <f>I6+I3+I4</f>
        <v>358916.56</v>
      </c>
      <c r="J11" s="123">
        <f>I11-G11</f>
        <v>-95416.879999999946</v>
      </c>
      <c r="K11" s="130">
        <f>K6+K3+K4</f>
        <v>318457.70999999996</v>
      </c>
      <c r="L11" s="123">
        <f>K11-I11</f>
        <v>-40458.850000000035</v>
      </c>
      <c r="M11" s="130">
        <f>M6+M3+M4</f>
        <v>277615.25</v>
      </c>
      <c r="N11" s="123">
        <f>M11-K11</f>
        <v>-40842.459999999963</v>
      </c>
      <c r="O11" s="130">
        <f>SUM(O3:O6)</f>
        <v>211574.78</v>
      </c>
      <c r="P11" s="132">
        <f>O11-M11</f>
        <v>-66040.47</v>
      </c>
      <c r="Q11" s="130">
        <f>SUM(Q3:Q5)</f>
        <v>149662.70000000001</v>
      </c>
      <c r="R11" s="132">
        <f>Q11-O11</f>
        <v>-61912.079999999987</v>
      </c>
      <c r="S11" s="130">
        <f>SUM(S3:S5)</f>
        <v>79804.950000000012</v>
      </c>
      <c r="T11" s="133">
        <f>S11-Q11</f>
        <v>-69857.75</v>
      </c>
      <c r="U11" s="130">
        <f>SUM(U3:U5)</f>
        <v>24661.129999999997</v>
      </c>
      <c r="V11" s="145">
        <f>U11-S11</f>
        <v>-55143.820000000014</v>
      </c>
      <c r="W11" s="124">
        <f>SUM(W3:W5)</f>
        <v>-32362.7</v>
      </c>
      <c r="X11" s="124">
        <f>W11-U11</f>
        <v>-57023.83</v>
      </c>
      <c r="Y11" s="389" t="s">
        <v>73</v>
      </c>
      <c r="Z11" s="389"/>
      <c r="AA11" s="89">
        <f t="shared" ref="AA11:AJ11" si="2">SUM(AA3:AA10)</f>
        <v>5328.99</v>
      </c>
      <c r="AB11" s="89">
        <f t="shared" si="2"/>
        <v>4751.34</v>
      </c>
      <c r="AC11" s="89">
        <f t="shared" si="2"/>
        <v>3991.8500000000004</v>
      </c>
      <c r="AD11" s="89">
        <f t="shared" si="2"/>
        <v>2784.7500000000005</v>
      </c>
      <c r="AE11" s="89">
        <f t="shared" si="2"/>
        <v>2337.12</v>
      </c>
      <c r="AF11" s="89">
        <f t="shared" si="2"/>
        <v>2196.71</v>
      </c>
      <c r="AG11" s="89">
        <f t="shared" si="2"/>
        <v>2043.46</v>
      </c>
      <c r="AH11" s="89">
        <f t="shared" si="2"/>
        <v>1586.99</v>
      </c>
      <c r="AI11" s="89">
        <f t="shared" si="2"/>
        <v>1346.37</v>
      </c>
      <c r="AJ11" s="89">
        <f t="shared" si="2"/>
        <v>1011.04</v>
      </c>
      <c r="AK11" s="89">
        <f>SUM(AK3:AK10)</f>
        <v>847.05000000000007</v>
      </c>
      <c r="AL11" s="147">
        <f>SUM(AL3:AL10)</f>
        <v>701.76</v>
      </c>
      <c r="AM11" s="139"/>
      <c r="AN11" s="139"/>
    </row>
    <row r="12" spans="1:40" ht="20.100000000000001" customHeight="1" x14ac:dyDescent="0.35">
      <c r="A12" s="125" t="s">
        <v>74</v>
      </c>
      <c r="B12" s="125" t="s">
        <v>75</v>
      </c>
      <c r="C12" s="388" t="s">
        <v>76</v>
      </c>
      <c r="D12" s="388"/>
      <c r="E12" s="388" t="s">
        <v>77</v>
      </c>
      <c r="F12" s="388"/>
      <c r="G12" s="388" t="s">
        <v>78</v>
      </c>
      <c r="H12" s="388"/>
      <c r="I12" s="388" t="s">
        <v>79</v>
      </c>
      <c r="J12" s="388"/>
      <c r="K12" s="388" t="s">
        <v>80</v>
      </c>
      <c r="L12" s="388"/>
      <c r="M12" s="388" t="s">
        <v>81</v>
      </c>
      <c r="N12" s="388"/>
      <c r="O12" s="388" t="s">
        <v>82</v>
      </c>
      <c r="P12" s="388"/>
      <c r="Q12" s="388" t="s">
        <v>83</v>
      </c>
      <c r="R12" s="388"/>
      <c r="S12" s="388" t="s">
        <v>84</v>
      </c>
      <c r="T12" s="388"/>
      <c r="U12" s="388" t="s">
        <v>8</v>
      </c>
      <c r="V12" s="388"/>
      <c r="W12" s="392" t="s">
        <v>9</v>
      </c>
      <c r="X12" s="392"/>
      <c r="Y12" s="390" t="s">
        <v>85</v>
      </c>
      <c r="Z12" s="390"/>
      <c r="AA12" s="390"/>
      <c r="AB12" s="390"/>
      <c r="AC12" s="390"/>
      <c r="AD12" s="390"/>
      <c r="AE12" s="394" t="s">
        <v>86</v>
      </c>
      <c r="AF12" s="395"/>
      <c r="AG12" s="395"/>
      <c r="AH12" s="395"/>
      <c r="AI12" s="395"/>
      <c r="AJ12" s="395"/>
      <c r="AK12" s="395"/>
      <c r="AL12" s="395"/>
      <c r="AM12" s="139"/>
      <c r="AN12" s="139"/>
    </row>
    <row r="13" spans="1:40" ht="24.2" customHeight="1" x14ac:dyDescent="0.35">
      <c r="A13" s="126">
        <v>915325.3</v>
      </c>
      <c r="B13" s="162">
        <f>B11-A11</f>
        <v>-31212.590000000084</v>
      </c>
      <c r="C13" s="387">
        <f>C11-B11</f>
        <v>-135764.12999999989</v>
      </c>
      <c r="D13" s="387"/>
      <c r="E13" s="387">
        <f>E11-C11</f>
        <v>-116548.13</v>
      </c>
      <c r="F13" s="387"/>
      <c r="G13" s="387">
        <f>G11-E11</f>
        <v>-177467.01000000013</v>
      </c>
      <c r="H13" s="387"/>
      <c r="I13" s="387">
        <f>I11-G11</f>
        <v>-95416.879999999946</v>
      </c>
      <c r="J13" s="387"/>
      <c r="K13" s="387">
        <f>K11-I11</f>
        <v>-40458.850000000035</v>
      </c>
      <c r="L13" s="387"/>
      <c r="M13" s="387">
        <f>M11-K11</f>
        <v>-40842.459999999963</v>
      </c>
      <c r="N13" s="387"/>
      <c r="O13" s="387">
        <f>O11-M11</f>
        <v>-66040.47</v>
      </c>
      <c r="P13" s="387"/>
      <c r="Q13" s="387">
        <f>Q11-O11</f>
        <v>-61912.079999999987</v>
      </c>
      <c r="R13" s="387"/>
      <c r="S13" s="387">
        <f>S11-Q11</f>
        <v>-69857.75</v>
      </c>
      <c r="T13" s="387"/>
      <c r="U13" s="387">
        <f>U11-Q11</f>
        <v>-125001.57</v>
      </c>
      <c r="V13" s="387"/>
      <c r="W13" s="387">
        <f>W11-U11</f>
        <v>-57023.83</v>
      </c>
      <c r="X13" s="387"/>
      <c r="Y13" s="391">
        <f>W3+W5</f>
        <v>-32362.7</v>
      </c>
      <c r="Z13" s="391"/>
      <c r="AA13" s="391"/>
      <c r="AB13" s="391"/>
      <c r="AC13" s="391"/>
      <c r="AD13" s="391"/>
      <c r="AE13" s="396">
        <f>W4</f>
        <v>0</v>
      </c>
      <c r="AF13" s="397"/>
      <c r="AG13" s="397"/>
      <c r="AH13" s="397"/>
      <c r="AI13" s="397"/>
      <c r="AJ13" s="397"/>
      <c r="AK13" s="397"/>
      <c r="AL13" s="397"/>
      <c r="AM13" s="139"/>
      <c r="AN13" s="139"/>
    </row>
    <row r="14" spans="1:40" ht="23.25" customHeight="1" x14ac:dyDescent="0.35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384"/>
      <c r="T14" s="384"/>
      <c r="U14" s="165"/>
      <c r="V14" s="165"/>
      <c r="W14" s="386" t="s">
        <v>87</v>
      </c>
      <c r="X14" s="386"/>
      <c r="Y14" s="398">
        <f>Y13+AE13</f>
        <v>-32362.7</v>
      </c>
      <c r="Z14" s="398"/>
      <c r="AA14" s="398"/>
      <c r="AB14" s="399"/>
      <c r="AC14" s="400"/>
      <c r="AD14" s="127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</row>
    <row r="15" spans="1:40" ht="18" customHeight="1" x14ac:dyDescent="0.35">
      <c r="A15" s="149"/>
      <c r="B15" s="149"/>
      <c r="C15" s="149"/>
      <c r="D15" s="139"/>
      <c r="E15" s="149"/>
      <c r="F15" s="139"/>
      <c r="G15" s="149"/>
      <c r="H15" s="139"/>
      <c r="I15" s="149"/>
      <c r="J15" s="139"/>
      <c r="K15" s="149"/>
      <c r="L15" s="139"/>
      <c r="M15" s="149"/>
      <c r="N15" s="139"/>
      <c r="O15" s="149"/>
      <c r="P15" s="139"/>
      <c r="Q15" s="149"/>
      <c r="R15" s="139"/>
      <c r="S15" s="149"/>
      <c r="T15" s="149"/>
      <c r="U15" s="149"/>
      <c r="V15" s="148"/>
      <c r="W15" s="382" t="s">
        <v>6</v>
      </c>
      <c r="X15" s="382"/>
      <c r="Y15" s="380">
        <v>3500</v>
      </c>
      <c r="Z15" s="380"/>
      <c r="AA15" s="38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</row>
    <row r="16" spans="1:40" ht="18" customHeight="1" x14ac:dyDescent="0.35">
      <c r="A16" s="149"/>
      <c r="B16" s="149"/>
      <c r="C16" s="149"/>
      <c r="D16" s="139"/>
      <c r="E16" s="149"/>
      <c r="F16" s="139"/>
      <c r="G16" s="149"/>
      <c r="H16" s="139"/>
      <c r="I16" s="149"/>
      <c r="J16" s="139"/>
      <c r="K16" s="149"/>
      <c r="L16" s="139"/>
      <c r="M16" s="149"/>
      <c r="N16" s="139"/>
      <c r="O16" s="149"/>
      <c r="P16" s="139"/>
      <c r="Q16" s="149"/>
      <c r="R16" s="139"/>
      <c r="S16" s="149"/>
      <c r="T16" s="149"/>
      <c r="U16" s="149"/>
      <c r="V16" s="148"/>
      <c r="W16" s="382" t="s">
        <v>88</v>
      </c>
      <c r="X16" s="382"/>
      <c r="Y16" s="380">
        <v>0</v>
      </c>
      <c r="Z16" s="380"/>
      <c r="AA16" s="38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</row>
    <row r="17" spans="1:40" ht="18" customHeight="1" x14ac:dyDescent="0.35">
      <c r="A17" s="140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381"/>
      <c r="T17" s="381"/>
      <c r="U17" s="168"/>
      <c r="V17" s="148"/>
      <c r="W17" s="382" t="s">
        <v>89</v>
      </c>
      <c r="X17" s="382"/>
      <c r="Y17" s="380">
        <v>0</v>
      </c>
      <c r="Z17" s="380"/>
      <c r="AA17" s="38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</row>
    <row r="18" spans="1:40" ht="18" customHeight="1" x14ac:dyDescent="0.35">
      <c r="A18" s="140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381"/>
      <c r="T18" s="381"/>
      <c r="U18" s="168"/>
      <c r="V18" s="168"/>
      <c r="W18" s="382" t="s">
        <v>90</v>
      </c>
      <c r="X18" s="382"/>
      <c r="Y18" s="380">
        <v>22000</v>
      </c>
      <c r="Z18" s="380"/>
      <c r="AA18" s="38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</row>
    <row r="19" spans="1:40" ht="21" customHeight="1" x14ac:dyDescent="0.35">
      <c r="A19" s="140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384"/>
      <c r="T19" s="384"/>
      <c r="U19" s="165"/>
      <c r="V19" s="165"/>
      <c r="W19" s="383" t="s">
        <v>87</v>
      </c>
      <c r="X19" s="383"/>
      <c r="Y19" s="385">
        <f>Y14-Y15-Y16-Y17-Y18</f>
        <v>-57862.7</v>
      </c>
      <c r="Z19" s="385"/>
      <c r="AA19" s="385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</row>
    <row r="20" spans="1:40" x14ac:dyDescent="0.35">
      <c r="J20" s="139"/>
      <c r="K20" s="139"/>
      <c r="L20" s="139"/>
      <c r="M20" s="139"/>
      <c r="N20" s="139"/>
      <c r="O20" s="139"/>
      <c r="P20" s="139"/>
      <c r="Q20" s="139"/>
      <c r="R20" s="139"/>
      <c r="S20" s="379"/>
      <c r="T20" s="379"/>
      <c r="U20" s="167"/>
      <c r="V20" s="167"/>
      <c r="W20" s="167"/>
      <c r="X20" s="167"/>
      <c r="Y20" s="379"/>
      <c r="Z20" s="379"/>
      <c r="AA20" s="37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</row>
    <row r="21" spans="1:40" x14ac:dyDescent="0.35">
      <c r="J21" s="139"/>
      <c r="K21" s="139"/>
      <c r="L21" s="139"/>
      <c r="M21" s="139"/>
      <c r="N21" s="139"/>
      <c r="O21" s="139"/>
      <c r="P21" s="139"/>
      <c r="Q21" s="139"/>
      <c r="R21" s="139"/>
      <c r="S21" s="379"/>
      <c r="T21" s="379"/>
      <c r="U21" s="167"/>
      <c r="V21" s="167"/>
      <c r="W21" s="167"/>
      <c r="X21" s="167"/>
      <c r="Y21" s="379"/>
      <c r="Z21" s="379"/>
      <c r="AA21" s="37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</row>
    <row r="22" spans="1:40" x14ac:dyDescent="0.35"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</row>
    <row r="23" spans="1:40" x14ac:dyDescent="0.35"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</row>
    <row r="24" spans="1:40" x14ac:dyDescent="0.35"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</row>
    <row r="25" spans="1:40" x14ac:dyDescent="0.35"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</row>
    <row r="26" spans="1:40" x14ac:dyDescent="0.35"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</row>
    <row r="27" spans="1:40" x14ac:dyDescent="0.35"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</row>
    <row r="28" spans="1:40" x14ac:dyDescent="0.35"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</row>
  </sheetData>
  <mergeCells count="49">
    <mergeCell ref="M12:N12"/>
    <mergeCell ref="M13:N13"/>
    <mergeCell ref="O12:P12"/>
    <mergeCell ref="W16:X16"/>
    <mergeCell ref="AE12:AL12"/>
    <mergeCell ref="AE13:AL13"/>
    <mergeCell ref="Y14:AA14"/>
    <mergeCell ref="AB14:AC14"/>
    <mergeCell ref="Y16:AA16"/>
    <mergeCell ref="S14:T14"/>
    <mergeCell ref="S13:T13"/>
    <mergeCell ref="S12:T12"/>
    <mergeCell ref="Q13:R13"/>
    <mergeCell ref="O13:P13"/>
    <mergeCell ref="W15:X15"/>
    <mergeCell ref="U12:V12"/>
    <mergeCell ref="G12:H12"/>
    <mergeCell ref="G13:H13"/>
    <mergeCell ref="I12:J12"/>
    <mergeCell ref="I13:J13"/>
    <mergeCell ref="K12:L12"/>
    <mergeCell ref="K13:L13"/>
    <mergeCell ref="A3:A4"/>
    <mergeCell ref="E12:F12"/>
    <mergeCell ref="E13:F13"/>
    <mergeCell ref="C12:D12"/>
    <mergeCell ref="C13:D13"/>
    <mergeCell ref="W14:X14"/>
    <mergeCell ref="U13:V13"/>
    <mergeCell ref="Y15:AA15"/>
    <mergeCell ref="Q12:R12"/>
    <mergeCell ref="Y11:Z11"/>
    <mergeCell ref="Y12:AD12"/>
    <mergeCell ref="Y13:AD13"/>
    <mergeCell ref="W12:X12"/>
    <mergeCell ref="W13:X13"/>
    <mergeCell ref="S21:T21"/>
    <mergeCell ref="Y21:AA21"/>
    <mergeCell ref="S20:T20"/>
    <mergeCell ref="Y20:AA20"/>
    <mergeCell ref="Y17:AA17"/>
    <mergeCell ref="S18:T18"/>
    <mergeCell ref="W17:X17"/>
    <mergeCell ref="W18:X18"/>
    <mergeCell ref="W19:X19"/>
    <mergeCell ref="S19:T19"/>
    <mergeCell ref="Y19:AA19"/>
    <mergeCell ref="S17:T17"/>
    <mergeCell ref="Y18:AA18"/>
  </mergeCells>
  <phoneticPr fontId="3" type="noConversion"/>
  <pageMargins left="0.75000000000000011" right="0.75000000000000011" top="1" bottom="1" header="0.5" footer="0.5"/>
  <pageSetup paperSize="9" scale="43" orientation="landscape" horizontalDpi="4294967292" verticalDpi="4294967292" r:id="rId1"/>
  <headerFooter alignWithMargins="0"/>
  <ignoredErrors>
    <ignoredError sqref="AD11:AE11 AA11:AC11" emptyCellReference="1"/>
    <ignoredError sqref="I11:K11 L11:N11 H10 P11 F11:G11 D11 R11 T11:U11" formula="1"/>
    <ignoredError sqref="S11 O11 Q11 W11" formula="1" formulaRange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zoomScale="88" workbookViewId="0">
      <selection activeCell="C8" sqref="C8:C10"/>
    </sheetView>
  </sheetViews>
  <sheetFormatPr baseColWidth="10" defaultColWidth="11.296875" defaultRowHeight="14.65" x14ac:dyDescent="0.35"/>
  <cols>
    <col min="1" max="1" width="16.796875" bestFit="1" customWidth="1"/>
    <col min="2" max="5" width="12.296875" bestFit="1" customWidth="1"/>
    <col min="6" max="6" width="50.1484375" bestFit="1" customWidth="1"/>
    <col min="7" max="7" width="9.75" bestFit="1" customWidth="1"/>
    <col min="8" max="8" width="10.69921875" bestFit="1" customWidth="1"/>
    <col min="9" max="9" width="9.75" bestFit="1" customWidth="1"/>
    <col min="10" max="10" width="10.69921875" bestFit="1" customWidth="1"/>
    <col min="11" max="11" width="8.25" bestFit="1" customWidth="1"/>
  </cols>
  <sheetData>
    <row r="1" spans="1:11" ht="71.25" customHeight="1" x14ac:dyDescent="0.35">
      <c r="A1" s="36" t="s">
        <v>91</v>
      </c>
      <c r="B1" s="36" t="s">
        <v>92</v>
      </c>
      <c r="C1" s="36" t="s">
        <v>93</v>
      </c>
      <c r="D1" s="36" t="s">
        <v>94</v>
      </c>
      <c r="E1" s="5" t="s">
        <v>95</v>
      </c>
      <c r="F1" s="40" t="s">
        <v>96</v>
      </c>
      <c r="G1" s="37">
        <v>2010</v>
      </c>
      <c r="H1" s="37">
        <v>2011</v>
      </c>
      <c r="I1" s="37">
        <v>2010</v>
      </c>
      <c r="J1" s="37">
        <v>2011</v>
      </c>
      <c r="K1" s="6" t="s">
        <v>57</v>
      </c>
    </row>
    <row r="2" spans="1:11" ht="23.85" customHeight="1" x14ac:dyDescent="0.35">
      <c r="A2" s="57">
        <v>147394.25</v>
      </c>
      <c r="B2" s="57">
        <v>147394.25</v>
      </c>
      <c r="C2" s="57">
        <f>'Año 2009'!B4</f>
        <v>142595.66</v>
      </c>
      <c r="D2" s="57">
        <v>138228.93</v>
      </c>
      <c r="E2" s="57">
        <v>134662.85999999999</v>
      </c>
      <c r="F2" s="58" t="s">
        <v>97</v>
      </c>
      <c r="G2" s="15"/>
      <c r="H2" s="15"/>
      <c r="I2" s="15"/>
      <c r="J2" s="15"/>
      <c r="K2" s="15"/>
    </row>
    <row r="3" spans="1:11" ht="23.85" customHeight="1" x14ac:dyDescent="0.35">
      <c r="A3" s="57"/>
      <c r="B3" s="57"/>
      <c r="C3" s="57"/>
      <c r="D3" s="57"/>
      <c r="E3" s="57"/>
      <c r="F3" s="59" t="s">
        <v>98</v>
      </c>
      <c r="G3" s="16"/>
      <c r="H3" s="17"/>
      <c r="I3" s="17"/>
      <c r="J3" s="15"/>
      <c r="K3" s="15"/>
    </row>
    <row r="4" spans="1:11" ht="23.85" customHeight="1" x14ac:dyDescent="0.35">
      <c r="A4" s="60"/>
      <c r="B4" s="60"/>
      <c r="C4" s="60"/>
      <c r="D4" s="60"/>
      <c r="E4" s="60"/>
      <c r="F4" s="61" t="s">
        <v>99</v>
      </c>
      <c r="G4" s="19"/>
      <c r="H4" s="19"/>
      <c r="I4" s="19"/>
      <c r="J4" s="19"/>
      <c r="K4" s="19"/>
    </row>
    <row r="5" spans="1:11" ht="23.85" customHeight="1" x14ac:dyDescent="0.35">
      <c r="A5" s="13">
        <v>98634.880000000005</v>
      </c>
      <c r="B5" s="13">
        <v>98634.880000000005</v>
      </c>
      <c r="C5" s="13">
        <f>'Año 2009'!B11</f>
        <v>87451.21</v>
      </c>
      <c r="D5" s="13">
        <v>54318.76</v>
      </c>
      <c r="E5" s="13">
        <v>34286.1</v>
      </c>
      <c r="F5" s="14" t="s">
        <v>100</v>
      </c>
      <c r="G5" s="54">
        <v>30000</v>
      </c>
      <c r="H5" s="54">
        <v>20000</v>
      </c>
      <c r="I5" s="54">
        <v>30000</v>
      </c>
      <c r="J5" s="54">
        <v>20000</v>
      </c>
      <c r="K5" s="15"/>
    </row>
    <row r="6" spans="1:11" ht="23.85" customHeight="1" x14ac:dyDescent="0.35">
      <c r="A6" s="13"/>
      <c r="B6" s="13"/>
      <c r="C6" s="13"/>
      <c r="D6" s="13"/>
      <c r="E6" s="13"/>
      <c r="F6" s="15" t="s">
        <v>101</v>
      </c>
      <c r="G6" s="20"/>
      <c r="H6" s="15"/>
      <c r="I6" s="15"/>
      <c r="J6" s="15"/>
      <c r="K6" s="15"/>
    </row>
    <row r="7" spans="1:11" ht="23.85" customHeight="1" x14ac:dyDescent="0.35">
      <c r="A7" s="18"/>
      <c r="B7" s="18"/>
      <c r="C7" s="18"/>
      <c r="D7" s="18"/>
      <c r="E7" s="18"/>
      <c r="F7" s="19" t="s">
        <v>102</v>
      </c>
      <c r="G7" s="19"/>
      <c r="H7" s="19"/>
      <c r="I7" s="19"/>
      <c r="J7" s="19"/>
      <c r="K7" s="19"/>
    </row>
    <row r="8" spans="1:11" ht="23.85" customHeight="1" x14ac:dyDescent="0.35">
      <c r="A8" s="57">
        <v>478300</v>
      </c>
      <c r="B8" s="57">
        <v>478300</v>
      </c>
      <c r="C8" s="57">
        <f>'Año 2009'!B19</f>
        <v>186474.01</v>
      </c>
      <c r="D8" s="57">
        <v>176741.71</v>
      </c>
      <c r="E8" s="57">
        <v>173796.86</v>
      </c>
      <c r="F8" s="58" t="s">
        <v>103</v>
      </c>
      <c r="G8" s="15"/>
      <c r="H8" s="15"/>
      <c r="I8" s="15"/>
      <c r="J8" s="15"/>
      <c r="K8" s="15"/>
    </row>
    <row r="9" spans="1:11" ht="23.85" customHeight="1" x14ac:dyDescent="0.35">
      <c r="A9" s="60"/>
      <c r="B9" s="60"/>
      <c r="C9" s="60"/>
      <c r="D9" s="60"/>
      <c r="E9" s="60"/>
      <c r="F9" s="61" t="s">
        <v>104</v>
      </c>
      <c r="G9" s="21"/>
      <c r="H9" s="22"/>
      <c r="I9" s="19"/>
      <c r="J9" s="19"/>
      <c r="K9" s="19"/>
    </row>
    <row r="10" spans="1:11" ht="23.85" customHeight="1" x14ac:dyDescent="0.35">
      <c r="A10" s="13">
        <v>0</v>
      </c>
      <c r="B10" s="13">
        <v>0</v>
      </c>
      <c r="C10" s="13">
        <f>'Año 2009'!B24</f>
        <v>188287.32</v>
      </c>
      <c r="D10" s="13">
        <v>175972.84</v>
      </c>
      <c r="E10" s="13">
        <v>136853.38</v>
      </c>
      <c r="F10" s="23" t="s">
        <v>105</v>
      </c>
      <c r="G10" s="50">
        <v>0</v>
      </c>
      <c r="H10" s="56">
        <v>40000</v>
      </c>
      <c r="I10" s="50">
        <v>0</v>
      </c>
      <c r="J10" s="56">
        <v>32000</v>
      </c>
      <c r="K10" s="50"/>
    </row>
    <row r="11" spans="1:11" ht="23.85" customHeight="1" x14ac:dyDescent="0.35">
      <c r="A11" s="13"/>
      <c r="B11" s="13"/>
      <c r="C11" s="13"/>
      <c r="D11" s="13"/>
      <c r="E11" s="13"/>
      <c r="F11" s="15" t="s">
        <v>106</v>
      </c>
      <c r="G11" s="21"/>
      <c r="H11" s="19"/>
      <c r="I11" s="19"/>
      <c r="J11" s="19"/>
      <c r="K11" s="19"/>
    </row>
    <row r="12" spans="1:11" ht="23.85" customHeight="1" x14ac:dyDescent="0.35">
      <c r="A12" s="62">
        <v>15025.3</v>
      </c>
      <c r="B12" s="62">
        <v>15025.3</v>
      </c>
      <c r="C12" s="62">
        <f>'Año 2009'!B35</f>
        <v>12000</v>
      </c>
      <c r="D12" s="62">
        <v>9000</v>
      </c>
      <c r="E12" s="62">
        <v>0</v>
      </c>
      <c r="F12" s="63" t="s">
        <v>71</v>
      </c>
      <c r="G12" s="53"/>
      <c r="H12" s="52"/>
      <c r="I12" s="52"/>
      <c r="J12" s="52"/>
      <c r="K12" s="52"/>
    </row>
    <row r="13" spans="1:11" ht="23.85" customHeight="1" x14ac:dyDescent="0.35">
      <c r="A13" s="7">
        <v>123708.33</v>
      </c>
      <c r="B13" s="7">
        <v>123708.33</v>
      </c>
      <c r="C13" s="7">
        <f>'Año 2009'!B30</f>
        <v>111540.38</v>
      </c>
      <c r="D13" s="7">
        <v>59538.21</v>
      </c>
      <c r="E13" s="7">
        <v>0</v>
      </c>
      <c r="F13" s="8" t="s">
        <v>107</v>
      </c>
      <c r="G13" s="55">
        <v>50000</v>
      </c>
      <c r="H13" s="55">
        <v>59000</v>
      </c>
      <c r="I13" s="55">
        <v>28000</v>
      </c>
      <c r="J13" s="65">
        <v>14684.63</v>
      </c>
      <c r="K13" s="9"/>
    </row>
    <row r="14" spans="1:11" ht="23.85" customHeight="1" x14ac:dyDescent="0.35">
      <c r="A14" s="57">
        <v>21049.95</v>
      </c>
      <c r="B14" s="57">
        <v>21049.95</v>
      </c>
      <c r="C14" s="57">
        <f>'Año 2009'!B37</f>
        <v>0</v>
      </c>
      <c r="D14" s="57">
        <v>0</v>
      </c>
      <c r="E14" s="57">
        <v>0</v>
      </c>
      <c r="F14" s="58" t="s">
        <v>108</v>
      </c>
      <c r="G14" s="10"/>
      <c r="H14" s="10"/>
      <c r="I14" s="64">
        <v>15000</v>
      </c>
      <c r="J14" s="66">
        <v>44669.87</v>
      </c>
      <c r="K14" s="10"/>
    </row>
    <row r="15" spans="1:11" ht="23.85" customHeight="1" x14ac:dyDescent="0.35">
      <c r="A15" s="35">
        <v>1498112.71</v>
      </c>
      <c r="B15" s="35">
        <f>B2+B5+B8+B13+B10+B12+B14</f>
        <v>884112.71</v>
      </c>
      <c r="C15" s="35">
        <f>C2+C5+C8+C13+C10+C12+C14</f>
        <v>728348.58000000007</v>
      </c>
      <c r="D15" s="35">
        <f>D2+D5+D8+D13+D10+D12+D14</f>
        <v>613800.45000000007</v>
      </c>
      <c r="E15" s="11">
        <f>E2+E5+E8+E13+E10+E12+E14</f>
        <v>479599.19999999995</v>
      </c>
      <c r="F15" s="38" t="s">
        <v>109</v>
      </c>
      <c r="G15" s="39">
        <f>SUM(G2:G14)</f>
        <v>80000</v>
      </c>
      <c r="H15" s="39">
        <f>SUM(H2:H14)</f>
        <v>119000</v>
      </c>
      <c r="I15" s="39">
        <f>SUM(I2:I14)</f>
        <v>73000</v>
      </c>
      <c r="J15" s="39">
        <f>SUM(J2:J14)</f>
        <v>111354.5</v>
      </c>
      <c r="K15" s="12">
        <f>SUM(K2:K14)</f>
        <v>0</v>
      </c>
    </row>
    <row r="16" spans="1:11" ht="52.7" customHeight="1" x14ac:dyDescent="0.35">
      <c r="A16" s="68" t="s">
        <v>110</v>
      </c>
      <c r="B16" s="68" t="s">
        <v>111</v>
      </c>
      <c r="C16" s="68" t="s">
        <v>76</v>
      </c>
      <c r="D16" s="68" t="s">
        <v>77</v>
      </c>
      <c r="E16" s="68" t="s">
        <v>78</v>
      </c>
      <c r="F16" s="401" t="s">
        <v>112</v>
      </c>
      <c r="G16" s="402"/>
      <c r="H16" s="402"/>
      <c r="I16" s="402"/>
      <c r="J16" s="402"/>
      <c r="K16" s="402"/>
    </row>
    <row r="17" spans="1:11" ht="52.7" customHeight="1" x14ac:dyDescent="0.35">
      <c r="A17" s="67">
        <v>0</v>
      </c>
      <c r="B17" s="67">
        <v>614000</v>
      </c>
      <c r="C17" s="67">
        <f>B15-C15</f>
        <v>155764.12999999989</v>
      </c>
      <c r="D17" s="67">
        <f>C15-D15</f>
        <v>114548.13</v>
      </c>
      <c r="E17" s="67">
        <f>D15-E15</f>
        <v>134201.25000000012</v>
      </c>
      <c r="F17" s="403">
        <f>E15</f>
        <v>479599.19999999995</v>
      </c>
      <c r="G17" s="404"/>
      <c r="H17" s="404"/>
      <c r="I17" s="404"/>
      <c r="J17" s="404"/>
      <c r="K17" s="404"/>
    </row>
    <row r="20" spans="1:11" x14ac:dyDescent="0.35">
      <c r="F20" s="3"/>
    </row>
  </sheetData>
  <mergeCells count="2">
    <mergeCell ref="F16:K16"/>
    <mergeCell ref="F17:K17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8"/>
  <sheetViews>
    <sheetView topLeftCell="C6" workbookViewId="0">
      <selection activeCell="G6" sqref="G6"/>
    </sheetView>
  </sheetViews>
  <sheetFormatPr baseColWidth="10" defaultColWidth="11.296875" defaultRowHeight="14.65" x14ac:dyDescent="0.35"/>
  <cols>
    <col min="1" max="1" width="2.25" customWidth="1"/>
    <col min="2" max="2" width="10.796875" bestFit="1" customWidth="1"/>
    <col min="3" max="3" width="90.25" bestFit="1" customWidth="1"/>
    <col min="4" max="4" width="2.046875" customWidth="1"/>
    <col min="6" max="6" width="23.69921875" customWidth="1"/>
    <col min="7" max="7" width="18.5" bestFit="1" customWidth="1"/>
  </cols>
  <sheetData>
    <row r="2" spans="2:7" x14ac:dyDescent="0.35">
      <c r="C2" s="169" t="s">
        <v>113</v>
      </c>
      <c r="D2" s="80"/>
      <c r="E2" s="405" t="s">
        <v>114</v>
      </c>
      <c r="F2" s="405"/>
      <c r="G2" s="405"/>
    </row>
    <row r="3" spans="2:7" x14ac:dyDescent="0.35">
      <c r="E3" s="83" t="s">
        <v>115</v>
      </c>
      <c r="F3" s="83" t="s">
        <v>116</v>
      </c>
      <c r="G3" s="83" t="s">
        <v>117</v>
      </c>
    </row>
    <row r="4" spans="2:7" x14ac:dyDescent="0.35">
      <c r="B4" s="1">
        <v>142595.66</v>
      </c>
      <c r="C4" s="86" t="s">
        <v>97</v>
      </c>
      <c r="D4" s="2"/>
      <c r="E4" s="81">
        <v>500000</v>
      </c>
      <c r="F4" s="80" t="s">
        <v>118</v>
      </c>
      <c r="G4" s="81">
        <v>400000</v>
      </c>
    </row>
    <row r="5" spans="2:7" x14ac:dyDescent="0.35">
      <c r="C5" s="84" t="s">
        <v>119</v>
      </c>
      <c r="E5" s="81">
        <v>500000</v>
      </c>
      <c r="F5" s="80" t="s">
        <v>120</v>
      </c>
      <c r="G5" s="81">
        <v>500000</v>
      </c>
    </row>
    <row r="6" spans="2:7" x14ac:dyDescent="0.35">
      <c r="C6" t="s">
        <v>121</v>
      </c>
      <c r="E6" s="81">
        <v>240000</v>
      </c>
      <c r="F6" s="80" t="s">
        <v>122</v>
      </c>
      <c r="G6" s="81">
        <v>240000</v>
      </c>
    </row>
    <row r="7" spans="2:7" x14ac:dyDescent="0.35">
      <c r="C7" t="s">
        <v>123</v>
      </c>
      <c r="E7" s="81">
        <v>50000</v>
      </c>
      <c r="F7" s="80" t="s">
        <v>124</v>
      </c>
      <c r="G7" s="81">
        <v>71000</v>
      </c>
    </row>
    <row r="8" spans="2:7" x14ac:dyDescent="0.35">
      <c r="C8" t="s">
        <v>125</v>
      </c>
      <c r="E8" s="81">
        <v>20000</v>
      </c>
      <c r="F8" s="80" t="s">
        <v>126</v>
      </c>
      <c r="G8" s="81">
        <v>0</v>
      </c>
    </row>
    <row r="9" spans="2:7" x14ac:dyDescent="0.35">
      <c r="C9" t="s">
        <v>127</v>
      </c>
      <c r="E9" s="81">
        <v>30000</v>
      </c>
      <c r="F9" s="80" t="s">
        <v>128</v>
      </c>
      <c r="G9" s="81">
        <v>20000</v>
      </c>
    </row>
    <row r="10" spans="2:7" x14ac:dyDescent="0.35">
      <c r="E10" s="81">
        <v>300000</v>
      </c>
      <c r="F10" s="80" t="s">
        <v>129</v>
      </c>
      <c r="G10" s="81">
        <v>500000</v>
      </c>
    </row>
    <row r="11" spans="2:7" x14ac:dyDescent="0.35">
      <c r="B11" s="1">
        <v>87451.21</v>
      </c>
      <c r="C11" s="86" t="s">
        <v>100</v>
      </c>
      <c r="D11" s="2"/>
      <c r="E11" s="82">
        <f>SUM(E4:E10)</f>
        <v>1640000</v>
      </c>
      <c r="F11" s="83" t="s">
        <v>130</v>
      </c>
      <c r="G11" s="82">
        <f>SUM(G4:G10)</f>
        <v>1731000</v>
      </c>
    </row>
    <row r="12" spans="2:7" x14ac:dyDescent="0.35">
      <c r="C12" s="84" t="s">
        <v>131</v>
      </c>
    </row>
    <row r="13" spans="2:7" x14ac:dyDescent="0.35">
      <c r="C13" t="s">
        <v>132</v>
      </c>
    </row>
    <row r="14" spans="2:7" x14ac:dyDescent="0.35">
      <c r="C14" t="s">
        <v>133</v>
      </c>
    </row>
    <row r="15" spans="2:7" x14ac:dyDescent="0.35">
      <c r="C15" t="s">
        <v>102</v>
      </c>
    </row>
    <row r="17" spans="2:4" x14ac:dyDescent="0.35">
      <c r="C17" s="87" t="s">
        <v>103</v>
      </c>
      <c r="D17" s="2"/>
    </row>
    <row r="18" spans="2:4" x14ac:dyDescent="0.35">
      <c r="C18" t="s">
        <v>134</v>
      </c>
    </row>
    <row r="19" spans="2:4" x14ac:dyDescent="0.35">
      <c r="B19" s="1">
        <v>186474.01</v>
      </c>
      <c r="C19" t="s">
        <v>135</v>
      </c>
    </row>
    <row r="20" spans="2:4" x14ac:dyDescent="0.35">
      <c r="C20" t="s">
        <v>136</v>
      </c>
    </row>
    <row r="21" spans="2:4" x14ac:dyDescent="0.35">
      <c r="C21" t="s">
        <v>137</v>
      </c>
    </row>
    <row r="22" spans="2:4" x14ac:dyDescent="0.35">
      <c r="C22" s="87" t="s">
        <v>105</v>
      </c>
    </row>
    <row r="23" spans="2:4" x14ac:dyDescent="0.35">
      <c r="C23" t="s">
        <v>134</v>
      </c>
    </row>
    <row r="24" spans="2:4" x14ac:dyDescent="0.35">
      <c r="B24" s="1">
        <v>188287.32</v>
      </c>
      <c r="C24" t="s">
        <v>135</v>
      </c>
    </row>
    <row r="25" spans="2:4" x14ac:dyDescent="0.35">
      <c r="C25" t="s">
        <v>138</v>
      </c>
    </row>
    <row r="26" spans="2:4" x14ac:dyDescent="0.35">
      <c r="C26" t="s">
        <v>106</v>
      </c>
    </row>
    <row r="27" spans="2:4" x14ac:dyDescent="0.35">
      <c r="C27" s="88" t="s">
        <v>107</v>
      </c>
      <c r="D27" s="2"/>
    </row>
    <row r="28" spans="2:4" x14ac:dyDescent="0.35">
      <c r="C28" s="84" t="s">
        <v>139</v>
      </c>
      <c r="D28" s="2"/>
    </row>
    <row r="29" spans="2:4" x14ac:dyDescent="0.35">
      <c r="C29" t="s">
        <v>140</v>
      </c>
    </row>
    <row r="30" spans="2:4" x14ac:dyDescent="0.35">
      <c r="B30" s="1">
        <v>111540.38</v>
      </c>
      <c r="C30" t="s">
        <v>141</v>
      </c>
    </row>
    <row r="31" spans="2:4" x14ac:dyDescent="0.35">
      <c r="C31" t="s">
        <v>142</v>
      </c>
    </row>
    <row r="32" spans="2:4" x14ac:dyDescent="0.35">
      <c r="C32" t="s">
        <v>143</v>
      </c>
    </row>
    <row r="33" spans="2:4" x14ac:dyDescent="0.35">
      <c r="C33" t="s">
        <v>144</v>
      </c>
    </row>
    <row r="34" spans="2:4" x14ac:dyDescent="0.35">
      <c r="C34" s="85" t="s">
        <v>71</v>
      </c>
      <c r="D34" s="2"/>
    </row>
    <row r="35" spans="2:4" x14ac:dyDescent="0.35">
      <c r="B35" s="3">
        <v>12000</v>
      </c>
      <c r="C35" t="s">
        <v>145</v>
      </c>
    </row>
    <row r="38" spans="2:4" x14ac:dyDescent="0.35">
      <c r="B38" s="4">
        <f>SUM(B4+B11+B19+B30+B24+B35)</f>
        <v>728348.58000000007</v>
      </c>
      <c r="C38" s="2" t="s">
        <v>109</v>
      </c>
      <c r="D38" s="2"/>
    </row>
  </sheetData>
  <mergeCells count="1">
    <mergeCell ref="E2:G2"/>
  </mergeCells>
  <phoneticPr fontId="3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5"/>
  <sheetViews>
    <sheetView topLeftCell="A8" zoomScale="82" workbookViewId="0">
      <selection activeCell="L18" sqref="L18"/>
    </sheetView>
  </sheetViews>
  <sheetFormatPr baseColWidth="10" defaultColWidth="11.296875" defaultRowHeight="24.2" customHeight="1" x14ac:dyDescent="0.35"/>
  <cols>
    <col min="1" max="1" width="4.046875" customWidth="1"/>
    <col min="2" max="2" width="12.5" customWidth="1"/>
    <col min="4" max="4" width="10.69921875" customWidth="1"/>
    <col min="5" max="5" width="8.25" style="80" bestFit="1" customWidth="1"/>
    <col min="7" max="7" width="13.25" customWidth="1"/>
    <col min="9" max="9" width="10.09765625" customWidth="1"/>
    <col min="10" max="10" width="8.25" style="80" bestFit="1" customWidth="1"/>
    <col min="13" max="13" width="12" customWidth="1"/>
  </cols>
  <sheetData>
    <row r="1" spans="2:13" ht="24.2" customHeight="1" x14ac:dyDescent="0.35">
      <c r="B1" s="407" t="s">
        <v>11</v>
      </c>
      <c r="C1" s="407"/>
      <c r="D1" s="407"/>
      <c r="E1" s="407"/>
      <c r="G1" s="408" t="s">
        <v>12</v>
      </c>
      <c r="H1" s="408"/>
      <c r="I1" s="408"/>
      <c r="J1" s="408"/>
    </row>
    <row r="2" spans="2:13" ht="24.2" customHeight="1" x14ac:dyDescent="0.35">
      <c r="B2" s="407" t="s">
        <v>13</v>
      </c>
      <c r="C2" s="407"/>
      <c r="D2" s="407"/>
      <c r="E2" s="407"/>
      <c r="G2" s="408" t="s">
        <v>13</v>
      </c>
      <c r="H2" s="408"/>
      <c r="I2" s="408"/>
      <c r="J2" s="408"/>
    </row>
    <row r="3" spans="2:13" ht="24.2" customHeight="1" x14ac:dyDescent="0.35">
      <c r="B3" s="410" t="s">
        <v>204</v>
      </c>
      <c r="C3" s="410"/>
      <c r="D3" s="410"/>
      <c r="E3" s="410"/>
      <c r="G3" s="411" t="s">
        <v>204</v>
      </c>
      <c r="H3" s="411"/>
      <c r="I3" s="411"/>
      <c r="J3" s="411"/>
    </row>
    <row r="4" spans="2:13" ht="24.2" customHeight="1" x14ac:dyDescent="0.35">
      <c r="B4" s="163" t="s">
        <v>14</v>
      </c>
      <c r="C4" s="163" t="s">
        <v>15</v>
      </c>
      <c r="D4" s="163" t="s">
        <v>16</v>
      </c>
      <c r="E4" s="163" t="s">
        <v>17</v>
      </c>
      <c r="G4" s="164" t="s">
        <v>14</v>
      </c>
      <c r="H4" s="164" t="s">
        <v>15</v>
      </c>
      <c r="I4" s="164" t="s">
        <v>16</v>
      </c>
      <c r="J4" s="164" t="s">
        <v>17</v>
      </c>
    </row>
    <row r="5" spans="2:13" ht="24.2" customHeight="1" x14ac:dyDescent="0.35">
      <c r="B5" s="170">
        <v>39170</v>
      </c>
      <c r="C5" s="409" t="s">
        <v>18</v>
      </c>
      <c r="D5" s="409"/>
      <c r="E5" s="409"/>
      <c r="G5" s="170">
        <v>49457.36</v>
      </c>
      <c r="H5" s="409" t="s">
        <v>18</v>
      </c>
      <c r="I5" s="409"/>
      <c r="J5" s="409"/>
    </row>
    <row r="6" spans="2:13" s="142" customFormat="1" ht="24.2" customHeight="1" x14ac:dyDescent="0.35">
      <c r="B6" s="151">
        <f>B5-C6</f>
        <v>35670</v>
      </c>
      <c r="C6" s="151">
        <v>3500</v>
      </c>
      <c r="D6" s="142" t="s">
        <v>19</v>
      </c>
      <c r="E6" s="153" t="s">
        <v>20</v>
      </c>
      <c r="G6" s="151">
        <f>G5-H6</f>
        <v>46957.36</v>
      </c>
      <c r="H6" s="151">
        <v>2500</v>
      </c>
      <c r="I6" s="142" t="s">
        <v>19</v>
      </c>
      <c r="J6" s="153" t="s">
        <v>20</v>
      </c>
    </row>
    <row r="7" spans="2:13" s="142" customFormat="1" ht="24.2" customHeight="1" x14ac:dyDescent="0.35">
      <c r="B7" s="152">
        <f t="shared" ref="B7:B16" si="0">B6-C6</f>
        <v>32170</v>
      </c>
      <c r="C7" s="151">
        <v>3500</v>
      </c>
      <c r="D7" s="142" t="s">
        <v>21</v>
      </c>
      <c r="E7" s="153" t="s">
        <v>20</v>
      </c>
      <c r="G7" s="152">
        <f t="shared" ref="G7:G23" si="1">G6-H6</f>
        <v>44457.36</v>
      </c>
      <c r="H7" s="151">
        <v>2500</v>
      </c>
      <c r="I7" s="142" t="s">
        <v>21</v>
      </c>
      <c r="J7" s="153" t="s">
        <v>20</v>
      </c>
    </row>
    <row r="8" spans="2:13" s="142" customFormat="1" ht="24.2" customHeight="1" x14ac:dyDescent="0.35">
      <c r="B8" s="152">
        <f t="shared" si="0"/>
        <v>28670</v>
      </c>
      <c r="C8" s="151">
        <v>3500</v>
      </c>
      <c r="D8" s="142" t="s">
        <v>22</v>
      </c>
      <c r="E8" s="153" t="s">
        <v>20</v>
      </c>
      <c r="G8" s="152">
        <f t="shared" si="1"/>
        <v>41957.36</v>
      </c>
      <c r="H8" s="151">
        <v>2500</v>
      </c>
      <c r="I8" s="142" t="s">
        <v>22</v>
      </c>
      <c r="J8" s="153" t="s">
        <v>20</v>
      </c>
    </row>
    <row r="9" spans="2:13" s="142" customFormat="1" ht="24.2" customHeight="1" x14ac:dyDescent="0.35">
      <c r="B9" s="152">
        <f t="shared" si="0"/>
        <v>25170</v>
      </c>
      <c r="C9" s="151">
        <v>3500</v>
      </c>
      <c r="D9" s="142" t="s">
        <v>23</v>
      </c>
      <c r="E9" s="153" t="s">
        <v>20</v>
      </c>
      <c r="G9" s="152">
        <f t="shared" si="1"/>
        <v>39457.360000000001</v>
      </c>
      <c r="H9" s="151">
        <v>2500</v>
      </c>
      <c r="I9" s="142" t="s">
        <v>23</v>
      </c>
      <c r="J9" s="153" t="s">
        <v>20</v>
      </c>
    </row>
    <row r="10" spans="2:13" s="142" customFormat="1" ht="24.2" customHeight="1" x14ac:dyDescent="0.35">
      <c r="B10" s="152">
        <f t="shared" si="0"/>
        <v>21670</v>
      </c>
      <c r="C10" s="151">
        <v>3500</v>
      </c>
      <c r="D10" s="142" t="s">
        <v>24</v>
      </c>
      <c r="E10" s="153" t="s">
        <v>20</v>
      </c>
      <c r="G10" s="152">
        <f t="shared" si="1"/>
        <v>36957.360000000001</v>
      </c>
      <c r="H10" s="151">
        <v>2500</v>
      </c>
      <c r="I10" s="142" t="s">
        <v>24</v>
      </c>
      <c r="J10" s="153" t="s">
        <v>20</v>
      </c>
    </row>
    <row r="11" spans="2:13" s="142" customFormat="1" ht="24.2" customHeight="1" x14ac:dyDescent="0.35">
      <c r="B11" s="152">
        <f t="shared" si="0"/>
        <v>18170</v>
      </c>
      <c r="C11" s="151">
        <v>3500</v>
      </c>
      <c r="D11" s="142" t="s">
        <v>25</v>
      </c>
      <c r="E11" s="153" t="s">
        <v>20</v>
      </c>
      <c r="G11" s="152">
        <f t="shared" si="1"/>
        <v>34457.360000000001</v>
      </c>
      <c r="H11" s="151">
        <v>2500</v>
      </c>
      <c r="I11" s="142" t="s">
        <v>25</v>
      </c>
      <c r="J11" s="153" t="s">
        <v>20</v>
      </c>
      <c r="L11" s="161"/>
      <c r="M11" s="154"/>
    </row>
    <row r="12" spans="2:13" s="142" customFormat="1" ht="24.2" customHeight="1" x14ac:dyDescent="0.35">
      <c r="B12" s="152">
        <f t="shared" si="0"/>
        <v>14670</v>
      </c>
      <c r="C12" s="151">
        <v>3500</v>
      </c>
      <c r="D12" s="142" t="s">
        <v>26</v>
      </c>
      <c r="E12" s="153" t="s">
        <v>20</v>
      </c>
      <c r="G12" s="152">
        <f t="shared" si="1"/>
        <v>31957.360000000001</v>
      </c>
      <c r="H12" s="151">
        <v>2500</v>
      </c>
      <c r="I12" s="142" t="s">
        <v>26</v>
      </c>
      <c r="J12" s="153" t="s">
        <v>20</v>
      </c>
    </row>
    <row r="13" spans="2:13" s="142" customFormat="1" ht="24.2" customHeight="1" x14ac:dyDescent="0.35">
      <c r="B13" s="152">
        <f t="shared" si="0"/>
        <v>11170</v>
      </c>
      <c r="C13" s="151">
        <v>3500</v>
      </c>
      <c r="D13" s="142" t="s">
        <v>27</v>
      </c>
      <c r="E13" s="153" t="s">
        <v>20</v>
      </c>
      <c r="G13" s="152">
        <f t="shared" si="1"/>
        <v>29457.360000000001</v>
      </c>
      <c r="H13" s="151">
        <v>2500</v>
      </c>
      <c r="I13" s="142" t="s">
        <v>27</v>
      </c>
      <c r="J13" s="153" t="s">
        <v>20</v>
      </c>
    </row>
    <row r="14" spans="2:13" s="142" customFormat="1" ht="24.2" customHeight="1" x14ac:dyDescent="0.35">
      <c r="B14" s="152">
        <f t="shared" si="0"/>
        <v>7670</v>
      </c>
      <c r="C14" s="151">
        <v>3500</v>
      </c>
      <c r="D14" s="142" t="s">
        <v>28</v>
      </c>
      <c r="E14" s="153" t="s">
        <v>20</v>
      </c>
      <c r="G14" s="152">
        <f t="shared" si="1"/>
        <v>26957.360000000001</v>
      </c>
      <c r="H14" s="151">
        <v>2500</v>
      </c>
      <c r="I14" s="142" t="s">
        <v>28</v>
      </c>
      <c r="J14" s="153" t="s">
        <v>20</v>
      </c>
    </row>
    <row r="15" spans="2:13" s="142" customFormat="1" ht="24.2" customHeight="1" x14ac:dyDescent="0.35">
      <c r="B15" s="152">
        <f t="shared" si="0"/>
        <v>4170</v>
      </c>
      <c r="C15" s="151">
        <v>3500</v>
      </c>
      <c r="D15" s="142" t="s">
        <v>29</v>
      </c>
      <c r="E15" s="153" t="s">
        <v>20</v>
      </c>
      <c r="G15" s="152">
        <f t="shared" si="1"/>
        <v>24457.360000000001</v>
      </c>
      <c r="H15" s="151">
        <v>2500</v>
      </c>
      <c r="I15" s="142" t="s">
        <v>29</v>
      </c>
      <c r="J15" s="153" t="s">
        <v>20</v>
      </c>
    </row>
    <row r="16" spans="2:13" s="142" customFormat="1" ht="24.2" customHeight="1" x14ac:dyDescent="0.35">
      <c r="B16" s="152">
        <f t="shared" si="0"/>
        <v>670</v>
      </c>
      <c r="C16" s="151">
        <v>4170</v>
      </c>
      <c r="D16" s="142" t="s">
        <v>30</v>
      </c>
      <c r="E16" s="153" t="s">
        <v>20</v>
      </c>
      <c r="G16" s="152">
        <f t="shared" si="1"/>
        <v>21957.360000000001</v>
      </c>
      <c r="H16" s="151">
        <v>2500</v>
      </c>
      <c r="I16" s="142" t="s">
        <v>30</v>
      </c>
      <c r="J16" s="153" t="s">
        <v>20</v>
      </c>
    </row>
    <row r="17" spans="2:10" ht="24.2" customHeight="1" x14ac:dyDescent="0.35">
      <c r="B17" s="406" t="s">
        <v>201</v>
      </c>
      <c r="C17" s="406"/>
      <c r="D17" s="406"/>
      <c r="E17" s="406"/>
      <c r="G17" s="152">
        <f t="shared" si="1"/>
        <v>19457.36</v>
      </c>
      <c r="H17" s="151">
        <v>2500</v>
      </c>
      <c r="I17" s="142" t="s">
        <v>31</v>
      </c>
      <c r="J17" s="80" t="s">
        <v>20</v>
      </c>
    </row>
    <row r="18" spans="2:10" ht="24.2" customHeight="1" x14ac:dyDescent="0.35">
      <c r="C18" s="150"/>
      <c r="G18" s="152">
        <f t="shared" si="1"/>
        <v>16957.36</v>
      </c>
      <c r="H18" s="151">
        <v>2500</v>
      </c>
      <c r="I18" s="142" t="s">
        <v>19</v>
      </c>
      <c r="J18" s="80" t="s">
        <v>20</v>
      </c>
    </row>
    <row r="19" spans="2:10" ht="24.2" customHeight="1" x14ac:dyDescent="0.35">
      <c r="C19" s="150"/>
      <c r="G19" s="152">
        <f t="shared" si="1"/>
        <v>14457.36</v>
      </c>
      <c r="H19" s="151">
        <v>2500</v>
      </c>
      <c r="I19" s="142" t="s">
        <v>21</v>
      </c>
      <c r="J19" s="153" t="s">
        <v>20</v>
      </c>
    </row>
    <row r="20" spans="2:10" ht="24.2" customHeight="1" x14ac:dyDescent="0.35">
      <c r="C20" s="150"/>
      <c r="G20" s="152">
        <f t="shared" si="1"/>
        <v>11957.36</v>
      </c>
      <c r="H20" s="151">
        <v>2500</v>
      </c>
      <c r="I20" s="142" t="s">
        <v>22</v>
      </c>
      <c r="J20" s="153" t="s">
        <v>20</v>
      </c>
    </row>
    <row r="21" spans="2:10" ht="24.2" customHeight="1" x14ac:dyDescent="0.35">
      <c r="C21" s="150"/>
      <c r="G21" s="152">
        <f t="shared" si="1"/>
        <v>9457.36</v>
      </c>
      <c r="H21" s="151">
        <v>2500</v>
      </c>
      <c r="I21" s="142" t="s">
        <v>23</v>
      </c>
      <c r="J21" s="172" t="s">
        <v>20</v>
      </c>
    </row>
    <row r="22" spans="2:10" ht="24.2" customHeight="1" x14ac:dyDescent="0.35">
      <c r="C22" s="150"/>
      <c r="G22" s="152">
        <f t="shared" si="1"/>
        <v>6957.3600000000006</v>
      </c>
      <c r="H22" s="151">
        <v>2500</v>
      </c>
      <c r="I22" s="142" t="s">
        <v>24</v>
      </c>
      <c r="J22" s="153" t="s">
        <v>20</v>
      </c>
    </row>
    <row r="23" spans="2:10" ht="24.2" customHeight="1" x14ac:dyDescent="0.35">
      <c r="C23" s="150"/>
      <c r="G23" s="152">
        <f t="shared" si="1"/>
        <v>4457.3600000000006</v>
      </c>
      <c r="H23" s="151">
        <v>2500</v>
      </c>
      <c r="I23" s="142" t="s">
        <v>25</v>
      </c>
      <c r="J23" s="153" t="s">
        <v>20</v>
      </c>
    </row>
    <row r="24" spans="2:10" ht="24.2" customHeight="1" x14ac:dyDescent="0.35">
      <c r="G24" s="152">
        <v>4457.38</v>
      </c>
      <c r="H24" s="151">
        <v>4457.3599999999997</v>
      </c>
      <c r="I24" s="142" t="s">
        <v>26</v>
      </c>
      <c r="J24" s="153" t="s">
        <v>20</v>
      </c>
    </row>
    <row r="25" spans="2:10" ht="24.2" customHeight="1" x14ac:dyDescent="0.35">
      <c r="G25" s="406" t="s">
        <v>201</v>
      </c>
      <c r="H25" s="406"/>
      <c r="I25" s="406"/>
      <c r="J25" s="406"/>
    </row>
  </sheetData>
  <mergeCells count="10">
    <mergeCell ref="G25:J25"/>
    <mergeCell ref="B17:E17"/>
    <mergeCell ref="B1:E1"/>
    <mergeCell ref="G1:J1"/>
    <mergeCell ref="B2:E2"/>
    <mergeCell ref="G2:J2"/>
    <mergeCell ref="H5:J5"/>
    <mergeCell ref="C5:E5"/>
    <mergeCell ref="B3:E3"/>
    <mergeCell ref="G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26"/>
  <sheetViews>
    <sheetView zoomScale="125" workbookViewId="0">
      <selection activeCell="E18" sqref="E18"/>
    </sheetView>
  </sheetViews>
  <sheetFormatPr baseColWidth="10" defaultColWidth="10.59765625" defaultRowHeight="14.25" x14ac:dyDescent="0.35"/>
  <cols>
    <col min="1" max="1" width="1.296875" style="69" customWidth="1"/>
    <col min="2" max="4" width="22.796875" style="69" customWidth="1"/>
    <col min="5" max="5" width="13.25" style="69" bestFit="1" customWidth="1"/>
    <col min="6" max="6" width="18.296875" style="69" customWidth="1"/>
    <col min="7" max="7" width="12.84765625" style="69" customWidth="1"/>
    <col min="8" max="8" width="13.046875" style="69" bestFit="1" customWidth="1"/>
    <col min="9" max="16384" width="10.59765625" style="69"/>
  </cols>
  <sheetData>
    <row r="2" spans="2:6" x14ac:dyDescent="0.35">
      <c r="B2" s="412" t="s">
        <v>146</v>
      </c>
      <c r="C2" s="412"/>
      <c r="D2" s="412"/>
      <c r="E2" s="413" t="s">
        <v>147</v>
      </c>
      <c r="F2" s="413"/>
    </row>
    <row r="3" spans="2:6" x14ac:dyDescent="0.35">
      <c r="B3" s="412"/>
      <c r="C3" s="412"/>
      <c r="D3" s="412"/>
      <c r="E3" s="72" t="s">
        <v>148</v>
      </c>
      <c r="F3" s="72" t="s">
        <v>149</v>
      </c>
    </row>
    <row r="4" spans="2:6" x14ac:dyDescent="0.35">
      <c r="B4" s="414" t="s">
        <v>150</v>
      </c>
      <c r="C4" s="415"/>
      <c r="D4" s="416"/>
      <c r="E4" s="73">
        <f>F6*3</f>
        <v>187.5</v>
      </c>
      <c r="F4" s="73">
        <f>E4*2</f>
        <v>375</v>
      </c>
    </row>
    <row r="5" spans="2:6" x14ac:dyDescent="0.35">
      <c r="B5" s="417"/>
      <c r="C5" s="418"/>
      <c r="D5" s="419"/>
      <c r="E5" s="72" t="s">
        <v>151</v>
      </c>
      <c r="F5" s="72" t="s">
        <v>152</v>
      </c>
    </row>
    <row r="6" spans="2:6" x14ac:dyDescent="0.35">
      <c r="B6" s="420">
        <v>30000</v>
      </c>
      <c r="C6" s="421"/>
      <c r="D6" s="422"/>
      <c r="E6" s="73">
        <f>B6*2.5%</f>
        <v>750</v>
      </c>
      <c r="F6" s="73">
        <f>E6/12</f>
        <v>62.5</v>
      </c>
    </row>
    <row r="7" spans="2:6" ht="18" customHeight="1" x14ac:dyDescent="0.35">
      <c r="B7" s="70" t="s">
        <v>153</v>
      </c>
      <c r="C7" s="70" t="s">
        <v>154</v>
      </c>
      <c r="D7" s="70" t="s">
        <v>155</v>
      </c>
      <c r="E7" s="70" t="s">
        <v>156</v>
      </c>
      <c r="F7" s="70" t="s">
        <v>157</v>
      </c>
    </row>
    <row r="8" spans="2:6" ht="18" customHeight="1" x14ac:dyDescent="0.35">
      <c r="B8" s="74"/>
      <c r="C8" s="78"/>
      <c r="D8" s="78"/>
      <c r="E8" s="79"/>
      <c r="F8" s="75"/>
    </row>
    <row r="9" spans="2:6" ht="18" customHeight="1" x14ac:dyDescent="0.35">
      <c r="B9" s="75"/>
      <c r="C9" s="78"/>
      <c r="D9" s="78"/>
      <c r="E9" s="77"/>
      <c r="F9" s="75"/>
    </row>
    <row r="10" spans="2:6" ht="18" customHeight="1" x14ac:dyDescent="0.35">
      <c r="B10" s="75"/>
      <c r="C10" s="78"/>
      <c r="D10" s="78"/>
      <c r="E10" s="76"/>
      <c r="F10" s="75"/>
    </row>
    <row r="11" spans="2:6" ht="18" customHeight="1" x14ac:dyDescent="0.35">
      <c r="B11" s="75"/>
      <c r="C11" s="78"/>
      <c r="D11" s="78"/>
      <c r="E11" s="76"/>
      <c r="F11" s="75"/>
    </row>
    <row r="12" spans="2:6" ht="18" customHeight="1" x14ac:dyDescent="0.35">
      <c r="B12" s="75"/>
      <c r="C12" s="78"/>
      <c r="D12" s="78"/>
      <c r="E12" s="76"/>
      <c r="F12" s="75"/>
    </row>
    <row r="13" spans="2:6" ht="18" customHeight="1" x14ac:dyDescent="0.35">
      <c r="B13" s="75"/>
      <c r="C13" s="78"/>
      <c r="D13" s="78"/>
      <c r="E13" s="77"/>
      <c r="F13" s="75"/>
    </row>
    <row r="14" spans="2:6" ht="18" customHeight="1" x14ac:dyDescent="0.35">
      <c r="B14" s="75"/>
      <c r="C14" s="75"/>
      <c r="D14" s="75"/>
      <c r="E14" s="75"/>
      <c r="F14" s="75"/>
    </row>
    <row r="15" spans="2:6" ht="18" customHeight="1" x14ac:dyDescent="0.35">
      <c r="B15" s="75"/>
      <c r="C15" s="75"/>
      <c r="D15" s="75"/>
      <c r="E15" s="75"/>
      <c r="F15" s="75"/>
    </row>
    <row r="16" spans="2:6" ht="18" customHeight="1" x14ac:dyDescent="0.35">
      <c r="B16" s="75"/>
      <c r="C16" s="75"/>
      <c r="D16" s="75"/>
      <c r="E16" s="75"/>
      <c r="F16" s="75"/>
    </row>
    <row r="17" spans="2:6" ht="18" customHeight="1" x14ac:dyDescent="0.35">
      <c r="B17" s="75"/>
      <c r="C17" s="75"/>
      <c r="D17" s="75"/>
      <c r="E17" s="75"/>
      <c r="F17" s="75"/>
    </row>
    <row r="18" spans="2:6" ht="18" customHeight="1" x14ac:dyDescent="0.35">
      <c r="B18" s="75"/>
      <c r="C18" s="75"/>
      <c r="D18" s="75"/>
      <c r="E18" s="75"/>
      <c r="F18" s="75"/>
    </row>
    <row r="19" spans="2:6" ht="18" customHeight="1" x14ac:dyDescent="0.35">
      <c r="B19" s="71"/>
      <c r="C19" s="71"/>
      <c r="D19" s="71"/>
      <c r="E19" s="71"/>
      <c r="F19" s="71"/>
    </row>
    <row r="20" spans="2:6" ht="18" customHeight="1" x14ac:dyDescent="0.35">
      <c r="B20" s="71"/>
      <c r="C20" s="71"/>
      <c r="D20" s="71"/>
      <c r="E20" s="71"/>
      <c r="F20" s="71"/>
    </row>
    <row r="21" spans="2:6" ht="18" customHeight="1" x14ac:dyDescent="0.35">
      <c r="B21" s="71"/>
      <c r="C21" s="71"/>
      <c r="D21" s="71"/>
      <c r="E21" s="71"/>
      <c r="F21" s="71"/>
    </row>
    <row r="22" spans="2:6" ht="18" customHeight="1" x14ac:dyDescent="0.35">
      <c r="B22" s="71"/>
      <c r="C22" s="71"/>
      <c r="D22" s="71"/>
      <c r="E22" s="71"/>
      <c r="F22" s="71"/>
    </row>
    <row r="23" spans="2:6" ht="18" customHeight="1" x14ac:dyDescent="0.35">
      <c r="B23" s="71"/>
      <c r="C23" s="71"/>
      <c r="D23" s="71"/>
      <c r="E23" s="71"/>
      <c r="F23" s="71"/>
    </row>
    <row r="24" spans="2:6" ht="18" customHeight="1" x14ac:dyDescent="0.35">
      <c r="B24" s="71"/>
      <c r="C24" s="71"/>
      <c r="D24" s="71"/>
      <c r="E24" s="71"/>
      <c r="F24" s="71"/>
    </row>
    <row r="25" spans="2:6" ht="18" customHeight="1" x14ac:dyDescent="0.35">
      <c r="B25" s="71"/>
      <c r="C25" s="71"/>
      <c r="D25" s="71"/>
      <c r="E25" s="71"/>
      <c r="F25" s="71"/>
    </row>
    <row r="26" spans="2:6" ht="18" customHeight="1" x14ac:dyDescent="0.35">
      <c r="B26" s="71"/>
      <c r="C26" s="71"/>
      <c r="D26" s="71"/>
      <c r="E26" s="71"/>
      <c r="F26" s="71"/>
    </row>
  </sheetData>
  <mergeCells count="4">
    <mergeCell ref="B2:D3"/>
    <mergeCell ref="E2:F2"/>
    <mergeCell ref="B4:D5"/>
    <mergeCell ref="B6:D6"/>
  </mergeCells>
  <pageMargins left="0.70866141732283472" right="0.70866141732283472" top="0.75196850393700787" bottom="0.75196850393700787" header="0.31102362204724415" footer="0.31102362204724415"/>
  <pageSetup paperSize="9" scale="9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31"/>
  <sheetViews>
    <sheetView zoomScale="125" workbookViewId="0">
      <selection activeCell="C16" sqref="C16"/>
    </sheetView>
  </sheetViews>
  <sheetFormatPr baseColWidth="10" defaultColWidth="10.59765625" defaultRowHeight="14.25" x14ac:dyDescent="0.35"/>
  <cols>
    <col min="1" max="1" width="1.296875" style="69" customWidth="1"/>
    <col min="2" max="4" width="22.796875" style="69" customWidth="1"/>
    <col min="5" max="5" width="13.25" style="69" bestFit="1" customWidth="1"/>
    <col min="6" max="6" width="18.296875" style="69" customWidth="1"/>
    <col min="7" max="7" width="12.84765625" style="69" customWidth="1"/>
    <col min="8" max="8" width="13.046875" style="69" bestFit="1" customWidth="1"/>
    <col min="9" max="16384" width="10.59765625" style="69"/>
  </cols>
  <sheetData>
    <row r="2" spans="2:6" x14ac:dyDescent="0.35">
      <c r="B2" s="412" t="s">
        <v>158</v>
      </c>
      <c r="C2" s="412"/>
      <c r="D2" s="412"/>
      <c r="E2" s="413" t="s">
        <v>147</v>
      </c>
      <c r="F2" s="413"/>
    </row>
    <row r="3" spans="2:6" x14ac:dyDescent="0.35">
      <c r="B3" s="412"/>
      <c r="C3" s="412"/>
      <c r="D3" s="412"/>
      <c r="E3" s="72" t="s">
        <v>148</v>
      </c>
      <c r="F3" s="72" t="s">
        <v>149</v>
      </c>
    </row>
    <row r="4" spans="2:6" x14ac:dyDescent="0.35">
      <c r="B4" s="414" t="s">
        <v>150</v>
      </c>
      <c r="C4" s="415"/>
      <c r="D4" s="416"/>
      <c r="E4" s="73">
        <f>F6*3</f>
        <v>125</v>
      </c>
      <c r="F4" s="73">
        <f>E4*2</f>
        <v>250</v>
      </c>
    </row>
    <row r="5" spans="2:6" x14ac:dyDescent="0.35">
      <c r="B5" s="417"/>
      <c r="C5" s="418"/>
      <c r="D5" s="419"/>
      <c r="E5" s="72" t="s">
        <v>151</v>
      </c>
      <c r="F5" s="72" t="s">
        <v>152</v>
      </c>
    </row>
    <row r="6" spans="2:6" x14ac:dyDescent="0.35">
      <c r="B6" s="420">
        <v>20000</v>
      </c>
      <c r="C6" s="421"/>
      <c r="D6" s="422"/>
      <c r="E6" s="73">
        <f>B6*2.5%</f>
        <v>500</v>
      </c>
      <c r="F6" s="73">
        <f>E6/12</f>
        <v>41.666666666666664</v>
      </c>
    </row>
    <row r="7" spans="2:6" ht="18" customHeight="1" x14ac:dyDescent="0.35">
      <c r="B7" s="70" t="s">
        <v>153</v>
      </c>
      <c r="C7" s="70" t="s">
        <v>154</v>
      </c>
      <c r="D7" s="70" t="s">
        <v>155</v>
      </c>
      <c r="E7" s="70" t="s">
        <v>156</v>
      </c>
      <c r="F7" s="70" t="s">
        <v>157</v>
      </c>
    </row>
    <row r="8" spans="2:6" ht="18" customHeight="1" x14ac:dyDescent="0.35">
      <c r="B8" s="74">
        <v>40235</v>
      </c>
      <c r="C8" s="78">
        <v>150</v>
      </c>
      <c r="D8" s="78">
        <v>2000</v>
      </c>
      <c r="E8" s="79">
        <v>2125</v>
      </c>
      <c r="F8" s="75" t="s">
        <v>159</v>
      </c>
    </row>
    <row r="9" spans="2:6" ht="18" customHeight="1" x14ac:dyDescent="0.35">
      <c r="B9" s="412" t="s">
        <v>160</v>
      </c>
      <c r="C9" s="412"/>
      <c r="D9" s="412"/>
      <c r="E9" s="413" t="s">
        <v>147</v>
      </c>
      <c r="F9" s="413"/>
    </row>
    <row r="10" spans="2:6" ht="18" customHeight="1" x14ac:dyDescent="0.35">
      <c r="B10" s="412"/>
      <c r="C10" s="412"/>
      <c r="D10" s="412"/>
      <c r="E10" s="72" t="s">
        <v>148</v>
      </c>
      <c r="F10" s="72" t="s">
        <v>149</v>
      </c>
    </row>
    <row r="11" spans="2:6" ht="18" customHeight="1" x14ac:dyDescent="0.35">
      <c r="B11" s="414" t="s">
        <v>150</v>
      </c>
      <c r="C11" s="415"/>
      <c r="D11" s="416"/>
      <c r="E11" s="73">
        <f>F13*3</f>
        <v>112.5</v>
      </c>
      <c r="F11" s="73">
        <f>E11*2</f>
        <v>225</v>
      </c>
    </row>
    <row r="12" spans="2:6" ht="18" customHeight="1" x14ac:dyDescent="0.35">
      <c r="B12" s="417"/>
      <c r="C12" s="418"/>
      <c r="D12" s="419"/>
      <c r="E12" s="72" t="s">
        <v>151</v>
      </c>
      <c r="F12" s="72" t="s">
        <v>152</v>
      </c>
    </row>
    <row r="13" spans="2:6" ht="18" customHeight="1" x14ac:dyDescent="0.35">
      <c r="B13" s="420">
        <v>18000</v>
      </c>
      <c r="C13" s="421"/>
      <c r="D13" s="422"/>
      <c r="E13" s="73">
        <f>B13*2.5%</f>
        <v>450</v>
      </c>
      <c r="F13" s="73">
        <f>E13/12</f>
        <v>37.5</v>
      </c>
    </row>
    <row r="14" spans="2:6" ht="18" customHeight="1" x14ac:dyDescent="0.35">
      <c r="B14" s="75"/>
      <c r="C14" s="78"/>
      <c r="D14" s="78"/>
      <c r="E14" s="77"/>
      <c r="F14" s="75"/>
    </row>
    <row r="15" spans="2:6" ht="18" customHeight="1" x14ac:dyDescent="0.35">
      <c r="B15" s="75"/>
      <c r="C15" s="78"/>
      <c r="D15" s="78"/>
      <c r="E15" s="76"/>
      <c r="F15" s="75"/>
    </row>
    <row r="16" spans="2:6" ht="18" customHeight="1" x14ac:dyDescent="0.35">
      <c r="B16" s="75"/>
      <c r="C16" s="78"/>
      <c r="D16" s="78"/>
      <c r="E16" s="76"/>
      <c r="F16" s="75"/>
    </row>
    <row r="17" spans="2:6" ht="18" customHeight="1" x14ac:dyDescent="0.35">
      <c r="B17" s="75"/>
      <c r="C17" s="78"/>
      <c r="D17" s="78"/>
      <c r="E17" s="76"/>
      <c r="F17" s="75"/>
    </row>
    <row r="18" spans="2:6" ht="18" customHeight="1" x14ac:dyDescent="0.35">
      <c r="B18" s="75"/>
      <c r="C18" s="78"/>
      <c r="D18" s="78"/>
      <c r="E18" s="77"/>
      <c r="F18" s="75"/>
    </row>
    <row r="19" spans="2:6" ht="18" customHeight="1" x14ac:dyDescent="0.35">
      <c r="B19" s="75"/>
      <c r="C19" s="75"/>
      <c r="D19" s="75"/>
      <c r="E19" s="75"/>
      <c r="F19" s="75"/>
    </row>
    <row r="20" spans="2:6" ht="18" customHeight="1" x14ac:dyDescent="0.35">
      <c r="B20" s="75"/>
      <c r="C20" s="75"/>
      <c r="D20" s="75"/>
      <c r="E20" s="75"/>
      <c r="F20" s="75"/>
    </row>
    <row r="21" spans="2:6" ht="18" customHeight="1" x14ac:dyDescent="0.35">
      <c r="B21" s="75"/>
      <c r="C21" s="75"/>
      <c r="D21" s="75"/>
      <c r="E21" s="75"/>
      <c r="F21" s="75"/>
    </row>
    <row r="22" spans="2:6" ht="18" customHeight="1" x14ac:dyDescent="0.35">
      <c r="B22" s="75"/>
      <c r="C22" s="75"/>
      <c r="D22" s="75"/>
      <c r="E22" s="75"/>
      <c r="F22" s="75"/>
    </row>
    <row r="23" spans="2:6" ht="18" customHeight="1" x14ac:dyDescent="0.35">
      <c r="B23" s="75"/>
      <c r="C23" s="75"/>
      <c r="D23" s="75"/>
      <c r="E23" s="75"/>
      <c r="F23" s="75"/>
    </row>
    <row r="24" spans="2:6" ht="18" customHeight="1" x14ac:dyDescent="0.35">
      <c r="B24" s="71"/>
      <c r="C24" s="71"/>
      <c r="D24" s="71"/>
      <c r="E24" s="71"/>
      <c r="F24" s="71"/>
    </row>
    <row r="25" spans="2:6" ht="18" customHeight="1" x14ac:dyDescent="0.35">
      <c r="B25" s="71"/>
      <c r="C25" s="71"/>
      <c r="D25" s="71"/>
      <c r="E25" s="71"/>
      <c r="F25" s="71"/>
    </row>
    <row r="26" spans="2:6" ht="18" customHeight="1" x14ac:dyDescent="0.35">
      <c r="B26" s="71"/>
      <c r="C26" s="71"/>
      <c r="D26" s="71"/>
      <c r="E26" s="71"/>
      <c r="F26" s="71"/>
    </row>
    <row r="27" spans="2:6" ht="18" customHeight="1" x14ac:dyDescent="0.35">
      <c r="B27" s="71"/>
      <c r="C27" s="71"/>
      <c r="D27" s="71"/>
      <c r="E27" s="71"/>
      <c r="F27" s="71"/>
    </row>
    <row r="28" spans="2:6" ht="18" customHeight="1" x14ac:dyDescent="0.35">
      <c r="B28" s="71"/>
      <c r="C28" s="71"/>
      <c r="D28" s="71"/>
      <c r="E28" s="71"/>
      <c r="F28" s="71"/>
    </row>
    <row r="29" spans="2:6" ht="18" customHeight="1" x14ac:dyDescent="0.35">
      <c r="B29" s="71"/>
      <c r="C29" s="71"/>
      <c r="D29" s="71"/>
      <c r="E29" s="71"/>
      <c r="F29" s="71"/>
    </row>
    <row r="30" spans="2:6" ht="18" customHeight="1" x14ac:dyDescent="0.35">
      <c r="B30" s="71"/>
      <c r="C30" s="71"/>
      <c r="D30" s="71"/>
      <c r="E30" s="71"/>
      <c r="F30" s="71"/>
    </row>
    <row r="31" spans="2:6" ht="18" customHeight="1" x14ac:dyDescent="0.35">
      <c r="B31" s="71"/>
      <c r="C31" s="71"/>
      <c r="D31" s="71"/>
      <c r="E31" s="71"/>
      <c r="F31" s="71"/>
    </row>
  </sheetData>
  <mergeCells count="8">
    <mergeCell ref="B13:D13"/>
    <mergeCell ref="E2:F2"/>
    <mergeCell ref="B6:D6"/>
    <mergeCell ref="B4:D5"/>
    <mergeCell ref="B2:D3"/>
    <mergeCell ref="B9:D10"/>
    <mergeCell ref="E9:F9"/>
    <mergeCell ref="B11:D12"/>
  </mergeCells>
  <phoneticPr fontId="3" type="noConversion"/>
  <pageMargins left="0.70866141732283472" right="0.70866141732283472" top="0.75196850393700787" bottom="0.75196850393700787" header="0.31102362204724415" footer="0.31102362204724415"/>
  <pageSetup paperSize="9" scale="90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G39"/>
  <sheetViews>
    <sheetView zoomScale="125" workbookViewId="0">
      <selection activeCell="C6" sqref="C6"/>
    </sheetView>
  </sheetViews>
  <sheetFormatPr baseColWidth="10" defaultColWidth="10.59765625" defaultRowHeight="14.25" x14ac:dyDescent="0.45"/>
  <cols>
    <col min="1" max="1" width="1.296875" style="24" customWidth="1"/>
    <col min="2" max="2" width="13.25" style="24" bestFit="1" customWidth="1"/>
    <col min="3" max="3" width="42.25" style="24" bestFit="1" customWidth="1"/>
    <col min="4" max="4" width="12.296875" style="24" customWidth="1"/>
    <col min="5" max="5" width="16.19921875" style="24" customWidth="1"/>
    <col min="6" max="6" width="12.84765625" style="24" customWidth="1"/>
    <col min="7" max="7" width="13.046875" style="24" bestFit="1" customWidth="1"/>
    <col min="8" max="16384" width="10.59765625" style="24"/>
  </cols>
  <sheetData>
    <row r="2" spans="2:7" x14ac:dyDescent="0.45">
      <c r="C2" s="25" t="s">
        <v>161</v>
      </c>
      <c r="D2" s="25" t="s">
        <v>162</v>
      </c>
    </row>
    <row r="4" spans="2:7" x14ac:dyDescent="0.45">
      <c r="B4" s="26"/>
      <c r="C4" s="26" t="s">
        <v>150</v>
      </c>
      <c r="D4" s="26" t="s">
        <v>151</v>
      </c>
      <c r="E4" s="26" t="s">
        <v>152</v>
      </c>
      <c r="F4" s="26" t="s">
        <v>148</v>
      </c>
      <c r="G4" s="26" t="s">
        <v>149</v>
      </c>
    </row>
    <row r="5" spans="2:7" x14ac:dyDescent="0.45">
      <c r="B5" s="27" t="s">
        <v>163</v>
      </c>
      <c r="C5" s="28">
        <v>2500000</v>
      </c>
      <c r="D5" s="29">
        <f>C5*5%</f>
        <v>125000</v>
      </c>
      <c r="E5" s="29">
        <f>D5/12</f>
        <v>10416.666666666666</v>
      </c>
      <c r="F5" s="29">
        <f>D5/4</f>
        <v>31250</v>
      </c>
      <c r="G5" s="29">
        <f>D5/2</f>
        <v>62500</v>
      </c>
    </row>
    <row r="6" spans="2:7" x14ac:dyDescent="0.45">
      <c r="B6" s="27" t="s">
        <v>164</v>
      </c>
      <c r="C6" s="29">
        <f>C5/166.386</f>
        <v>15025.302609594557</v>
      </c>
      <c r="D6" s="28">
        <f>D5/166.386</f>
        <v>751.26513047972787</v>
      </c>
      <c r="E6" s="29">
        <f>E5/166.386</f>
        <v>62.60542753997732</v>
      </c>
      <c r="F6" s="29">
        <f>F5/166.386</f>
        <v>187.81628261993197</v>
      </c>
      <c r="G6" s="28">
        <f>G5/166.386</f>
        <v>375.63256523986394</v>
      </c>
    </row>
    <row r="8" spans="2:7" x14ac:dyDescent="0.45">
      <c r="B8" s="27" t="s">
        <v>165</v>
      </c>
      <c r="C8" s="30" t="s">
        <v>166</v>
      </c>
      <c r="D8" s="31">
        <v>368</v>
      </c>
      <c r="E8" s="30" t="s">
        <v>167</v>
      </c>
    </row>
    <row r="9" spans="2:7" x14ac:dyDescent="0.45">
      <c r="C9" s="30" t="s">
        <v>168</v>
      </c>
      <c r="D9" s="29">
        <v>525.88559133580952</v>
      </c>
      <c r="E9" s="30" t="s">
        <v>167</v>
      </c>
    </row>
    <row r="10" spans="2:7" x14ac:dyDescent="0.45">
      <c r="C10" s="30" t="s">
        <v>169</v>
      </c>
      <c r="D10" s="32">
        <v>6000</v>
      </c>
      <c r="E10" s="30" t="s">
        <v>167</v>
      </c>
    </row>
    <row r="11" spans="2:7" x14ac:dyDescent="0.45">
      <c r="C11" s="30" t="s">
        <v>170</v>
      </c>
      <c r="D11" s="29">
        <v>87.64</v>
      </c>
      <c r="E11" s="30" t="s">
        <v>167</v>
      </c>
    </row>
    <row r="12" spans="2:7" x14ac:dyDescent="0.45">
      <c r="C12" s="30" t="s">
        <v>171</v>
      </c>
      <c r="D12" s="29">
        <v>375.63</v>
      </c>
      <c r="E12" s="30" t="s">
        <v>172</v>
      </c>
    </row>
    <row r="13" spans="2:7" x14ac:dyDescent="0.45">
      <c r="C13" s="30" t="s">
        <v>173</v>
      </c>
      <c r="D13" s="29">
        <v>375.63</v>
      </c>
      <c r="E13" s="30" t="s">
        <v>172</v>
      </c>
    </row>
    <row r="14" spans="2:7" x14ac:dyDescent="0.45">
      <c r="C14" s="30" t="s">
        <v>174</v>
      </c>
      <c r="D14" s="32">
        <v>3025.3</v>
      </c>
      <c r="E14" s="30" t="s">
        <v>172</v>
      </c>
    </row>
    <row r="15" spans="2:7" x14ac:dyDescent="0.45">
      <c r="B15" s="26"/>
      <c r="C15" s="26" t="s">
        <v>150</v>
      </c>
      <c r="D15" s="26" t="s">
        <v>151</v>
      </c>
      <c r="E15" s="26" t="s">
        <v>152</v>
      </c>
      <c r="F15" s="26" t="s">
        <v>148</v>
      </c>
      <c r="G15" s="26" t="s">
        <v>149</v>
      </c>
    </row>
    <row r="16" spans="2:7" x14ac:dyDescent="0.45">
      <c r="B16" s="27" t="s">
        <v>175</v>
      </c>
      <c r="C16" s="28">
        <v>1996632</v>
      </c>
      <c r="D16" s="29">
        <f>C16*3.5%</f>
        <v>69882.12000000001</v>
      </c>
      <c r="E16" s="29">
        <f>D16/12</f>
        <v>5823.5100000000011</v>
      </c>
      <c r="F16" s="29">
        <f>D16/4</f>
        <v>17470.530000000002</v>
      </c>
      <c r="G16" s="29">
        <f>D16/2</f>
        <v>34941.060000000005</v>
      </c>
    </row>
    <row r="17" spans="2:7" x14ac:dyDescent="0.45">
      <c r="B17" s="27" t="s">
        <v>176</v>
      </c>
      <c r="C17" s="29">
        <f>C16/166.386</f>
        <v>12000</v>
      </c>
      <c r="D17" s="28">
        <f>D16/166.386</f>
        <v>420.00000000000006</v>
      </c>
      <c r="E17" s="29">
        <f>E16/166.386</f>
        <v>35.000000000000007</v>
      </c>
      <c r="F17" s="29">
        <f>F16/166.386</f>
        <v>105.00000000000001</v>
      </c>
      <c r="G17" s="28">
        <f>G16/166.386</f>
        <v>210.00000000000003</v>
      </c>
    </row>
    <row r="19" spans="2:7" x14ac:dyDescent="0.45">
      <c r="C19" s="30" t="s">
        <v>177</v>
      </c>
      <c r="D19" s="29">
        <v>210</v>
      </c>
      <c r="E19" s="30" t="s">
        <v>178</v>
      </c>
    </row>
    <row r="20" spans="2:7" x14ac:dyDescent="0.45">
      <c r="C20" s="30" t="s">
        <v>179</v>
      </c>
      <c r="D20" s="29">
        <v>210</v>
      </c>
      <c r="E20" s="30" t="s">
        <v>180</v>
      </c>
    </row>
    <row r="21" spans="2:7" x14ac:dyDescent="0.45">
      <c r="C21" s="30" t="s">
        <v>181</v>
      </c>
      <c r="D21" s="29">
        <v>70</v>
      </c>
      <c r="E21" s="30" t="s">
        <v>182</v>
      </c>
    </row>
    <row r="22" spans="2:7" x14ac:dyDescent="0.45">
      <c r="C22" s="30" t="s">
        <v>183</v>
      </c>
      <c r="D22" s="29">
        <v>3000</v>
      </c>
      <c r="E22" s="30" t="s">
        <v>182</v>
      </c>
    </row>
    <row r="23" spans="2:7" x14ac:dyDescent="0.45">
      <c r="B23" s="26"/>
      <c r="C23" s="26" t="s">
        <v>150</v>
      </c>
      <c r="D23" s="26" t="s">
        <v>151</v>
      </c>
      <c r="E23" s="26" t="s">
        <v>152</v>
      </c>
      <c r="F23" s="26" t="s">
        <v>148</v>
      </c>
      <c r="G23" s="26" t="s">
        <v>149</v>
      </c>
    </row>
    <row r="24" spans="2:7" x14ac:dyDescent="0.45">
      <c r="B24" s="27" t="s">
        <v>175</v>
      </c>
      <c r="C24" s="28">
        <v>1497474</v>
      </c>
      <c r="D24" s="29">
        <f>C24*3.5%</f>
        <v>52411.590000000004</v>
      </c>
      <c r="E24" s="29">
        <f>D24/12</f>
        <v>4367.6325000000006</v>
      </c>
      <c r="F24" s="29">
        <f>D24/4</f>
        <v>13102.897500000001</v>
      </c>
      <c r="G24" s="29">
        <f>D24/2</f>
        <v>26205.795000000002</v>
      </c>
    </row>
    <row r="25" spans="2:7" x14ac:dyDescent="0.45">
      <c r="B25" s="27" t="s">
        <v>176</v>
      </c>
      <c r="C25" s="29">
        <v>9000</v>
      </c>
      <c r="D25" s="28">
        <f>D24/166.386</f>
        <v>315.00000000000006</v>
      </c>
      <c r="E25" s="29">
        <f>E24/166.386</f>
        <v>26.250000000000004</v>
      </c>
      <c r="F25" s="29">
        <f>F24/166.386</f>
        <v>78.750000000000014</v>
      </c>
      <c r="G25" s="28">
        <f>G24/166.386</f>
        <v>157.50000000000003</v>
      </c>
    </row>
    <row r="26" spans="2:7" x14ac:dyDescent="0.45">
      <c r="C26" s="30" t="s">
        <v>184</v>
      </c>
      <c r="D26" s="30">
        <v>157.5</v>
      </c>
      <c r="E26" s="30"/>
    </row>
    <row r="27" spans="2:7" x14ac:dyDescent="0.45">
      <c r="C27" s="30" t="s">
        <v>185</v>
      </c>
      <c r="D27" s="30">
        <v>157.5</v>
      </c>
      <c r="E27" s="30"/>
    </row>
    <row r="28" spans="2:7" x14ac:dyDescent="0.45">
      <c r="C28" s="33" t="s">
        <v>186</v>
      </c>
      <c r="D28" s="34">
        <v>3157.5</v>
      </c>
      <c r="E28" s="30" t="s">
        <v>187</v>
      </c>
    </row>
    <row r="29" spans="2:7" x14ac:dyDescent="0.45">
      <c r="B29" s="26"/>
      <c r="C29" s="26" t="s">
        <v>150</v>
      </c>
      <c r="D29" s="26" t="s">
        <v>151</v>
      </c>
      <c r="E29" s="26" t="s">
        <v>152</v>
      </c>
      <c r="F29" s="26" t="s">
        <v>148</v>
      </c>
      <c r="G29" s="26" t="s">
        <v>149</v>
      </c>
    </row>
    <row r="30" spans="2:7" x14ac:dyDescent="0.45">
      <c r="B30" s="27" t="s">
        <v>175</v>
      </c>
      <c r="C30" s="28">
        <v>998316</v>
      </c>
      <c r="D30" s="29">
        <f>C30*3.5%</f>
        <v>34941.060000000005</v>
      </c>
      <c r="E30" s="29">
        <f>D30/12</f>
        <v>2911.7550000000006</v>
      </c>
      <c r="F30" s="29">
        <f>D30/4</f>
        <v>8735.2650000000012</v>
      </c>
      <c r="G30" s="29">
        <f>D30/2</f>
        <v>17470.530000000002</v>
      </c>
    </row>
    <row r="31" spans="2:7" x14ac:dyDescent="0.45">
      <c r="B31" s="27" t="s">
        <v>176</v>
      </c>
      <c r="C31" s="29">
        <v>6000</v>
      </c>
      <c r="D31" s="28">
        <f>D30/166.386</f>
        <v>210.00000000000003</v>
      </c>
      <c r="E31" s="29">
        <f>E30/166.386</f>
        <v>17.500000000000004</v>
      </c>
      <c r="F31" s="29">
        <f>F30/166.386</f>
        <v>52.500000000000007</v>
      </c>
      <c r="G31" s="28">
        <f>G30/166.386</f>
        <v>105.00000000000001</v>
      </c>
    </row>
    <row r="32" spans="2:7" x14ac:dyDescent="0.45">
      <c r="C32" s="30" t="s">
        <v>188</v>
      </c>
      <c r="D32" s="30">
        <v>105</v>
      </c>
      <c r="E32" s="30"/>
    </row>
    <row r="33" spans="2:7" x14ac:dyDescent="0.45">
      <c r="C33" s="30" t="s">
        <v>189</v>
      </c>
      <c r="D33" s="30">
        <v>105</v>
      </c>
      <c r="E33" s="30"/>
    </row>
    <row r="34" spans="2:7" x14ac:dyDescent="0.45">
      <c r="B34" s="41"/>
      <c r="C34" s="48" t="s">
        <v>190</v>
      </c>
      <c r="D34" s="49">
        <v>4087.5</v>
      </c>
      <c r="E34" s="48"/>
      <c r="F34" s="41"/>
      <c r="G34" s="41"/>
    </row>
    <row r="35" spans="2:7" x14ac:dyDescent="0.45">
      <c r="B35" s="47"/>
      <c r="C35" s="47" t="s">
        <v>150</v>
      </c>
      <c r="D35" s="47" t="s">
        <v>151</v>
      </c>
      <c r="E35" s="47" t="s">
        <v>152</v>
      </c>
      <c r="F35" s="47" t="s">
        <v>148</v>
      </c>
      <c r="G35" s="47" t="s">
        <v>149</v>
      </c>
    </row>
    <row r="36" spans="2:7" x14ac:dyDescent="0.45">
      <c r="B36" s="42" t="s">
        <v>175</v>
      </c>
      <c r="C36" s="43">
        <v>332772</v>
      </c>
      <c r="D36" s="44">
        <f>C36*3.5%</f>
        <v>11647.02</v>
      </c>
      <c r="E36" s="44">
        <f>D36/12</f>
        <v>970.58500000000004</v>
      </c>
      <c r="F36" s="44">
        <f>D36/4</f>
        <v>2911.7550000000001</v>
      </c>
      <c r="G36" s="44">
        <f>D36/2</f>
        <v>5823.51</v>
      </c>
    </row>
    <row r="37" spans="2:7" x14ac:dyDescent="0.45">
      <c r="B37" s="42" t="s">
        <v>176</v>
      </c>
      <c r="C37" s="44">
        <v>2000</v>
      </c>
      <c r="D37" s="43">
        <f>D36/166.386</f>
        <v>70</v>
      </c>
      <c r="E37" s="44">
        <f>E36/166.386</f>
        <v>5.8333333333333339</v>
      </c>
      <c r="F37" s="44">
        <f>F36/166.386</f>
        <v>17.5</v>
      </c>
      <c r="G37" s="43">
        <f>G36/166.386</f>
        <v>35</v>
      </c>
    </row>
    <row r="38" spans="2:7" x14ac:dyDescent="0.45">
      <c r="B38" s="45"/>
      <c r="C38" s="46" t="s">
        <v>191</v>
      </c>
      <c r="D38" s="46">
        <v>35</v>
      </c>
      <c r="E38" s="46"/>
      <c r="F38" s="45"/>
      <c r="G38" s="45"/>
    </row>
    <row r="39" spans="2:7" x14ac:dyDescent="0.45">
      <c r="C39" s="48" t="s">
        <v>192</v>
      </c>
      <c r="D39" s="51" t="s">
        <v>193</v>
      </c>
      <c r="E39" s="33" t="s">
        <v>194</v>
      </c>
    </row>
  </sheetData>
  <pageMargins left="0.70866141732283472" right="0.70866141732283472" top="0.75196850393700787" bottom="0.75196850393700787" header="0.31102362204724415" footer="0.31102362204724415"/>
  <pageSetup paperSize="9" scale="83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Retrospectiva Creditos</vt:lpstr>
      <vt:lpstr>Liquidez Angel Luis</vt:lpstr>
      <vt:lpstr>Prestamos</vt:lpstr>
      <vt:lpstr>Rentabilidad PISOS y PEx 2022</vt:lpstr>
      <vt:lpstr>Pagos Extras 2021</vt:lpstr>
      <vt:lpstr>Pagos Extras 2020</vt:lpstr>
      <vt:lpstr>Año 2008 y 2019</vt:lpstr>
      <vt:lpstr>Año 2000 al 2011</vt:lpstr>
      <vt:lpstr>Año 2009</vt:lpstr>
      <vt:lpstr>Cuadro de Amortización</vt:lpstr>
      <vt:lpstr>Intereses de mi Padre (3)</vt:lpstr>
      <vt:lpstr>Intereses de mi Padre (2)</vt:lpstr>
      <vt:lpstr>Intereses de mi Padre</vt:lpstr>
      <vt:lpstr>'Intereses de mi Padre'!Área_de_impresión</vt:lpstr>
    </vt:vector>
  </TitlesOfParts>
  <Manager/>
  <Company>MicroShop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Luis Almaraz Gonzalez</dc:creator>
  <cp:keywords/>
  <dc:description/>
  <cp:lastModifiedBy>Angel Luis Almaraz González</cp:lastModifiedBy>
  <cp:revision/>
  <dcterms:created xsi:type="dcterms:W3CDTF">2010-09-16T10:10:07Z</dcterms:created>
  <dcterms:modified xsi:type="dcterms:W3CDTF">2026-05-04T19:56:45Z</dcterms:modified>
  <cp:category/>
  <cp:contentStatus/>
</cp:coreProperties>
</file>