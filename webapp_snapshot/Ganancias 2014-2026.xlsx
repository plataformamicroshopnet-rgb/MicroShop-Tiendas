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comments12.xml" ContentType="application/vnd.openxmlformats-officedocument.spreadsheetml.comments+xml"/>
  <Override PartName="/xl/comments13.xml" ContentType="application/vnd.openxmlformats-officedocument.spreadsheetml.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 showInkAnnotation="0"/>
  <mc:AlternateContent xmlns:mc="http://schemas.openxmlformats.org/markup-compatibility/2006">
    <mc:Choice Requires="x15">
      <x15ac:absPath xmlns:x15ac="http://schemas.microsoft.com/office/spreadsheetml/2010/11/ac" url="https://d.docs.live.net/d3876d4a7c9bd529/Desktop/"/>
    </mc:Choice>
  </mc:AlternateContent>
  <xr:revisionPtr revIDLastSave="2622" documentId="13_ncr:1_{CBE17AF9-B8AE-4C47-8F8E-4FD1D27259E7}" xr6:coauthVersionLast="47" xr6:coauthVersionMax="47" xr10:uidLastSave="{7AC87B94-F599-4E86-9244-E66A3E46993B}"/>
  <bookViews>
    <workbookView xWindow="-98" yWindow="-98" windowWidth="21795" windowHeight="13695" tabRatio="695" xr2:uid="{00000000-000D-0000-FFFF-FFFF00000000}"/>
  </bookViews>
  <sheets>
    <sheet name="2026" sheetId="21" r:id="rId1"/>
    <sheet name="2025" sheetId="22" r:id="rId2"/>
    <sheet name="2024" sheetId="20" r:id="rId3"/>
    <sheet name="2023" sheetId="19" r:id="rId4"/>
    <sheet name="2022" sheetId="18" r:id="rId5"/>
    <sheet name="2021" sheetId="13" r:id="rId6"/>
    <sheet name="2020" sheetId="12" r:id="rId7"/>
    <sheet name="2019" sheetId="11" r:id="rId8"/>
    <sheet name="2018" sheetId="9" r:id="rId9"/>
    <sheet name="2017" sheetId="8" r:id="rId10"/>
    <sheet name="2016" sheetId="3" r:id="rId11"/>
    <sheet name="2015" sheetId="4" r:id="rId12"/>
    <sheet name="2014" sheetId="14" r:id="rId13"/>
    <sheet name="2013" sheetId="16" r:id="rId14"/>
    <sheet name="2012" sheetId="17" r:id="rId15"/>
  </sheets>
  <calcPr calcId="191028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M23" i="21" l="1"/>
  <c r="L23" i="21"/>
  <c r="K23" i="21"/>
  <c r="J23" i="21"/>
  <c r="I23" i="21"/>
  <c r="H23" i="21"/>
  <c r="G23" i="21"/>
  <c r="F23" i="21"/>
  <c r="M22" i="21"/>
  <c r="L22" i="21"/>
  <c r="K22" i="21"/>
  <c r="J22" i="21"/>
  <c r="I22" i="21"/>
  <c r="H22" i="21"/>
  <c r="G22" i="21"/>
  <c r="F22" i="21"/>
  <c r="N14" i="22"/>
  <c r="O14" i="22" s="1"/>
  <c r="B23" i="21"/>
  <c r="B22" i="21"/>
  <c r="N18" i="21"/>
  <c r="O18" i="21" s="1"/>
  <c r="P18" i="21" s="1"/>
  <c r="N43" i="22"/>
  <c r="N42" i="22"/>
  <c r="N40" i="22"/>
  <c r="N39" i="22"/>
  <c r="N37" i="22"/>
  <c r="N36" i="22"/>
  <c r="N34" i="22"/>
  <c r="N33" i="22"/>
  <c r="N31" i="22"/>
  <c r="N30" i="22"/>
  <c r="N28" i="22"/>
  <c r="N26" i="22"/>
  <c r="N25" i="22"/>
  <c r="G22" i="22"/>
  <c r="F22" i="22"/>
  <c r="E22" i="22"/>
  <c r="D22" i="22"/>
  <c r="C22" i="22"/>
  <c r="B22" i="22"/>
  <c r="M19" i="22"/>
  <c r="L19" i="22"/>
  <c r="F19" i="22"/>
  <c r="E19" i="22"/>
  <c r="C19" i="22"/>
  <c r="N18" i="22"/>
  <c r="O18" i="22" s="1"/>
  <c r="P18" i="22" s="1"/>
  <c r="N17" i="22"/>
  <c r="O17" i="22" s="1"/>
  <c r="N16" i="22"/>
  <c r="O16" i="22" s="1"/>
  <c r="N15" i="22"/>
  <c r="O15" i="22" s="1"/>
  <c r="V13" i="22"/>
  <c r="M13" i="22"/>
  <c r="M4" i="22" s="1"/>
  <c r="L13" i="22"/>
  <c r="L4" i="22" s="1"/>
  <c r="K13" i="22"/>
  <c r="K23" i="22" s="1"/>
  <c r="J13" i="22"/>
  <c r="J23" i="22" s="1"/>
  <c r="I13" i="22"/>
  <c r="I23" i="22" s="1"/>
  <c r="H13" i="22"/>
  <c r="H22" i="22" s="1"/>
  <c r="G13" i="22"/>
  <c r="G23" i="22" s="1"/>
  <c r="F13" i="22"/>
  <c r="F23" i="22" s="1"/>
  <c r="E13" i="22"/>
  <c r="E23" i="22" s="1"/>
  <c r="D13" i="22"/>
  <c r="D19" i="22" s="1"/>
  <c r="C13" i="22"/>
  <c r="C23" i="22" s="1"/>
  <c r="B13" i="22"/>
  <c r="B19" i="22" s="1"/>
  <c r="M11" i="22"/>
  <c r="M20" i="22" s="1"/>
  <c r="J11" i="22"/>
  <c r="I11" i="22"/>
  <c r="H11" i="22"/>
  <c r="G11" i="22"/>
  <c r="F11" i="22"/>
  <c r="F20" i="22" s="1"/>
  <c r="V10" i="22"/>
  <c r="N10" i="22"/>
  <c r="O10" i="22" s="1"/>
  <c r="N9" i="22"/>
  <c r="O9" i="22" s="1"/>
  <c r="N8" i="22"/>
  <c r="O8" i="22" s="1"/>
  <c r="N7" i="22"/>
  <c r="O7" i="22" s="1"/>
  <c r="O6" i="22"/>
  <c r="P6" i="22" s="1"/>
  <c r="N6" i="22"/>
  <c r="M5" i="22"/>
  <c r="L5" i="22"/>
  <c r="L11" i="22" s="1"/>
  <c r="L20" i="22" s="1"/>
  <c r="K5" i="22"/>
  <c r="K11" i="22" s="1"/>
  <c r="J5" i="22"/>
  <c r="I5" i="22"/>
  <c r="H5" i="22"/>
  <c r="G5" i="22"/>
  <c r="G4" i="22" s="1"/>
  <c r="F5" i="22"/>
  <c r="F4" i="22" s="1"/>
  <c r="E5" i="22"/>
  <c r="E4" i="22" s="1"/>
  <c r="D5" i="22"/>
  <c r="D4" i="22" s="1"/>
  <c r="C5" i="22"/>
  <c r="C11" i="22" s="1"/>
  <c r="C20" i="22" s="1"/>
  <c r="B5" i="22"/>
  <c r="B11" i="22" s="1"/>
  <c r="M3" i="22"/>
  <c r="L3" i="22"/>
  <c r="K3" i="22"/>
  <c r="J3" i="22"/>
  <c r="I3" i="22"/>
  <c r="H3" i="22"/>
  <c r="G3" i="22"/>
  <c r="F3" i="22"/>
  <c r="E3" i="22"/>
  <c r="D3" i="22"/>
  <c r="C3" i="22"/>
  <c r="B3" i="22"/>
  <c r="N2" i="22"/>
  <c r="O2" i="22" s="1"/>
  <c r="N15" i="21"/>
  <c r="O15" i="21" s="1"/>
  <c r="N3" i="22" l="1"/>
  <c r="O3" i="22" s="1"/>
  <c r="P14" i="22"/>
  <c r="B20" i="22"/>
  <c r="P9" i="22"/>
  <c r="L23" i="22"/>
  <c r="M23" i="22"/>
  <c r="B4" i="22"/>
  <c r="I22" i="22"/>
  <c r="J4" i="22"/>
  <c r="J22" i="22"/>
  <c r="K4" i="22"/>
  <c r="G19" i="22"/>
  <c r="G20" i="22" s="1"/>
  <c r="K22" i="22"/>
  <c r="L22" i="22"/>
  <c r="M22" i="22"/>
  <c r="N5" i="22"/>
  <c r="H19" i="22"/>
  <c r="H20" i="22" s="1"/>
  <c r="D11" i="22"/>
  <c r="D20" i="22" s="1"/>
  <c r="J19" i="22"/>
  <c r="J20" i="22" s="1"/>
  <c r="C4" i="22"/>
  <c r="I4" i="22"/>
  <c r="I19" i="22"/>
  <c r="I20" i="22" s="1"/>
  <c r="E11" i="22"/>
  <c r="E20" i="22" s="1"/>
  <c r="K19" i="22"/>
  <c r="K20" i="22" s="1"/>
  <c r="B23" i="22"/>
  <c r="D23" i="22"/>
  <c r="H23" i="22"/>
  <c r="N13" i="22"/>
  <c r="H4" i="22"/>
  <c r="N29" i="21"/>
  <c r="N28" i="21"/>
  <c r="N22" i="22" l="1"/>
  <c r="O13" i="22"/>
  <c r="P13" i="22" s="1"/>
  <c r="N19" i="22"/>
  <c r="O19" i="22" s="1"/>
  <c r="N23" i="22"/>
  <c r="N4" i="22"/>
  <c r="O4" i="22" s="1"/>
  <c r="N11" i="22"/>
  <c r="O5" i="22"/>
  <c r="P5" i="22" s="1"/>
  <c r="O27" i="20"/>
  <c r="O26" i="20"/>
  <c r="O25" i="20"/>
  <c r="O24" i="20"/>
  <c r="O23" i="20"/>
  <c r="O22" i="20"/>
  <c r="O21" i="20"/>
  <c r="O20" i="20"/>
  <c r="O19" i="20"/>
  <c r="O18" i="20"/>
  <c r="O17" i="20"/>
  <c r="O16" i="20"/>
  <c r="O14" i="20"/>
  <c r="O13" i="20"/>
  <c r="O12" i="20"/>
  <c r="O11" i="20"/>
  <c r="O10" i="20"/>
  <c r="O9" i="20"/>
  <c r="O8" i="20"/>
  <c r="O7" i="20"/>
  <c r="O6" i="20"/>
  <c r="O4" i="20"/>
  <c r="O5" i="20"/>
  <c r="V13" i="21"/>
  <c r="V10" i="21"/>
  <c r="N46" i="21"/>
  <c r="N45" i="21"/>
  <c r="N43" i="21"/>
  <c r="N42" i="21"/>
  <c r="N40" i="21"/>
  <c r="N39" i="21"/>
  <c r="N37" i="21"/>
  <c r="N36" i="21"/>
  <c r="N34" i="21"/>
  <c r="N33" i="21"/>
  <c r="N31" i="21"/>
  <c r="N17" i="21"/>
  <c r="O17" i="21" s="1"/>
  <c r="N16" i="21"/>
  <c r="O16" i="21" s="1"/>
  <c r="N14" i="21"/>
  <c r="O14" i="21" s="1"/>
  <c r="M13" i="21"/>
  <c r="L13" i="21"/>
  <c r="K13" i="21"/>
  <c r="J13" i="21"/>
  <c r="I13" i="21"/>
  <c r="H13" i="21"/>
  <c r="H19" i="21" s="1"/>
  <c r="G13" i="21"/>
  <c r="G19" i="21" s="1"/>
  <c r="F13" i="21"/>
  <c r="F19" i="21" s="1"/>
  <c r="E13" i="21"/>
  <c r="D13" i="21"/>
  <c r="C13" i="21"/>
  <c r="B13" i="21"/>
  <c r="B19" i="21" s="1"/>
  <c r="N10" i="21"/>
  <c r="O10" i="21" s="1"/>
  <c r="N9" i="21"/>
  <c r="O9" i="21" s="1"/>
  <c r="N8" i="21"/>
  <c r="O8" i="21" s="1"/>
  <c r="N7" i="21"/>
  <c r="O7" i="21" s="1"/>
  <c r="N6" i="21"/>
  <c r="O6" i="21" s="1"/>
  <c r="M5" i="21"/>
  <c r="M11" i="21" s="1"/>
  <c r="L5" i="21"/>
  <c r="L11" i="21" s="1"/>
  <c r="K5" i="21"/>
  <c r="K11" i="21" s="1"/>
  <c r="J5" i="21"/>
  <c r="J11" i="21" s="1"/>
  <c r="I5" i="21"/>
  <c r="I11" i="21" s="1"/>
  <c r="H5" i="21"/>
  <c r="H11" i="21" s="1"/>
  <c r="G5" i="21"/>
  <c r="G11" i="21" s="1"/>
  <c r="F5" i="21"/>
  <c r="F11" i="21" s="1"/>
  <c r="E5" i="21"/>
  <c r="E11" i="21" s="1"/>
  <c r="D5" i="21"/>
  <c r="D11" i="21" s="1"/>
  <c r="C5" i="21"/>
  <c r="C11" i="21" s="1"/>
  <c r="B5" i="21"/>
  <c r="B11" i="21" s="1"/>
  <c r="M3" i="21"/>
  <c r="L3" i="21"/>
  <c r="K3" i="21"/>
  <c r="J3" i="21"/>
  <c r="I3" i="21"/>
  <c r="H3" i="21"/>
  <c r="G3" i="21"/>
  <c r="F3" i="21"/>
  <c r="E3" i="21"/>
  <c r="D3" i="21"/>
  <c r="C3" i="21"/>
  <c r="B3" i="21"/>
  <c r="N2" i="21"/>
  <c r="O2" i="21" s="1"/>
  <c r="J5" i="20"/>
  <c r="N8" i="20"/>
  <c r="D16" i="20"/>
  <c r="D30" i="20" s="1"/>
  <c r="C16" i="20"/>
  <c r="C29" i="20" s="1"/>
  <c r="B16" i="20"/>
  <c r="B29" i="20" s="1"/>
  <c r="M16" i="20"/>
  <c r="M29" i="20" s="1"/>
  <c r="L16" i="20"/>
  <c r="L29" i="20" s="1"/>
  <c r="K16" i="20"/>
  <c r="K29" i="20" s="1"/>
  <c r="J16" i="20"/>
  <c r="J29" i="20" s="1"/>
  <c r="I16" i="20"/>
  <c r="I29" i="20" s="1"/>
  <c r="H16" i="20"/>
  <c r="H29" i="20" s="1"/>
  <c r="G16" i="20"/>
  <c r="G30" i="20" s="1"/>
  <c r="F16" i="20"/>
  <c r="F30" i="20" s="1"/>
  <c r="E16" i="20"/>
  <c r="E29" i="20" s="1"/>
  <c r="O26" i="19"/>
  <c r="O22" i="19"/>
  <c r="O19" i="19"/>
  <c r="O18" i="19"/>
  <c r="O13" i="19"/>
  <c r="O11" i="19"/>
  <c r="O9" i="19"/>
  <c r="O3" i="19"/>
  <c r="O2" i="19"/>
  <c r="N47" i="20"/>
  <c r="N46" i="20"/>
  <c r="N44" i="20"/>
  <c r="N43" i="20"/>
  <c r="N41" i="20"/>
  <c r="N40" i="20"/>
  <c r="N38" i="20"/>
  <c r="N37" i="20"/>
  <c r="N35" i="20"/>
  <c r="N34" i="20"/>
  <c r="N23" i="20"/>
  <c r="N22" i="20"/>
  <c r="M21" i="20"/>
  <c r="M25" i="20" s="1"/>
  <c r="L21" i="20"/>
  <c r="L25" i="20" s="1"/>
  <c r="K21" i="20"/>
  <c r="K25" i="20" s="1"/>
  <c r="J21" i="20"/>
  <c r="J25" i="20" s="1"/>
  <c r="I21" i="20"/>
  <c r="I25" i="20" s="1"/>
  <c r="H21" i="20"/>
  <c r="H25" i="20" s="1"/>
  <c r="G21" i="20"/>
  <c r="G25" i="20" s="1"/>
  <c r="F21" i="20"/>
  <c r="F25" i="20" s="1"/>
  <c r="E21" i="20"/>
  <c r="E25" i="20" s="1"/>
  <c r="D21" i="20"/>
  <c r="D25" i="20" s="1"/>
  <c r="C21" i="20"/>
  <c r="C25" i="20" s="1"/>
  <c r="B21" i="20"/>
  <c r="N19" i="20"/>
  <c r="N18" i="20"/>
  <c r="N20" i="20"/>
  <c r="N17" i="20"/>
  <c r="M13" i="20"/>
  <c r="L13" i="20"/>
  <c r="K13" i="20"/>
  <c r="J13" i="20"/>
  <c r="I13" i="20"/>
  <c r="H13" i="20"/>
  <c r="G13" i="20"/>
  <c r="F13" i="20"/>
  <c r="E13" i="20"/>
  <c r="D13" i="20"/>
  <c r="C13" i="20"/>
  <c r="B13" i="20"/>
  <c r="N11" i="20"/>
  <c r="N10" i="20"/>
  <c r="N9" i="20"/>
  <c r="N7" i="20"/>
  <c r="N6" i="20"/>
  <c r="M5" i="20"/>
  <c r="M12" i="20" s="1"/>
  <c r="L5" i="20"/>
  <c r="L12" i="20" s="1"/>
  <c r="K5" i="20"/>
  <c r="K12" i="20" s="1"/>
  <c r="I5" i="20"/>
  <c r="I12" i="20" s="1"/>
  <c r="H5" i="20"/>
  <c r="H12" i="20" s="1"/>
  <c r="G5" i="20"/>
  <c r="G12" i="20" s="1"/>
  <c r="F5" i="20"/>
  <c r="F12" i="20" s="1"/>
  <c r="E5" i="20"/>
  <c r="E12" i="20" s="1"/>
  <c r="D5" i="20"/>
  <c r="D12" i="20" s="1"/>
  <c r="C5" i="20"/>
  <c r="C12" i="20" s="1"/>
  <c r="B5" i="20"/>
  <c r="M3" i="20"/>
  <c r="L3" i="20"/>
  <c r="K3" i="20"/>
  <c r="J3" i="20"/>
  <c r="I3" i="20"/>
  <c r="H3" i="20"/>
  <c r="G3" i="20"/>
  <c r="F3" i="20"/>
  <c r="E3" i="20"/>
  <c r="D3" i="20"/>
  <c r="C3" i="20"/>
  <c r="B3" i="20"/>
  <c r="N2" i="20"/>
  <c r="O2" i="20" s="1"/>
  <c r="M3" i="19"/>
  <c r="M3" i="18"/>
  <c r="L3" i="18"/>
  <c r="K3" i="18"/>
  <c r="J3" i="18"/>
  <c r="I3" i="18"/>
  <c r="H3" i="18"/>
  <c r="G3" i="18"/>
  <c r="F3" i="18"/>
  <c r="E3" i="18"/>
  <c r="D3" i="18"/>
  <c r="C3" i="18"/>
  <c r="B3" i="18"/>
  <c r="N3" i="18" s="1"/>
  <c r="O3" i="18" s="1"/>
  <c r="L3" i="19"/>
  <c r="K3" i="19"/>
  <c r="J3" i="19"/>
  <c r="I3" i="19"/>
  <c r="H3" i="19"/>
  <c r="G3" i="19"/>
  <c r="F3" i="19"/>
  <c r="E3" i="19"/>
  <c r="D3" i="19"/>
  <c r="C3" i="19"/>
  <c r="B3" i="19"/>
  <c r="N2" i="19"/>
  <c r="N8" i="19"/>
  <c r="O8" i="19" s="1"/>
  <c r="N33" i="19"/>
  <c r="N32" i="19"/>
  <c r="B22" i="19"/>
  <c r="B26" i="19" s="1"/>
  <c r="C22" i="19"/>
  <c r="C26" i="19" s="1"/>
  <c r="D22" i="19"/>
  <c r="D26" i="19" s="1"/>
  <c r="E22" i="19"/>
  <c r="E26" i="19" s="1"/>
  <c r="F22" i="19"/>
  <c r="G22" i="19"/>
  <c r="G26" i="19" s="1"/>
  <c r="H22" i="19"/>
  <c r="H26" i="19" s="1"/>
  <c r="I22" i="19"/>
  <c r="I26" i="19" s="1"/>
  <c r="J22" i="19"/>
  <c r="J26" i="19" s="1"/>
  <c r="K22" i="19"/>
  <c r="K26" i="19" s="1"/>
  <c r="L22" i="19"/>
  <c r="L26" i="19" s="1"/>
  <c r="M22" i="19"/>
  <c r="M26" i="19" s="1"/>
  <c r="N45" i="19"/>
  <c r="N44" i="19"/>
  <c r="N42" i="19"/>
  <c r="N41" i="19"/>
  <c r="N39" i="19"/>
  <c r="N38" i="19"/>
  <c r="N36" i="19"/>
  <c r="N35" i="19"/>
  <c r="N24" i="19"/>
  <c r="O24" i="19" s="1"/>
  <c r="N23" i="19"/>
  <c r="O23" i="19" s="1"/>
  <c r="N21" i="19"/>
  <c r="O21" i="19" s="1"/>
  <c r="N20" i="19"/>
  <c r="O20" i="19" s="1"/>
  <c r="N19" i="19"/>
  <c r="N18" i="19"/>
  <c r="N17" i="19"/>
  <c r="O17" i="19" s="1"/>
  <c r="M16" i="19"/>
  <c r="M30" i="19" s="1"/>
  <c r="L16" i="19"/>
  <c r="L30" i="19" s="1"/>
  <c r="K16" i="19"/>
  <c r="K30" i="19" s="1"/>
  <c r="J16" i="19"/>
  <c r="J30" i="19" s="1"/>
  <c r="I16" i="19"/>
  <c r="I30" i="19" s="1"/>
  <c r="H16" i="19"/>
  <c r="H30" i="19" s="1"/>
  <c r="G16" i="19"/>
  <c r="G30" i="19" s="1"/>
  <c r="F16" i="19"/>
  <c r="F30" i="19" s="1"/>
  <c r="E16" i="19"/>
  <c r="E30" i="19" s="1"/>
  <c r="D16" i="19"/>
  <c r="C16" i="19"/>
  <c r="C30" i="19" s="1"/>
  <c r="B16" i="19"/>
  <c r="M13" i="19"/>
  <c r="L13" i="19"/>
  <c r="K13" i="19"/>
  <c r="J13" i="19"/>
  <c r="I13" i="19"/>
  <c r="H13" i="19"/>
  <c r="G13" i="19"/>
  <c r="F13" i="19"/>
  <c r="E13" i="19"/>
  <c r="D13" i="19"/>
  <c r="C13" i="19"/>
  <c r="B13" i="19"/>
  <c r="N11" i="19"/>
  <c r="N10" i="19"/>
  <c r="O10" i="19" s="1"/>
  <c r="N9" i="19"/>
  <c r="N7" i="19"/>
  <c r="O7" i="19" s="1"/>
  <c r="N6" i="19"/>
  <c r="O6" i="19" s="1"/>
  <c r="M5" i="19"/>
  <c r="M12" i="19" s="1"/>
  <c r="L5" i="19"/>
  <c r="L12" i="19" s="1"/>
  <c r="K5" i="19"/>
  <c r="K12" i="19" s="1"/>
  <c r="J5" i="19"/>
  <c r="J12" i="19" s="1"/>
  <c r="I5" i="19"/>
  <c r="I12" i="19" s="1"/>
  <c r="H5" i="19"/>
  <c r="H12" i="19" s="1"/>
  <c r="G5" i="19"/>
  <c r="G12" i="19" s="1"/>
  <c r="F5" i="19"/>
  <c r="F12" i="19" s="1"/>
  <c r="E5" i="19"/>
  <c r="E12" i="19" s="1"/>
  <c r="D5" i="19"/>
  <c r="D12" i="19" s="1"/>
  <c r="C5" i="19"/>
  <c r="C12" i="19" s="1"/>
  <c r="B5" i="19"/>
  <c r="C12" i="18"/>
  <c r="D12" i="18"/>
  <c r="E12" i="18"/>
  <c r="F12" i="18"/>
  <c r="G12" i="18"/>
  <c r="H12" i="18"/>
  <c r="I12" i="18"/>
  <c r="J12" i="18"/>
  <c r="K12" i="18"/>
  <c r="L12" i="18"/>
  <c r="M12" i="18"/>
  <c r="M21" i="18"/>
  <c r="M25" i="18" s="1"/>
  <c r="L21" i="18"/>
  <c r="L25" i="18" s="1"/>
  <c r="K21" i="18"/>
  <c r="K25" i="18" s="1"/>
  <c r="J21" i="18"/>
  <c r="J25" i="18" s="1"/>
  <c r="I21" i="18"/>
  <c r="I25" i="18" s="1"/>
  <c r="H21" i="18"/>
  <c r="H25" i="18" s="1"/>
  <c r="G21" i="18"/>
  <c r="G25" i="18" s="1"/>
  <c r="F21" i="18"/>
  <c r="F25" i="18" s="1"/>
  <c r="E21" i="18"/>
  <c r="E25" i="18" s="1"/>
  <c r="D21" i="18"/>
  <c r="D25" i="18" s="1"/>
  <c r="C21" i="18"/>
  <c r="C25" i="18" s="1"/>
  <c r="B21" i="18"/>
  <c r="P27" i="13"/>
  <c r="P22" i="13"/>
  <c r="P18" i="13"/>
  <c r="P17" i="13"/>
  <c r="P12" i="13"/>
  <c r="P7" i="13"/>
  <c r="P4" i="13"/>
  <c r="N33" i="18"/>
  <c r="N32" i="18"/>
  <c r="N42" i="18"/>
  <c r="N41" i="18"/>
  <c r="N39" i="18"/>
  <c r="N38" i="18"/>
  <c r="N36" i="18"/>
  <c r="N35" i="18"/>
  <c r="N23" i="18"/>
  <c r="O23" i="18" s="1"/>
  <c r="N22" i="18"/>
  <c r="O22" i="18" s="1"/>
  <c r="N20" i="18"/>
  <c r="O20" i="18" s="1"/>
  <c r="N19" i="18"/>
  <c r="O19" i="18" s="1"/>
  <c r="N18" i="18"/>
  <c r="O18" i="18" s="1"/>
  <c r="N17" i="18"/>
  <c r="O17" i="18" s="1"/>
  <c r="N16" i="18"/>
  <c r="O16" i="18" s="1"/>
  <c r="M15" i="18"/>
  <c r="M30" i="18" s="1"/>
  <c r="L15" i="18"/>
  <c r="L30" i="18" s="1"/>
  <c r="K15" i="18"/>
  <c r="K30" i="18" s="1"/>
  <c r="J15" i="18"/>
  <c r="J30" i="18" s="1"/>
  <c r="I15" i="18"/>
  <c r="I30" i="18" s="1"/>
  <c r="H15" i="18"/>
  <c r="H29" i="18" s="1"/>
  <c r="G15" i="18"/>
  <c r="G30" i="18" s="1"/>
  <c r="F15" i="18"/>
  <c r="E15" i="18"/>
  <c r="E29" i="18" s="1"/>
  <c r="D15" i="18"/>
  <c r="D29" i="18" s="1"/>
  <c r="C15" i="18"/>
  <c r="C30" i="18" s="1"/>
  <c r="B15" i="18"/>
  <c r="B29" i="18" s="1"/>
  <c r="B12" i="18"/>
  <c r="N10" i="18"/>
  <c r="O10" i="18" s="1"/>
  <c r="N9" i="18"/>
  <c r="O9" i="18" s="1"/>
  <c r="N8" i="18"/>
  <c r="O8" i="18" s="1"/>
  <c r="N7" i="18"/>
  <c r="O7" i="18" s="1"/>
  <c r="N6" i="18"/>
  <c r="O6" i="18" s="1"/>
  <c r="N5" i="18"/>
  <c r="O5" i="18" s="1"/>
  <c r="M4" i="18"/>
  <c r="M11" i="18" s="1"/>
  <c r="L4" i="18"/>
  <c r="L11" i="18" s="1"/>
  <c r="K4" i="18"/>
  <c r="K11" i="18" s="1"/>
  <c r="J4" i="18"/>
  <c r="J11" i="18" s="1"/>
  <c r="J13" i="18" s="1"/>
  <c r="I4" i="18"/>
  <c r="I11" i="18" s="1"/>
  <c r="I13" i="18" s="1"/>
  <c r="H4" i="18"/>
  <c r="H11" i="18" s="1"/>
  <c r="H13" i="18" s="1"/>
  <c r="G4" i="18"/>
  <c r="G11" i="18" s="1"/>
  <c r="F4" i="18"/>
  <c r="F11" i="18" s="1"/>
  <c r="E4" i="18"/>
  <c r="E11" i="18" s="1"/>
  <c r="D4" i="18"/>
  <c r="D11" i="18" s="1"/>
  <c r="C4" i="18"/>
  <c r="C11" i="18" s="1"/>
  <c r="B4" i="18"/>
  <c r="B11" i="18" s="1"/>
  <c r="B13" i="18" s="1"/>
  <c r="C32" i="8"/>
  <c r="C31" i="13"/>
  <c r="G22" i="13"/>
  <c r="C32" i="13"/>
  <c r="J27" i="17"/>
  <c r="F27" i="17"/>
  <c r="E27" i="17"/>
  <c r="O24" i="17"/>
  <c r="P24" i="17" s="1"/>
  <c r="O23" i="17"/>
  <c r="P23" i="17" s="1"/>
  <c r="N22" i="17"/>
  <c r="N27" i="17" s="1"/>
  <c r="M22" i="17"/>
  <c r="M27" i="17" s="1"/>
  <c r="L22" i="17"/>
  <c r="L27" i="17" s="1"/>
  <c r="K22" i="17"/>
  <c r="K27" i="17" s="1"/>
  <c r="J22" i="17"/>
  <c r="I22" i="17"/>
  <c r="I27" i="17" s="1"/>
  <c r="H22" i="17"/>
  <c r="H27" i="17" s="1"/>
  <c r="G22" i="17"/>
  <c r="G27" i="17" s="1"/>
  <c r="F22" i="17"/>
  <c r="E22" i="17"/>
  <c r="D22" i="17"/>
  <c r="D27" i="17" s="1"/>
  <c r="C22" i="17"/>
  <c r="N21" i="17"/>
  <c r="N26" i="17" s="1"/>
  <c r="M21" i="17"/>
  <c r="M26" i="17" s="1"/>
  <c r="L21" i="17"/>
  <c r="L26" i="17" s="1"/>
  <c r="K21" i="17"/>
  <c r="K26" i="17" s="1"/>
  <c r="J21" i="17"/>
  <c r="J26" i="17" s="1"/>
  <c r="I21" i="17"/>
  <c r="I26" i="17" s="1"/>
  <c r="H21" i="17"/>
  <c r="H26" i="17" s="1"/>
  <c r="G21" i="17"/>
  <c r="G26" i="17" s="1"/>
  <c r="F21" i="17"/>
  <c r="F26" i="17" s="1"/>
  <c r="E21" i="17"/>
  <c r="E26" i="17" s="1"/>
  <c r="D21" i="17"/>
  <c r="D26" i="17" s="1"/>
  <c r="C21" i="17"/>
  <c r="C26" i="17" s="1"/>
  <c r="O20" i="17"/>
  <c r="P20" i="17" s="1"/>
  <c r="O19" i="17"/>
  <c r="P19" i="17" s="1"/>
  <c r="P18" i="17"/>
  <c r="O18" i="17"/>
  <c r="O17" i="17"/>
  <c r="P17" i="17" s="1"/>
  <c r="O16" i="17"/>
  <c r="P16" i="17" s="1"/>
  <c r="N15" i="17"/>
  <c r="M15" i="17"/>
  <c r="L15" i="17"/>
  <c r="K15" i="17"/>
  <c r="J15" i="17"/>
  <c r="I15" i="17"/>
  <c r="H15" i="17"/>
  <c r="H25" i="17" s="1"/>
  <c r="G15" i="17"/>
  <c r="G25" i="17" s="1"/>
  <c r="G28" i="17" s="1"/>
  <c r="F15" i="17"/>
  <c r="F25" i="17" s="1"/>
  <c r="F28" i="17" s="1"/>
  <c r="E15" i="17"/>
  <c r="D15" i="17"/>
  <c r="C15" i="17"/>
  <c r="N12" i="17"/>
  <c r="M12" i="17"/>
  <c r="L12" i="17"/>
  <c r="K12" i="17"/>
  <c r="J12" i="17"/>
  <c r="I12" i="17"/>
  <c r="H12" i="17"/>
  <c r="G12" i="17"/>
  <c r="F12" i="17"/>
  <c r="E12" i="17"/>
  <c r="D12" i="17"/>
  <c r="C12" i="17"/>
  <c r="N11" i="17"/>
  <c r="M11" i="17"/>
  <c r="L11" i="17"/>
  <c r="K11" i="17"/>
  <c r="J11" i="17"/>
  <c r="I11" i="17"/>
  <c r="H11" i="17"/>
  <c r="G11" i="17"/>
  <c r="F11" i="17"/>
  <c r="E11" i="17"/>
  <c r="D11" i="17"/>
  <c r="C11" i="17"/>
  <c r="F10" i="17"/>
  <c r="O9" i="17"/>
  <c r="P9" i="17" s="1"/>
  <c r="O8" i="17"/>
  <c r="P8" i="17" s="1"/>
  <c r="O7" i="17"/>
  <c r="P7" i="17" s="1"/>
  <c r="O6" i="17"/>
  <c r="P6" i="17" s="1"/>
  <c r="Q6" i="17" s="1"/>
  <c r="P5" i="17"/>
  <c r="O5" i="17"/>
  <c r="P4" i="17"/>
  <c r="O4" i="17"/>
  <c r="O3" i="17"/>
  <c r="P3" i="17" s="1"/>
  <c r="N2" i="17"/>
  <c r="N10" i="17" s="1"/>
  <c r="N13" i="17" s="1"/>
  <c r="M2" i="17"/>
  <c r="M10" i="17" s="1"/>
  <c r="L2" i="17"/>
  <c r="L10" i="17" s="1"/>
  <c r="L13" i="17" s="1"/>
  <c r="K2" i="17"/>
  <c r="K10" i="17" s="1"/>
  <c r="K13" i="17" s="1"/>
  <c r="J2" i="17"/>
  <c r="J10" i="17" s="1"/>
  <c r="J13" i="17" s="1"/>
  <c r="I2" i="17"/>
  <c r="I10" i="17" s="1"/>
  <c r="I13" i="17" s="1"/>
  <c r="H2" i="17"/>
  <c r="H10" i="17" s="1"/>
  <c r="H13" i="17" s="1"/>
  <c r="G2" i="17"/>
  <c r="G10" i="17" s="1"/>
  <c r="G13" i="17" s="1"/>
  <c r="F2" i="17"/>
  <c r="E2" i="17"/>
  <c r="E10" i="17" s="1"/>
  <c r="E13" i="17" s="1"/>
  <c r="D2" i="17"/>
  <c r="D10" i="17" s="1"/>
  <c r="D13" i="17" s="1"/>
  <c r="C2" i="17"/>
  <c r="C10" i="17" s="1"/>
  <c r="C13" i="17" s="1"/>
  <c r="O24" i="16"/>
  <c r="P24" i="16" s="1"/>
  <c r="O23" i="16"/>
  <c r="P23" i="16" s="1"/>
  <c r="N22" i="16"/>
  <c r="N27" i="16" s="1"/>
  <c r="M22" i="16"/>
  <c r="M27" i="16" s="1"/>
  <c r="L22" i="16"/>
  <c r="L27" i="16" s="1"/>
  <c r="K22" i="16"/>
  <c r="K27" i="16" s="1"/>
  <c r="J22" i="16"/>
  <c r="J27" i="16" s="1"/>
  <c r="I22" i="16"/>
  <c r="I27" i="16" s="1"/>
  <c r="H22" i="16"/>
  <c r="H27" i="16" s="1"/>
  <c r="G22" i="16"/>
  <c r="G27" i="16" s="1"/>
  <c r="F22" i="16"/>
  <c r="F27" i="16" s="1"/>
  <c r="E22" i="16"/>
  <c r="E27" i="16" s="1"/>
  <c r="D22" i="16"/>
  <c r="D27" i="16" s="1"/>
  <c r="C22" i="16"/>
  <c r="N21" i="16"/>
  <c r="N26" i="16" s="1"/>
  <c r="M21" i="16"/>
  <c r="M26" i="16" s="1"/>
  <c r="L21" i="16"/>
  <c r="L26" i="16" s="1"/>
  <c r="K21" i="16"/>
  <c r="K26" i="16" s="1"/>
  <c r="J21" i="16"/>
  <c r="J26" i="16" s="1"/>
  <c r="I21" i="16"/>
  <c r="I26" i="16" s="1"/>
  <c r="H21" i="16"/>
  <c r="H26" i="16" s="1"/>
  <c r="G21" i="16"/>
  <c r="G26" i="16" s="1"/>
  <c r="F21" i="16"/>
  <c r="F26" i="16" s="1"/>
  <c r="E21" i="16"/>
  <c r="E26" i="16" s="1"/>
  <c r="D21" i="16"/>
  <c r="D26" i="16" s="1"/>
  <c r="C21" i="16"/>
  <c r="C26" i="16" s="1"/>
  <c r="O20" i="16"/>
  <c r="P20" i="16" s="1"/>
  <c r="O19" i="16"/>
  <c r="P19" i="16" s="1"/>
  <c r="O18" i="16"/>
  <c r="P18" i="16" s="1"/>
  <c r="O17" i="16"/>
  <c r="P17" i="16" s="1"/>
  <c r="O16" i="16"/>
  <c r="P16" i="16" s="1"/>
  <c r="N15" i="16"/>
  <c r="M15" i="16"/>
  <c r="M25" i="16" s="1"/>
  <c r="L15" i="16"/>
  <c r="K15" i="16"/>
  <c r="J15" i="16"/>
  <c r="I15" i="16"/>
  <c r="H15" i="16"/>
  <c r="G15" i="16"/>
  <c r="F15" i="16"/>
  <c r="E15" i="16"/>
  <c r="D15" i="16"/>
  <c r="C15" i="16"/>
  <c r="N12" i="16"/>
  <c r="M12" i="16"/>
  <c r="L12" i="16"/>
  <c r="K12" i="16"/>
  <c r="J12" i="16"/>
  <c r="I12" i="16"/>
  <c r="H12" i="16"/>
  <c r="G12" i="16"/>
  <c r="F12" i="16"/>
  <c r="E12" i="16"/>
  <c r="D12" i="16"/>
  <c r="C12" i="16"/>
  <c r="N11" i="16"/>
  <c r="M11" i="16"/>
  <c r="L11" i="16"/>
  <c r="K11" i="16"/>
  <c r="J11" i="16"/>
  <c r="I11" i="16"/>
  <c r="H11" i="16"/>
  <c r="G11" i="16"/>
  <c r="F11" i="16"/>
  <c r="E11" i="16"/>
  <c r="D11" i="16"/>
  <c r="C11" i="16"/>
  <c r="O9" i="16"/>
  <c r="P9" i="16" s="1"/>
  <c r="O8" i="16"/>
  <c r="P8" i="16" s="1"/>
  <c r="O7" i="16"/>
  <c r="P7" i="16" s="1"/>
  <c r="O6" i="16"/>
  <c r="P6" i="16" s="1"/>
  <c r="O5" i="16"/>
  <c r="P5" i="16" s="1"/>
  <c r="O4" i="16"/>
  <c r="P4" i="16" s="1"/>
  <c r="O3" i="16"/>
  <c r="P3" i="16" s="1"/>
  <c r="N2" i="16"/>
  <c r="N10" i="16" s="1"/>
  <c r="M2" i="16"/>
  <c r="M10" i="16" s="1"/>
  <c r="L2" i="16"/>
  <c r="L10" i="16" s="1"/>
  <c r="L13" i="16" s="1"/>
  <c r="K2" i="16"/>
  <c r="K10" i="16" s="1"/>
  <c r="K13" i="16" s="1"/>
  <c r="J2" i="16"/>
  <c r="J10" i="16" s="1"/>
  <c r="I2" i="16"/>
  <c r="I10" i="16" s="1"/>
  <c r="H2" i="16"/>
  <c r="H10" i="16" s="1"/>
  <c r="H13" i="16" s="1"/>
  <c r="G2" i="16"/>
  <c r="G10" i="16" s="1"/>
  <c r="F2" i="16"/>
  <c r="F10" i="16" s="1"/>
  <c r="F13" i="16" s="1"/>
  <c r="E2" i="16"/>
  <c r="E10" i="16" s="1"/>
  <c r="D2" i="16"/>
  <c r="D10" i="16" s="1"/>
  <c r="C2" i="16"/>
  <c r="C10" i="16" s="1"/>
  <c r="E19" i="21" l="1"/>
  <c r="E20" i="21" s="1"/>
  <c r="E22" i="21"/>
  <c r="E23" i="21"/>
  <c r="D19" i="21"/>
  <c r="D20" i="21" s="1"/>
  <c r="D22" i="21"/>
  <c r="D23" i="21"/>
  <c r="C19" i="21"/>
  <c r="C22" i="21"/>
  <c r="C23" i="21"/>
  <c r="C20" i="21"/>
  <c r="B20" i="21"/>
  <c r="F20" i="21"/>
  <c r="I19" i="21"/>
  <c r="I20" i="21" s="1"/>
  <c r="K19" i="21"/>
  <c r="K20" i="21" s="1"/>
  <c r="G20" i="21"/>
  <c r="N20" i="22"/>
  <c r="O20" i="22" s="1"/>
  <c r="O11" i="22"/>
  <c r="H20" i="21"/>
  <c r="M19" i="21"/>
  <c r="M20" i="21" s="1"/>
  <c r="L19" i="21"/>
  <c r="L20" i="21" s="1"/>
  <c r="J19" i="21"/>
  <c r="J20" i="21" s="1"/>
  <c r="H4" i="21"/>
  <c r="F4" i="21"/>
  <c r="N3" i="21"/>
  <c r="O3" i="21" s="1"/>
  <c r="E4" i="21"/>
  <c r="D4" i="21"/>
  <c r="P9" i="21"/>
  <c r="P6" i="21"/>
  <c r="B4" i="21"/>
  <c r="C4" i="21"/>
  <c r="G4" i="21"/>
  <c r="M4" i="21"/>
  <c r="I4" i="21"/>
  <c r="P14" i="21"/>
  <c r="J4" i="21"/>
  <c r="K4" i="21"/>
  <c r="L4" i="21"/>
  <c r="N13" i="21"/>
  <c r="N19" i="21" s="1"/>
  <c r="N5" i="21"/>
  <c r="N11" i="21" s="1"/>
  <c r="O11" i="21" s="1"/>
  <c r="B30" i="20"/>
  <c r="J12" i="20"/>
  <c r="J14" i="20" s="1"/>
  <c r="P17" i="20"/>
  <c r="F29" i="20"/>
  <c r="H30" i="20"/>
  <c r="I30" i="20"/>
  <c r="J30" i="20"/>
  <c r="K30" i="20"/>
  <c r="L30" i="20"/>
  <c r="M30" i="20"/>
  <c r="N21" i="20"/>
  <c r="G29" i="20"/>
  <c r="E30" i="20"/>
  <c r="D29" i="20"/>
  <c r="C30" i="20"/>
  <c r="P10" i="20"/>
  <c r="C24" i="20"/>
  <c r="C26" i="20" s="1"/>
  <c r="D24" i="20"/>
  <c r="D26" i="20" s="1"/>
  <c r="E24" i="20"/>
  <c r="E26" i="20" s="1"/>
  <c r="P6" i="20"/>
  <c r="G14" i="20"/>
  <c r="L14" i="20"/>
  <c r="M14" i="20"/>
  <c r="F14" i="20"/>
  <c r="K4" i="20"/>
  <c r="H4" i="20"/>
  <c r="C14" i="20"/>
  <c r="I4" i="20"/>
  <c r="D14" i="20"/>
  <c r="N13" i="20"/>
  <c r="E14" i="20"/>
  <c r="P22" i="20"/>
  <c r="B24" i="20"/>
  <c r="H14" i="20"/>
  <c r="I14" i="20"/>
  <c r="G24" i="20"/>
  <c r="G26" i="20" s="1"/>
  <c r="K14" i="20"/>
  <c r="K24" i="20"/>
  <c r="K26" i="20" s="1"/>
  <c r="L24" i="20"/>
  <c r="L26" i="20" s="1"/>
  <c r="M24" i="20"/>
  <c r="M26" i="20" s="1"/>
  <c r="N3" i="20"/>
  <c r="O3" i="20" s="1"/>
  <c r="L4" i="20"/>
  <c r="M4" i="20"/>
  <c r="F4" i="20"/>
  <c r="F24" i="20"/>
  <c r="F26" i="20" s="1"/>
  <c r="H24" i="20"/>
  <c r="H26" i="20" s="1"/>
  <c r="N16" i="20"/>
  <c r="J24" i="20"/>
  <c r="J26" i="20" s="1"/>
  <c r="B4" i="20"/>
  <c r="D4" i="20"/>
  <c r="E4" i="20"/>
  <c r="B12" i="20"/>
  <c r="B14" i="20" s="1"/>
  <c r="B25" i="20"/>
  <c r="N25" i="20" s="1"/>
  <c r="G4" i="20"/>
  <c r="I24" i="20"/>
  <c r="I26" i="20" s="1"/>
  <c r="C4" i="20"/>
  <c r="N3" i="19"/>
  <c r="J4" i="19"/>
  <c r="F2" i="18"/>
  <c r="B2" i="18"/>
  <c r="D4" i="19"/>
  <c r="B4" i="19"/>
  <c r="C4" i="19"/>
  <c r="E4" i="19"/>
  <c r="F4" i="19"/>
  <c r="G4" i="19"/>
  <c r="H4" i="19"/>
  <c r="I4" i="19"/>
  <c r="K4" i="19"/>
  <c r="L4" i="19"/>
  <c r="M4" i="19"/>
  <c r="C2" i="18"/>
  <c r="D2" i="18"/>
  <c r="E2" i="18"/>
  <c r="G2" i="18"/>
  <c r="H2" i="18"/>
  <c r="I2" i="18"/>
  <c r="J2" i="18"/>
  <c r="K2" i="18"/>
  <c r="L2" i="18"/>
  <c r="M2" i="18"/>
  <c r="C24" i="18"/>
  <c r="C26" i="18" s="1"/>
  <c r="D24" i="18"/>
  <c r="D26" i="18" s="1"/>
  <c r="D13" i="18"/>
  <c r="D27" i="18" s="1"/>
  <c r="F24" i="18"/>
  <c r="F26" i="18" s="1"/>
  <c r="L13" i="18"/>
  <c r="B24" i="18"/>
  <c r="E24" i="18"/>
  <c r="E26" i="18" s="1"/>
  <c r="M13" i="18"/>
  <c r="C13" i="18"/>
  <c r="C27" i="18" s="1"/>
  <c r="F14" i="19"/>
  <c r="H14" i="19"/>
  <c r="I14" i="19"/>
  <c r="J14" i="19"/>
  <c r="D14" i="19"/>
  <c r="C14" i="19"/>
  <c r="D30" i="19"/>
  <c r="J24" i="18"/>
  <c r="J26" i="18" s="1"/>
  <c r="J27" i="18" s="1"/>
  <c r="B30" i="19"/>
  <c r="K14" i="19"/>
  <c r="L14" i="19"/>
  <c r="G14" i="19"/>
  <c r="P23" i="19"/>
  <c r="P10" i="19"/>
  <c r="N22" i="19"/>
  <c r="N5" i="19"/>
  <c r="O5" i="19" s="1"/>
  <c r="C25" i="19"/>
  <c r="C27" i="19" s="1"/>
  <c r="N13" i="19"/>
  <c r="D25" i="19"/>
  <c r="D27" i="19" s="1"/>
  <c r="E14" i="19"/>
  <c r="M14" i="19"/>
  <c r="K25" i="19"/>
  <c r="K27" i="19" s="1"/>
  <c r="P6" i="19"/>
  <c r="B12" i="19"/>
  <c r="B14" i="19" s="1"/>
  <c r="L25" i="19"/>
  <c r="L27" i="19" s="1"/>
  <c r="P17" i="19"/>
  <c r="F26" i="19"/>
  <c r="N26" i="19" s="1"/>
  <c r="E25" i="19"/>
  <c r="E27" i="19" s="1"/>
  <c r="M25" i="19"/>
  <c r="M27" i="19" s="1"/>
  <c r="G25" i="19"/>
  <c r="G27" i="19" s="1"/>
  <c r="F25" i="19"/>
  <c r="H25" i="19"/>
  <c r="H27" i="19" s="1"/>
  <c r="N16" i="19"/>
  <c r="O16" i="19" s="1"/>
  <c r="I25" i="19"/>
  <c r="I27" i="19" s="1"/>
  <c r="B25" i="19"/>
  <c r="B27" i="19" s="1"/>
  <c r="J25" i="19"/>
  <c r="J27" i="19" s="1"/>
  <c r="M24" i="18"/>
  <c r="M26" i="18" s="1"/>
  <c r="I24" i="18"/>
  <c r="I26" i="18" s="1"/>
  <c r="I27" i="18" s="1"/>
  <c r="F13" i="18"/>
  <c r="F27" i="18" s="1"/>
  <c r="E13" i="18"/>
  <c r="E27" i="18" s="1"/>
  <c r="L24" i="18"/>
  <c r="L26" i="18" s="1"/>
  <c r="H24" i="18"/>
  <c r="H26" i="18" s="1"/>
  <c r="H27" i="18" s="1"/>
  <c r="K13" i="18"/>
  <c r="K24" i="18"/>
  <c r="K26" i="18" s="1"/>
  <c r="G24" i="18"/>
  <c r="G26" i="18" s="1"/>
  <c r="N12" i="18"/>
  <c r="O12" i="18" s="1"/>
  <c r="G13" i="18"/>
  <c r="K29" i="18"/>
  <c r="L29" i="18"/>
  <c r="M29" i="18"/>
  <c r="J29" i="18"/>
  <c r="I29" i="18"/>
  <c r="H30" i="18"/>
  <c r="G29" i="18"/>
  <c r="F30" i="18"/>
  <c r="F29" i="18"/>
  <c r="B30" i="18"/>
  <c r="E30" i="18"/>
  <c r="D30" i="18"/>
  <c r="C29" i="18"/>
  <c r="N21" i="18"/>
  <c r="O21" i="18" s="1"/>
  <c r="P9" i="18"/>
  <c r="P16" i="18"/>
  <c r="P22" i="18"/>
  <c r="N4" i="18"/>
  <c r="B25" i="18"/>
  <c r="N25" i="18" s="1"/>
  <c r="O25" i="18" s="1"/>
  <c r="P5" i="18"/>
  <c r="N15" i="18"/>
  <c r="O15" i="18" s="1"/>
  <c r="H28" i="17"/>
  <c r="H29" i="17" s="1"/>
  <c r="O22" i="17"/>
  <c r="P22" i="17" s="1"/>
  <c r="K25" i="17"/>
  <c r="Q23" i="17"/>
  <c r="M13" i="17"/>
  <c r="L25" i="17"/>
  <c r="L28" i="17" s="1"/>
  <c r="L29" i="17" s="1"/>
  <c r="F13" i="17"/>
  <c r="F29" i="17" s="1"/>
  <c r="M25" i="17"/>
  <c r="M28" i="17" s="1"/>
  <c r="Q3" i="17"/>
  <c r="O11" i="17"/>
  <c r="P11" i="17" s="1"/>
  <c r="O12" i="17"/>
  <c r="P12" i="17" s="1"/>
  <c r="C25" i="17"/>
  <c r="Q8" i="17"/>
  <c r="N25" i="17"/>
  <c r="D25" i="17"/>
  <c r="E25" i="17"/>
  <c r="E28" i="17" s="1"/>
  <c r="M13" i="16"/>
  <c r="N13" i="16"/>
  <c r="O22" i="16"/>
  <c r="P22" i="16" s="1"/>
  <c r="D13" i="16"/>
  <c r="I25" i="16"/>
  <c r="I28" i="16" s="1"/>
  <c r="C13" i="16"/>
  <c r="E13" i="16"/>
  <c r="J25" i="16"/>
  <c r="J28" i="16" s="1"/>
  <c r="K25" i="16"/>
  <c r="K28" i="16" s="1"/>
  <c r="K29" i="16" s="1"/>
  <c r="L25" i="16"/>
  <c r="L28" i="16" s="1"/>
  <c r="L29" i="16" s="1"/>
  <c r="G29" i="17"/>
  <c r="K28" i="17"/>
  <c r="K29" i="17" s="1"/>
  <c r="O26" i="17"/>
  <c r="P26" i="17" s="1"/>
  <c r="N28" i="17"/>
  <c r="N29" i="17" s="1"/>
  <c r="Q16" i="17"/>
  <c r="E29" i="17"/>
  <c r="D28" i="17"/>
  <c r="D29" i="17" s="1"/>
  <c r="J25" i="17"/>
  <c r="J28" i="17" s="1"/>
  <c r="J29" i="17" s="1"/>
  <c r="O2" i="17"/>
  <c r="O15" i="17"/>
  <c r="O21" i="17"/>
  <c r="P21" i="17" s="1"/>
  <c r="Q21" i="17" s="1"/>
  <c r="I25" i="17"/>
  <c r="I28" i="17" s="1"/>
  <c r="I29" i="17" s="1"/>
  <c r="C27" i="17"/>
  <c r="O27" i="17" s="1"/>
  <c r="P27" i="17" s="1"/>
  <c r="Q23" i="16"/>
  <c r="O2" i="16"/>
  <c r="P2" i="16" s="1"/>
  <c r="Q2" i="16" s="1"/>
  <c r="O11" i="16"/>
  <c r="P11" i="16" s="1"/>
  <c r="M28" i="16"/>
  <c r="M29" i="16" s="1"/>
  <c r="C25" i="16"/>
  <c r="O12" i="16"/>
  <c r="P12" i="16" s="1"/>
  <c r="D25" i="16"/>
  <c r="D28" i="16" s="1"/>
  <c r="D29" i="16" s="1"/>
  <c r="C27" i="16"/>
  <c r="O27" i="16" s="1"/>
  <c r="P27" i="16" s="1"/>
  <c r="G13" i="16"/>
  <c r="Q6" i="16"/>
  <c r="E25" i="16"/>
  <c r="E28" i="16" s="1"/>
  <c r="F25" i="16"/>
  <c r="F28" i="16" s="1"/>
  <c r="F29" i="16" s="1"/>
  <c r="N25" i="16"/>
  <c r="N28" i="16" s="1"/>
  <c r="I13" i="16"/>
  <c r="J13" i="16"/>
  <c r="O26" i="16"/>
  <c r="P26" i="16" s="1"/>
  <c r="Q3" i="16"/>
  <c r="Q16" i="16"/>
  <c r="Q8" i="16"/>
  <c r="H25" i="16"/>
  <c r="H28" i="16" s="1"/>
  <c r="H29" i="16" s="1"/>
  <c r="O15" i="16"/>
  <c r="G25" i="16"/>
  <c r="G28" i="16" s="1"/>
  <c r="O21" i="16"/>
  <c r="P21" i="16" s="1"/>
  <c r="Q21" i="16" s="1"/>
  <c r="O24" i="14"/>
  <c r="P24" i="14" s="1"/>
  <c r="O23" i="14"/>
  <c r="P23" i="14" s="1"/>
  <c r="N22" i="14"/>
  <c r="N27" i="14" s="1"/>
  <c r="M22" i="14"/>
  <c r="M27" i="14" s="1"/>
  <c r="L22" i="14"/>
  <c r="L27" i="14" s="1"/>
  <c r="K22" i="14"/>
  <c r="K27" i="14" s="1"/>
  <c r="J22" i="14"/>
  <c r="J27" i="14" s="1"/>
  <c r="I22" i="14"/>
  <c r="I27" i="14" s="1"/>
  <c r="H22" i="14"/>
  <c r="H27" i="14" s="1"/>
  <c r="G22" i="14"/>
  <c r="G27" i="14" s="1"/>
  <c r="F22" i="14"/>
  <c r="F27" i="14" s="1"/>
  <c r="E22" i="14"/>
  <c r="E27" i="14" s="1"/>
  <c r="D22" i="14"/>
  <c r="D27" i="14" s="1"/>
  <c r="C22" i="14"/>
  <c r="N21" i="14"/>
  <c r="N26" i="14" s="1"/>
  <c r="M21" i="14"/>
  <c r="M26" i="14" s="1"/>
  <c r="L21" i="14"/>
  <c r="L26" i="14" s="1"/>
  <c r="K21" i="14"/>
  <c r="K26" i="14" s="1"/>
  <c r="J21" i="14"/>
  <c r="J26" i="14" s="1"/>
  <c r="I21" i="14"/>
  <c r="I26" i="14" s="1"/>
  <c r="H21" i="14"/>
  <c r="H26" i="14" s="1"/>
  <c r="G21" i="14"/>
  <c r="G26" i="14" s="1"/>
  <c r="F21" i="14"/>
  <c r="F26" i="14" s="1"/>
  <c r="E21" i="14"/>
  <c r="E26" i="14" s="1"/>
  <c r="D21" i="14"/>
  <c r="D26" i="14" s="1"/>
  <c r="C21" i="14"/>
  <c r="C26" i="14" s="1"/>
  <c r="O20" i="14"/>
  <c r="P20" i="14" s="1"/>
  <c r="O19" i="14"/>
  <c r="P19" i="14" s="1"/>
  <c r="O18" i="14"/>
  <c r="P18" i="14" s="1"/>
  <c r="O17" i="14"/>
  <c r="P17" i="14" s="1"/>
  <c r="O16" i="14"/>
  <c r="P16" i="14" s="1"/>
  <c r="N15" i="14"/>
  <c r="M15" i="14"/>
  <c r="L15" i="14"/>
  <c r="K15" i="14"/>
  <c r="J15" i="14"/>
  <c r="J25" i="14" s="1"/>
  <c r="I15" i="14"/>
  <c r="H15" i="14"/>
  <c r="G15" i="14"/>
  <c r="F15" i="14"/>
  <c r="F25" i="14" s="1"/>
  <c r="E15" i="14"/>
  <c r="D15" i="14"/>
  <c r="C15" i="14"/>
  <c r="N12" i="14"/>
  <c r="M12" i="14"/>
  <c r="L12" i="14"/>
  <c r="K12" i="14"/>
  <c r="J12" i="14"/>
  <c r="I12" i="14"/>
  <c r="H12" i="14"/>
  <c r="G12" i="14"/>
  <c r="F12" i="14"/>
  <c r="E12" i="14"/>
  <c r="D12" i="14"/>
  <c r="C12" i="14"/>
  <c r="N11" i="14"/>
  <c r="M11" i="14"/>
  <c r="L11" i="14"/>
  <c r="K11" i="14"/>
  <c r="J11" i="14"/>
  <c r="I11" i="14"/>
  <c r="H11" i="14"/>
  <c r="G11" i="14"/>
  <c r="F11" i="14"/>
  <c r="E11" i="14"/>
  <c r="D11" i="14"/>
  <c r="C11" i="14"/>
  <c r="O9" i="14"/>
  <c r="P9" i="14" s="1"/>
  <c r="O8" i="14"/>
  <c r="P8" i="14" s="1"/>
  <c r="Q8" i="14" s="1"/>
  <c r="O7" i="14"/>
  <c r="P7" i="14" s="1"/>
  <c r="O6" i="14"/>
  <c r="P6" i="14" s="1"/>
  <c r="Q6" i="14" s="1"/>
  <c r="O5" i="14"/>
  <c r="P5" i="14" s="1"/>
  <c r="O4" i="14"/>
  <c r="P4" i="14" s="1"/>
  <c r="O3" i="14"/>
  <c r="P3" i="14" s="1"/>
  <c r="N2" i="14"/>
  <c r="N10" i="14" s="1"/>
  <c r="N13" i="14" s="1"/>
  <c r="M2" i="14"/>
  <c r="M10" i="14" s="1"/>
  <c r="M13" i="14" s="1"/>
  <c r="L2" i="14"/>
  <c r="L10" i="14" s="1"/>
  <c r="K2" i="14"/>
  <c r="K10" i="14" s="1"/>
  <c r="J2" i="14"/>
  <c r="J10" i="14" s="1"/>
  <c r="I2" i="14"/>
  <c r="I10" i="14" s="1"/>
  <c r="H2" i="14"/>
  <c r="H10" i="14" s="1"/>
  <c r="G2" i="14"/>
  <c r="G10" i="14" s="1"/>
  <c r="F2" i="14"/>
  <c r="F10" i="14" s="1"/>
  <c r="E2" i="14"/>
  <c r="E10" i="14" s="1"/>
  <c r="D2" i="14"/>
  <c r="D10" i="14" s="1"/>
  <c r="C2" i="14"/>
  <c r="C29" i="12"/>
  <c r="P26" i="12"/>
  <c r="P23" i="12"/>
  <c r="P21" i="12"/>
  <c r="P18" i="12"/>
  <c r="P17" i="12"/>
  <c r="P11" i="12"/>
  <c r="P8" i="12"/>
  <c r="P6" i="12"/>
  <c r="P4" i="12"/>
  <c r="N23" i="21" l="1"/>
  <c r="N22" i="21"/>
  <c r="N25" i="21"/>
  <c r="N26" i="21"/>
  <c r="N20" i="21"/>
  <c r="O5" i="21"/>
  <c r="P5" i="21" s="1"/>
  <c r="O13" i="21"/>
  <c r="P13" i="21" s="1"/>
  <c r="N4" i="21"/>
  <c r="O4" i="21" s="1"/>
  <c r="O19" i="21"/>
  <c r="J4" i="20"/>
  <c r="N4" i="20" s="1"/>
  <c r="N5" i="20"/>
  <c r="P5" i="20" s="1"/>
  <c r="N29" i="20"/>
  <c r="N30" i="20"/>
  <c r="D27" i="20"/>
  <c r="B26" i="20"/>
  <c r="B27" i="20" s="1"/>
  <c r="C27" i="20"/>
  <c r="N30" i="19"/>
  <c r="E27" i="20"/>
  <c r="L27" i="20"/>
  <c r="G27" i="20"/>
  <c r="J27" i="20"/>
  <c r="H27" i="20"/>
  <c r="M27" i="20"/>
  <c r="F27" i="20"/>
  <c r="I27" i="20"/>
  <c r="N32" i="20"/>
  <c r="K27" i="20"/>
  <c r="N24" i="20"/>
  <c r="P16" i="20"/>
  <c r="N2" i="18"/>
  <c r="O2" i="18" s="1"/>
  <c r="N4" i="19"/>
  <c r="O4" i="19" s="1"/>
  <c r="J28" i="19"/>
  <c r="H28" i="19"/>
  <c r="L27" i="18"/>
  <c r="N30" i="18"/>
  <c r="B26" i="18"/>
  <c r="M27" i="18"/>
  <c r="K28" i="19"/>
  <c r="P5" i="19"/>
  <c r="D28" i="19"/>
  <c r="C28" i="19"/>
  <c r="M28" i="19"/>
  <c r="L28" i="19"/>
  <c r="I28" i="19"/>
  <c r="G28" i="19"/>
  <c r="B28" i="19"/>
  <c r="N12" i="19"/>
  <c r="O12" i="19" s="1"/>
  <c r="E28" i="19"/>
  <c r="F27" i="19"/>
  <c r="F28" i="19" s="1"/>
  <c r="P16" i="19"/>
  <c r="N25" i="19"/>
  <c r="O25" i="19" s="1"/>
  <c r="N11" i="18"/>
  <c r="O11" i="18" s="1"/>
  <c r="O4" i="18"/>
  <c r="N29" i="18"/>
  <c r="G27" i="18"/>
  <c r="K27" i="18"/>
  <c r="N24" i="18"/>
  <c r="P15" i="18"/>
  <c r="B27" i="18"/>
  <c r="M29" i="17"/>
  <c r="E29" i="16"/>
  <c r="C28" i="16"/>
  <c r="C29" i="16" s="1"/>
  <c r="J29" i="16"/>
  <c r="N29" i="16"/>
  <c r="O22" i="14"/>
  <c r="P22" i="14" s="1"/>
  <c r="E25" i="14"/>
  <c r="E28" i="14" s="1"/>
  <c r="C28" i="17"/>
  <c r="C29" i="17" s="1"/>
  <c r="O10" i="17"/>
  <c r="P2" i="17"/>
  <c r="Q2" i="17" s="1"/>
  <c r="P15" i="17"/>
  <c r="Q15" i="17" s="1"/>
  <c r="O25" i="17"/>
  <c r="I29" i="16"/>
  <c r="G29" i="16"/>
  <c r="O10" i="16"/>
  <c r="P10" i="16" s="1"/>
  <c r="P15" i="16"/>
  <c r="Q15" i="16" s="1"/>
  <c r="O25" i="16"/>
  <c r="J28" i="14"/>
  <c r="O12" i="14"/>
  <c r="P12" i="14" s="1"/>
  <c r="D13" i="14"/>
  <c r="K25" i="14"/>
  <c r="K28" i="14" s="1"/>
  <c r="I13" i="14"/>
  <c r="E13" i="14"/>
  <c r="H13" i="14"/>
  <c r="L25" i="14"/>
  <c r="L28" i="14" s="1"/>
  <c r="M25" i="14"/>
  <c r="M28" i="14" s="1"/>
  <c r="M29" i="14" s="1"/>
  <c r="F13" i="14"/>
  <c r="J13" i="14"/>
  <c r="N25" i="14"/>
  <c r="N28" i="14" s="1"/>
  <c r="N29" i="14" s="1"/>
  <c r="G13" i="14"/>
  <c r="K13" i="14"/>
  <c r="O11" i="14"/>
  <c r="P11" i="14" s="1"/>
  <c r="C25" i="14"/>
  <c r="C28" i="14" s="1"/>
  <c r="L13" i="14"/>
  <c r="D25" i="14"/>
  <c r="D28" i="14" s="1"/>
  <c r="O2" i="14"/>
  <c r="P2" i="14" s="1"/>
  <c r="Q2" i="14" s="1"/>
  <c r="Q3" i="14"/>
  <c r="Q23" i="14"/>
  <c r="C10" i="14"/>
  <c r="C13" i="14" s="1"/>
  <c r="C27" i="14"/>
  <c r="Q16" i="14"/>
  <c r="O27" i="14"/>
  <c r="P27" i="14" s="1"/>
  <c r="F28" i="14"/>
  <c r="O26" i="14"/>
  <c r="P26" i="14" s="1"/>
  <c r="G25" i="14"/>
  <c r="G28" i="14" s="1"/>
  <c r="H25" i="14"/>
  <c r="H28" i="14" s="1"/>
  <c r="I25" i="14"/>
  <c r="I28" i="14" s="1"/>
  <c r="O15" i="14"/>
  <c r="O21" i="14"/>
  <c r="P21" i="14" s="1"/>
  <c r="Q21" i="14" s="1"/>
  <c r="O32" i="11"/>
  <c r="O31" i="11"/>
  <c r="O37" i="12"/>
  <c r="O36" i="12"/>
  <c r="O34" i="12"/>
  <c r="O33" i="12"/>
  <c r="O41" i="13"/>
  <c r="O40" i="13"/>
  <c r="O38" i="13"/>
  <c r="O37" i="13"/>
  <c r="O35" i="13"/>
  <c r="O34" i="13"/>
  <c r="N12" i="20" l="1"/>
  <c r="N26" i="20"/>
  <c r="N14" i="19"/>
  <c r="O14" i="19" s="1"/>
  <c r="N27" i="19"/>
  <c r="O27" i="19" s="1"/>
  <c r="N13" i="18"/>
  <c r="O13" i="18" s="1"/>
  <c r="N26" i="18"/>
  <c r="O26" i="18" s="1"/>
  <c r="O24" i="18"/>
  <c r="P4" i="18"/>
  <c r="O13" i="16"/>
  <c r="P13" i="16" s="1"/>
  <c r="P25" i="17"/>
  <c r="O28" i="17"/>
  <c r="P28" i="17" s="1"/>
  <c r="P10" i="17"/>
  <c r="O13" i="17"/>
  <c r="P25" i="16"/>
  <c r="O28" i="16"/>
  <c r="P28" i="16" s="1"/>
  <c r="I29" i="14"/>
  <c r="E29" i="14"/>
  <c r="D29" i="14"/>
  <c r="J29" i="14"/>
  <c r="H29" i="14"/>
  <c r="F29" i="14"/>
  <c r="K29" i="14"/>
  <c r="G29" i="14"/>
  <c r="L29" i="14"/>
  <c r="O10" i="14"/>
  <c r="O13" i="14" s="1"/>
  <c r="C29" i="14"/>
  <c r="P15" i="14"/>
  <c r="Q15" i="14" s="1"/>
  <c r="O25" i="14"/>
  <c r="O24" i="13"/>
  <c r="P24" i="13" s="1"/>
  <c r="O23" i="13"/>
  <c r="P23" i="13" s="1"/>
  <c r="N22" i="13"/>
  <c r="N27" i="13" s="1"/>
  <c r="M22" i="13"/>
  <c r="M27" i="13" s="1"/>
  <c r="L22" i="13"/>
  <c r="L27" i="13" s="1"/>
  <c r="K22" i="13"/>
  <c r="K27" i="13" s="1"/>
  <c r="J22" i="13"/>
  <c r="J27" i="13" s="1"/>
  <c r="I22" i="13"/>
  <c r="I27" i="13" s="1"/>
  <c r="H22" i="13"/>
  <c r="H27" i="13" s="1"/>
  <c r="G27" i="13"/>
  <c r="F22" i="13"/>
  <c r="F27" i="13" s="1"/>
  <c r="E22" i="13"/>
  <c r="E27" i="13" s="1"/>
  <c r="D22" i="13"/>
  <c r="D27" i="13" s="1"/>
  <c r="C22" i="13"/>
  <c r="C27" i="13" s="1"/>
  <c r="N21" i="13"/>
  <c r="N26" i="13" s="1"/>
  <c r="M21" i="13"/>
  <c r="M26" i="13" s="1"/>
  <c r="L21" i="13"/>
  <c r="L26" i="13" s="1"/>
  <c r="K21" i="13"/>
  <c r="K26" i="13" s="1"/>
  <c r="J21" i="13"/>
  <c r="J26" i="13" s="1"/>
  <c r="I21" i="13"/>
  <c r="I26" i="13" s="1"/>
  <c r="H21" i="13"/>
  <c r="H26" i="13" s="1"/>
  <c r="G21" i="13"/>
  <c r="G26" i="13" s="1"/>
  <c r="F21" i="13"/>
  <c r="F26" i="13" s="1"/>
  <c r="E21" i="13"/>
  <c r="E26" i="13" s="1"/>
  <c r="D21" i="13"/>
  <c r="D26" i="13" s="1"/>
  <c r="C21" i="13"/>
  <c r="C26" i="13" s="1"/>
  <c r="O20" i="13"/>
  <c r="P20" i="13" s="1"/>
  <c r="O19" i="13"/>
  <c r="P19" i="13" s="1"/>
  <c r="O18" i="13"/>
  <c r="O17" i="13"/>
  <c r="O16" i="13"/>
  <c r="P16" i="13" s="1"/>
  <c r="N15" i="13"/>
  <c r="N32" i="13" s="1"/>
  <c r="M15" i="13"/>
  <c r="M32" i="13" s="1"/>
  <c r="L15" i="13"/>
  <c r="L32" i="13" s="1"/>
  <c r="K15" i="13"/>
  <c r="K31" i="13" s="1"/>
  <c r="J15" i="13"/>
  <c r="J32" i="13" s="1"/>
  <c r="I15" i="13"/>
  <c r="I32" i="13" s="1"/>
  <c r="H15" i="13"/>
  <c r="H32" i="13" s="1"/>
  <c r="G15" i="13"/>
  <c r="G32" i="13" s="1"/>
  <c r="F15" i="13"/>
  <c r="F32" i="13" s="1"/>
  <c r="E15" i="13"/>
  <c r="E32" i="13" s="1"/>
  <c r="D15" i="13"/>
  <c r="C15" i="13"/>
  <c r="N12" i="13"/>
  <c r="M12" i="13"/>
  <c r="L12" i="13"/>
  <c r="K12" i="13"/>
  <c r="J12" i="13"/>
  <c r="I12" i="13"/>
  <c r="H12" i="13"/>
  <c r="G12" i="13"/>
  <c r="F12" i="13"/>
  <c r="E12" i="13"/>
  <c r="D12" i="13"/>
  <c r="C12" i="13"/>
  <c r="N11" i="13"/>
  <c r="M11" i="13"/>
  <c r="L11" i="13"/>
  <c r="K11" i="13"/>
  <c r="J11" i="13"/>
  <c r="I11" i="13"/>
  <c r="H11" i="13"/>
  <c r="G11" i="13"/>
  <c r="F11" i="13"/>
  <c r="E11" i="13"/>
  <c r="D11" i="13"/>
  <c r="C11" i="13"/>
  <c r="O9" i="13"/>
  <c r="P9" i="13" s="1"/>
  <c r="O8" i="13"/>
  <c r="P8" i="13" s="1"/>
  <c r="O7" i="13"/>
  <c r="O6" i="13"/>
  <c r="P6" i="13" s="1"/>
  <c r="O5" i="13"/>
  <c r="P5" i="13" s="1"/>
  <c r="O4" i="13"/>
  <c r="O3" i="13"/>
  <c r="P3" i="13" s="1"/>
  <c r="N2" i="13"/>
  <c r="N10" i="13" s="1"/>
  <c r="M2" i="13"/>
  <c r="M10" i="13" s="1"/>
  <c r="L2" i="13"/>
  <c r="L10" i="13" s="1"/>
  <c r="L13" i="13" s="1"/>
  <c r="K2" i="13"/>
  <c r="K10" i="13" s="1"/>
  <c r="J2" i="13"/>
  <c r="J10" i="13" s="1"/>
  <c r="I2" i="13"/>
  <c r="I10" i="13" s="1"/>
  <c r="I13" i="13" s="1"/>
  <c r="H2" i="13"/>
  <c r="H10" i="13" s="1"/>
  <c r="G2" i="13"/>
  <c r="G10" i="13" s="1"/>
  <c r="F2" i="13"/>
  <c r="F10" i="13" s="1"/>
  <c r="E2" i="13"/>
  <c r="E10" i="13" s="1"/>
  <c r="D2" i="13"/>
  <c r="D10" i="13" s="1"/>
  <c r="D13" i="13" s="1"/>
  <c r="C2" i="13"/>
  <c r="C10" i="13" s="1"/>
  <c r="O20" i="21" l="1"/>
  <c r="N14" i="20"/>
  <c r="N28" i="19"/>
  <c r="O28" i="19" s="1"/>
  <c r="N27" i="18"/>
  <c r="O27" i="18" s="1"/>
  <c r="O32" i="13"/>
  <c r="N31" i="13"/>
  <c r="N25" i="13"/>
  <c r="N28" i="13" s="1"/>
  <c r="N13" i="13"/>
  <c r="M31" i="13"/>
  <c r="L31" i="13"/>
  <c r="O31" i="13" s="1"/>
  <c r="K25" i="13"/>
  <c r="K28" i="13" s="1"/>
  <c r="K32" i="13"/>
  <c r="J13" i="13"/>
  <c r="K13" i="13"/>
  <c r="J31" i="13"/>
  <c r="H13" i="13"/>
  <c r="G13" i="13"/>
  <c r="I31" i="13"/>
  <c r="H31" i="13"/>
  <c r="G31" i="13"/>
  <c r="F13" i="13"/>
  <c r="P13" i="17"/>
  <c r="O29" i="17"/>
  <c r="P29" i="17" s="1"/>
  <c r="O29" i="16"/>
  <c r="P29" i="16" s="1"/>
  <c r="P10" i="14"/>
  <c r="P13" i="14"/>
  <c r="P25" i="14"/>
  <c r="O28" i="14"/>
  <c r="P28" i="14" s="1"/>
  <c r="F31" i="13"/>
  <c r="D31" i="13"/>
  <c r="D32" i="13"/>
  <c r="E13" i="13"/>
  <c r="E31" i="13"/>
  <c r="C13" i="13"/>
  <c r="Q6" i="13"/>
  <c r="D25" i="13"/>
  <c r="D28" i="13" s="1"/>
  <c r="D29" i="13" s="1"/>
  <c r="C25" i="13"/>
  <c r="C28" i="13" s="1"/>
  <c r="Q16" i="13"/>
  <c r="O11" i="13"/>
  <c r="P11" i="13" s="1"/>
  <c r="Q8" i="13"/>
  <c r="E25" i="13"/>
  <c r="E28" i="13" s="1"/>
  <c r="F25" i="13"/>
  <c r="F28" i="13" s="1"/>
  <c r="G25" i="13"/>
  <c r="G28" i="13" s="1"/>
  <c r="M13" i="13"/>
  <c r="O12" i="13"/>
  <c r="Q3" i="13"/>
  <c r="J25" i="13"/>
  <c r="J28" i="13" s="1"/>
  <c r="O2" i="13"/>
  <c r="P2" i="13" s="1"/>
  <c r="O26" i="13"/>
  <c r="P26" i="13" s="1"/>
  <c r="O27" i="13"/>
  <c r="Q23" i="13"/>
  <c r="O22" i="13"/>
  <c r="L25" i="13"/>
  <c r="L28" i="13" s="1"/>
  <c r="L29" i="13" s="1"/>
  <c r="M25" i="13"/>
  <c r="M28" i="13" s="1"/>
  <c r="O15" i="13"/>
  <c r="P15" i="13" s="1"/>
  <c r="I25" i="13"/>
  <c r="I28" i="13" s="1"/>
  <c r="I29" i="13" s="1"/>
  <c r="H25" i="13"/>
  <c r="H28" i="13" s="1"/>
  <c r="O21" i="13"/>
  <c r="P21" i="13" s="1"/>
  <c r="N27" i="20" l="1"/>
  <c r="N29" i="13"/>
  <c r="J29" i="13"/>
  <c r="G29" i="13"/>
  <c r="K29" i="13"/>
  <c r="H29" i="13"/>
  <c r="F29" i="13"/>
  <c r="C29" i="13"/>
  <c r="O29" i="14"/>
  <c r="P29" i="14" s="1"/>
  <c r="E29" i="13"/>
  <c r="O10" i="13"/>
  <c r="P10" i="13" s="1"/>
  <c r="Q2" i="13"/>
  <c r="Q21" i="13"/>
  <c r="M29" i="13"/>
  <c r="Q15" i="13"/>
  <c r="O25" i="13"/>
  <c r="P25" i="13" s="1"/>
  <c r="C15" i="12"/>
  <c r="O13" i="13" l="1"/>
  <c r="P13" i="13" s="1"/>
  <c r="O28" i="13"/>
  <c r="P28" i="13" s="1"/>
  <c r="I21" i="12"/>
  <c r="O29" i="13" l="1"/>
  <c r="P29" i="13" s="1"/>
  <c r="E31" i="12" l="1"/>
  <c r="G2" i="12" l="1"/>
  <c r="G10" i="12" s="1"/>
  <c r="O19" i="12"/>
  <c r="P19" i="12" s="1"/>
  <c r="O9" i="12"/>
  <c r="P9" i="12" s="1"/>
  <c r="E2" i="12"/>
  <c r="E10" i="12" s="1"/>
  <c r="E15" i="12"/>
  <c r="E30" i="12" s="1"/>
  <c r="O20" i="12"/>
  <c r="P20" i="12" s="1"/>
  <c r="O18" i="12"/>
  <c r="O16" i="12"/>
  <c r="P16" i="12" s="1"/>
  <c r="O5" i="12"/>
  <c r="P5" i="12" s="1"/>
  <c r="O3" i="12"/>
  <c r="P3" i="12" s="1"/>
  <c r="N15" i="12"/>
  <c r="M15" i="12"/>
  <c r="L15" i="12"/>
  <c r="K15" i="12"/>
  <c r="K31" i="12" s="1"/>
  <c r="J15" i="12"/>
  <c r="I15" i="12"/>
  <c r="H15" i="12"/>
  <c r="H31" i="12" s="1"/>
  <c r="G15" i="12"/>
  <c r="G31" i="12" s="1"/>
  <c r="F15" i="12"/>
  <c r="F31" i="12" s="1"/>
  <c r="D15" i="12"/>
  <c r="D30" i="12" s="1"/>
  <c r="C31" i="12"/>
  <c r="C2" i="12"/>
  <c r="C10" i="12" s="1"/>
  <c r="D2" i="12"/>
  <c r="D10" i="12" s="1"/>
  <c r="F2" i="12"/>
  <c r="F10" i="12" s="1"/>
  <c r="H2" i="12"/>
  <c r="H10" i="12" s="1"/>
  <c r="I2" i="12"/>
  <c r="I10" i="12" s="1"/>
  <c r="J2" i="12"/>
  <c r="J10" i="12" s="1"/>
  <c r="K2" i="12"/>
  <c r="K10" i="12" s="1"/>
  <c r="L2" i="12"/>
  <c r="L10" i="12" s="1"/>
  <c r="M2" i="12"/>
  <c r="M10" i="12" s="1"/>
  <c r="N2" i="12"/>
  <c r="N10" i="12" s="1"/>
  <c r="O6" i="12"/>
  <c r="O7" i="12"/>
  <c r="P7" i="12" s="1"/>
  <c r="O8" i="12"/>
  <c r="C11" i="12"/>
  <c r="D11" i="12"/>
  <c r="E11" i="12"/>
  <c r="F11" i="12"/>
  <c r="G11" i="12"/>
  <c r="H11" i="12"/>
  <c r="I11" i="12"/>
  <c r="J11" i="12"/>
  <c r="K11" i="12"/>
  <c r="L11" i="12"/>
  <c r="M11" i="12"/>
  <c r="N11" i="12"/>
  <c r="C12" i="12"/>
  <c r="D12" i="12"/>
  <c r="E12" i="12"/>
  <c r="F12" i="12"/>
  <c r="G12" i="12"/>
  <c r="H12" i="12"/>
  <c r="I12" i="12"/>
  <c r="J12" i="12"/>
  <c r="K12" i="12"/>
  <c r="L12" i="12"/>
  <c r="M12" i="12"/>
  <c r="N12" i="12"/>
  <c r="C21" i="12"/>
  <c r="C26" i="12" s="1"/>
  <c r="D21" i="12"/>
  <c r="D26" i="12" s="1"/>
  <c r="E21" i="12"/>
  <c r="E26" i="12" s="1"/>
  <c r="F21" i="12"/>
  <c r="F26" i="12" s="1"/>
  <c r="G21" i="12"/>
  <c r="G26" i="12" s="1"/>
  <c r="H21" i="12"/>
  <c r="H26" i="12" s="1"/>
  <c r="I26" i="12"/>
  <c r="J21" i="12"/>
  <c r="J26" i="12" s="1"/>
  <c r="K21" i="12"/>
  <c r="K26" i="12" s="1"/>
  <c r="L21" i="12"/>
  <c r="L26" i="12" s="1"/>
  <c r="M21" i="12"/>
  <c r="M26" i="12" s="1"/>
  <c r="N21" i="12"/>
  <c r="N26" i="12" s="1"/>
  <c r="C22" i="12"/>
  <c r="C27" i="12" s="1"/>
  <c r="D22" i="12"/>
  <c r="E22" i="12"/>
  <c r="F22" i="12"/>
  <c r="F27" i="12" s="1"/>
  <c r="G22" i="12"/>
  <c r="G27" i="12" s="1"/>
  <c r="H22" i="12"/>
  <c r="H27" i="12" s="1"/>
  <c r="I22" i="12"/>
  <c r="I27" i="12" s="1"/>
  <c r="J22" i="12"/>
  <c r="J27" i="12" s="1"/>
  <c r="K22" i="12"/>
  <c r="K27" i="12" s="1"/>
  <c r="L22" i="12"/>
  <c r="L27" i="12" s="1"/>
  <c r="M22" i="12"/>
  <c r="M27" i="12" s="1"/>
  <c r="N22" i="12"/>
  <c r="N27" i="12" s="1"/>
  <c r="O23" i="12"/>
  <c r="O24" i="12"/>
  <c r="P24" i="12" s="1"/>
  <c r="O17" i="12"/>
  <c r="O4" i="12"/>
  <c r="K3" i="11"/>
  <c r="K11" i="11" s="1"/>
  <c r="C3" i="11"/>
  <c r="C11" i="11" s="1"/>
  <c r="D3" i="11"/>
  <c r="D11" i="11" s="1"/>
  <c r="E3" i="11"/>
  <c r="E11" i="11" s="1"/>
  <c r="F3" i="11"/>
  <c r="G3" i="11"/>
  <c r="G11" i="11" s="1"/>
  <c r="H3" i="11"/>
  <c r="H11" i="11" s="1"/>
  <c r="I3" i="11"/>
  <c r="I11" i="11" s="1"/>
  <c r="J3" i="11"/>
  <c r="J11" i="11" s="1"/>
  <c r="L3" i="11"/>
  <c r="L11" i="11" s="1"/>
  <c r="M3" i="11"/>
  <c r="M11" i="11" s="1"/>
  <c r="N3" i="11"/>
  <c r="N11" i="11" s="1"/>
  <c r="C27" i="11"/>
  <c r="D22" i="11"/>
  <c r="D27" i="11" s="1"/>
  <c r="E22" i="11"/>
  <c r="E27" i="11" s="1"/>
  <c r="F22" i="11"/>
  <c r="F27" i="11" s="1"/>
  <c r="G22" i="11"/>
  <c r="G27" i="11" s="1"/>
  <c r="H22" i="11"/>
  <c r="H27" i="11" s="1"/>
  <c r="I22" i="11"/>
  <c r="I27" i="11" s="1"/>
  <c r="J22" i="11"/>
  <c r="J27" i="11" s="1"/>
  <c r="K22" i="11"/>
  <c r="K27" i="11" s="1"/>
  <c r="L22" i="11"/>
  <c r="L27" i="11" s="1"/>
  <c r="M22" i="11"/>
  <c r="M27" i="11" s="1"/>
  <c r="N22" i="11"/>
  <c r="N27" i="11" s="1"/>
  <c r="O24" i="11"/>
  <c r="P24" i="11" s="1"/>
  <c r="O21" i="11"/>
  <c r="P21" i="11" s="1"/>
  <c r="O20" i="11"/>
  <c r="P20" i="11" s="1"/>
  <c r="O19" i="11"/>
  <c r="P19" i="11" s="1"/>
  <c r="O18" i="11"/>
  <c r="P18" i="11" s="1"/>
  <c r="C12" i="11"/>
  <c r="D12" i="11"/>
  <c r="E12" i="11"/>
  <c r="F12" i="11"/>
  <c r="G12" i="11"/>
  <c r="H12" i="11"/>
  <c r="I12" i="11"/>
  <c r="J12" i="11"/>
  <c r="K12" i="11"/>
  <c r="L12" i="11"/>
  <c r="M12" i="11"/>
  <c r="N12" i="11"/>
  <c r="O10" i="11"/>
  <c r="P10" i="11" s="1"/>
  <c r="O9" i="11"/>
  <c r="P9" i="11" s="1"/>
  <c r="O7" i="11"/>
  <c r="P7" i="11" s="1"/>
  <c r="O6" i="11"/>
  <c r="P6" i="11" s="1"/>
  <c r="O5" i="11"/>
  <c r="P5" i="11" s="1"/>
  <c r="O4" i="11"/>
  <c r="P4" i="11" s="1"/>
  <c r="N13" i="11"/>
  <c r="O8" i="11"/>
  <c r="P8" i="11" s="1"/>
  <c r="M13" i="11"/>
  <c r="O25" i="11"/>
  <c r="P25" i="11" s="1"/>
  <c r="M23" i="11"/>
  <c r="M28" i="11" s="1"/>
  <c r="L16" i="11"/>
  <c r="L31" i="11" s="1"/>
  <c r="E16" i="11"/>
  <c r="E31" i="11" s="1"/>
  <c r="F16" i="11"/>
  <c r="F31" i="11" s="1"/>
  <c r="C16" i="11"/>
  <c r="C26" i="11" s="1"/>
  <c r="G16" i="11"/>
  <c r="G32" i="11" s="1"/>
  <c r="F23" i="11"/>
  <c r="F28" i="11" s="1"/>
  <c r="G23" i="11"/>
  <c r="G28" i="11" s="1"/>
  <c r="F13" i="11"/>
  <c r="G13" i="11"/>
  <c r="O17" i="11"/>
  <c r="P17" i="11" s="1"/>
  <c r="N23" i="11"/>
  <c r="N28" i="11" s="1"/>
  <c r="E23" i="11"/>
  <c r="E28" i="11" s="1"/>
  <c r="H23" i="11"/>
  <c r="H28" i="11" s="1"/>
  <c r="I23" i="11"/>
  <c r="I28" i="11" s="1"/>
  <c r="J23" i="11"/>
  <c r="J28" i="11" s="1"/>
  <c r="K23" i="11"/>
  <c r="K28" i="11" s="1"/>
  <c r="L23" i="11"/>
  <c r="L28" i="11" s="1"/>
  <c r="T11" i="9"/>
  <c r="N16" i="11"/>
  <c r="N32" i="11" s="1"/>
  <c r="M16" i="11"/>
  <c r="M31" i="11" s="1"/>
  <c r="K16" i="11"/>
  <c r="K32" i="11" s="1"/>
  <c r="J16" i="11"/>
  <c r="J32" i="11" s="1"/>
  <c r="I16" i="11"/>
  <c r="I32" i="11" s="1"/>
  <c r="H16" i="11"/>
  <c r="H32" i="11" s="1"/>
  <c r="D16" i="11"/>
  <c r="D31" i="11" s="1"/>
  <c r="E13" i="11"/>
  <c r="L13" i="11"/>
  <c r="C13" i="11"/>
  <c r="D13" i="11"/>
  <c r="H13" i="11"/>
  <c r="I13" i="11"/>
  <c r="J13" i="11"/>
  <c r="K13" i="11"/>
  <c r="C28" i="11"/>
  <c r="D28" i="11"/>
  <c r="O25" i="9"/>
  <c r="P25" i="9" s="1"/>
  <c r="O24" i="9"/>
  <c r="P24" i="9" s="1"/>
  <c r="C16" i="9"/>
  <c r="C32" i="9" s="1"/>
  <c r="D16" i="9"/>
  <c r="D32" i="9" s="1"/>
  <c r="E16" i="9"/>
  <c r="E26" i="9" s="1"/>
  <c r="F16" i="9"/>
  <c r="F32" i="9" s="1"/>
  <c r="G16" i="9"/>
  <c r="G26" i="9" s="1"/>
  <c r="H16" i="9"/>
  <c r="H32" i="9" s="1"/>
  <c r="I16" i="9"/>
  <c r="I31" i="9" s="1"/>
  <c r="J16" i="9"/>
  <c r="J31" i="9" s="1"/>
  <c r="O9" i="9"/>
  <c r="P9" i="9" s="1"/>
  <c r="C3" i="9"/>
  <c r="D3" i="9"/>
  <c r="D11" i="9" s="1"/>
  <c r="E3" i="9"/>
  <c r="E11" i="9" s="1"/>
  <c r="F3" i="9"/>
  <c r="F11" i="9" s="1"/>
  <c r="G3" i="9"/>
  <c r="G11" i="9" s="1"/>
  <c r="H3" i="9"/>
  <c r="H11" i="9" s="1"/>
  <c r="I3" i="9"/>
  <c r="I11" i="9" s="1"/>
  <c r="J3" i="9"/>
  <c r="J11" i="9" s="1"/>
  <c r="O21" i="9"/>
  <c r="P21" i="9" s="1"/>
  <c r="O20" i="9"/>
  <c r="P20" i="9" s="1"/>
  <c r="O6" i="9"/>
  <c r="P6" i="9" s="1"/>
  <c r="O5" i="9"/>
  <c r="P5" i="9" s="1"/>
  <c r="O4" i="9"/>
  <c r="P4" i="9" s="1"/>
  <c r="K3" i="9"/>
  <c r="K11" i="9" s="1"/>
  <c r="L3" i="9"/>
  <c r="L11" i="9" s="1"/>
  <c r="M3" i="9"/>
  <c r="M11" i="9" s="1"/>
  <c r="N3" i="9"/>
  <c r="N11" i="9" s="1"/>
  <c r="O7" i="9"/>
  <c r="P7" i="9" s="1"/>
  <c r="O8" i="9"/>
  <c r="P8" i="9" s="1"/>
  <c r="O10" i="9"/>
  <c r="P10" i="9" s="1"/>
  <c r="C12" i="9"/>
  <c r="D12" i="9"/>
  <c r="E12" i="9"/>
  <c r="F12" i="9"/>
  <c r="G12" i="9"/>
  <c r="H12" i="9"/>
  <c r="L12" i="9"/>
  <c r="M12" i="9"/>
  <c r="I12" i="9"/>
  <c r="J12" i="9"/>
  <c r="K12" i="9"/>
  <c r="N12" i="9"/>
  <c r="C13" i="9"/>
  <c r="D13" i="9"/>
  <c r="E13" i="9"/>
  <c r="F13" i="9"/>
  <c r="G13" i="9"/>
  <c r="H13" i="9"/>
  <c r="I13" i="9"/>
  <c r="J13" i="9"/>
  <c r="K13" i="9"/>
  <c r="L13" i="9"/>
  <c r="M13" i="9"/>
  <c r="N13" i="9"/>
  <c r="K16" i="9"/>
  <c r="K32" i="9" s="1"/>
  <c r="L16" i="9"/>
  <c r="L26" i="9" s="1"/>
  <c r="M16" i="9"/>
  <c r="M26" i="9" s="1"/>
  <c r="M27" i="9"/>
  <c r="M28" i="9"/>
  <c r="N16" i="9"/>
  <c r="N31" i="9" s="1"/>
  <c r="O22" i="9"/>
  <c r="P22" i="9" s="1"/>
  <c r="O23" i="9"/>
  <c r="P23" i="9" s="1"/>
  <c r="C27" i="9"/>
  <c r="D27" i="9"/>
  <c r="E27" i="9"/>
  <c r="F27" i="9"/>
  <c r="G27" i="9"/>
  <c r="H27" i="9"/>
  <c r="L27" i="9"/>
  <c r="I27" i="9"/>
  <c r="J27" i="9"/>
  <c r="K27" i="9"/>
  <c r="N27" i="9"/>
  <c r="C28" i="9"/>
  <c r="D28" i="9"/>
  <c r="E28" i="9"/>
  <c r="F28" i="9"/>
  <c r="G28" i="9"/>
  <c r="H28" i="9"/>
  <c r="I28" i="9"/>
  <c r="J28" i="9"/>
  <c r="K28" i="9"/>
  <c r="L28" i="9"/>
  <c r="N28" i="9"/>
  <c r="O19" i="9"/>
  <c r="P19" i="9" s="1"/>
  <c r="O18" i="9"/>
  <c r="P18" i="9" s="1"/>
  <c r="O17" i="9"/>
  <c r="P17" i="9" s="1"/>
  <c r="N3" i="8"/>
  <c r="N11" i="8" s="1"/>
  <c r="N16" i="8"/>
  <c r="N33" i="8" s="1"/>
  <c r="O22" i="8"/>
  <c r="P22" i="8" s="1"/>
  <c r="O23" i="8"/>
  <c r="P23" i="8" s="1"/>
  <c r="O7" i="8"/>
  <c r="P7" i="8" s="1"/>
  <c r="O8" i="8"/>
  <c r="P8" i="8" s="1"/>
  <c r="O20" i="8"/>
  <c r="P20" i="8" s="1"/>
  <c r="O21" i="8"/>
  <c r="P21" i="8" s="1"/>
  <c r="O18" i="8"/>
  <c r="P18" i="8" s="1"/>
  <c r="O4" i="8"/>
  <c r="P4" i="8" s="1"/>
  <c r="O5" i="8"/>
  <c r="P5" i="8" s="1"/>
  <c r="O6" i="8"/>
  <c r="P6" i="8" s="1"/>
  <c r="C12" i="8"/>
  <c r="D12" i="8"/>
  <c r="E12" i="8"/>
  <c r="F12" i="8"/>
  <c r="G12" i="8"/>
  <c r="H12" i="8"/>
  <c r="I12" i="8"/>
  <c r="J12" i="8"/>
  <c r="K12" i="8"/>
  <c r="L12" i="8"/>
  <c r="M12" i="8"/>
  <c r="N12" i="8"/>
  <c r="N13" i="8"/>
  <c r="N27" i="8"/>
  <c r="N28" i="8"/>
  <c r="C13" i="8"/>
  <c r="D13" i="8"/>
  <c r="E13" i="8"/>
  <c r="F13" i="8"/>
  <c r="G13" i="8"/>
  <c r="H13" i="8"/>
  <c r="I13" i="8"/>
  <c r="J13" i="8"/>
  <c r="K13" i="8"/>
  <c r="L13" i="8"/>
  <c r="M13" i="8"/>
  <c r="C27" i="8"/>
  <c r="D27" i="8"/>
  <c r="E27" i="8"/>
  <c r="F27" i="8"/>
  <c r="G27" i="8"/>
  <c r="H27" i="8"/>
  <c r="I27" i="8"/>
  <c r="J27" i="8"/>
  <c r="K27" i="8"/>
  <c r="L27" i="8"/>
  <c r="M27" i="8"/>
  <c r="L16" i="8"/>
  <c r="L33" i="8" s="1"/>
  <c r="L28" i="8"/>
  <c r="C28" i="8"/>
  <c r="D28" i="8"/>
  <c r="E28" i="8"/>
  <c r="F28" i="8"/>
  <c r="G28" i="8"/>
  <c r="H28" i="8"/>
  <c r="I28" i="8"/>
  <c r="J28" i="8"/>
  <c r="K28" i="8"/>
  <c r="M28" i="8"/>
  <c r="M3" i="8"/>
  <c r="M11" i="8" s="1"/>
  <c r="M16" i="8"/>
  <c r="M26" i="8" s="1"/>
  <c r="L3" i="8"/>
  <c r="L11" i="8" s="1"/>
  <c r="K3" i="8"/>
  <c r="K11" i="8" s="1"/>
  <c r="J3" i="8"/>
  <c r="J11" i="8" s="1"/>
  <c r="C3" i="8"/>
  <c r="C11" i="8" s="1"/>
  <c r="D3" i="8"/>
  <c r="D11" i="8" s="1"/>
  <c r="E3" i="8"/>
  <c r="E11" i="8" s="1"/>
  <c r="F3" i="8"/>
  <c r="F11" i="8" s="1"/>
  <c r="G3" i="8"/>
  <c r="G11" i="8" s="1"/>
  <c r="H3" i="8"/>
  <c r="H11" i="8" s="1"/>
  <c r="I3" i="8"/>
  <c r="I11" i="8" s="1"/>
  <c r="G16" i="8"/>
  <c r="G26" i="8" s="1"/>
  <c r="F16" i="8"/>
  <c r="F32" i="8" s="1"/>
  <c r="O19" i="8"/>
  <c r="P19" i="8" s="1"/>
  <c r="I16" i="8"/>
  <c r="I26" i="8" s="1"/>
  <c r="K16" i="8"/>
  <c r="K32" i="8" s="1"/>
  <c r="J16" i="8"/>
  <c r="J32" i="8" s="1"/>
  <c r="H16" i="8"/>
  <c r="H26" i="8" s="1"/>
  <c r="E16" i="8"/>
  <c r="E33" i="8" s="1"/>
  <c r="D16" i="8"/>
  <c r="D32" i="8" s="1"/>
  <c r="C16" i="8"/>
  <c r="O9" i="8"/>
  <c r="P9" i="8" s="1"/>
  <c r="O10" i="8"/>
  <c r="P10" i="8" s="1"/>
  <c r="O17" i="8"/>
  <c r="P17" i="8" s="1"/>
  <c r="O24" i="8"/>
  <c r="P24" i="8" s="1"/>
  <c r="O25" i="8"/>
  <c r="P25" i="8" s="1"/>
  <c r="O2" i="4"/>
  <c r="O3" i="4"/>
  <c r="O4" i="4"/>
  <c r="O5" i="4"/>
  <c r="O6" i="4"/>
  <c r="O7" i="4"/>
  <c r="O9" i="4"/>
  <c r="O10" i="4"/>
  <c r="O12" i="4"/>
  <c r="O13" i="4"/>
  <c r="O14" i="4"/>
  <c r="O15" i="4"/>
  <c r="O16" i="4"/>
  <c r="O17" i="4"/>
  <c r="O18" i="4"/>
  <c r="O20" i="4"/>
  <c r="O21" i="4"/>
  <c r="N8" i="4"/>
  <c r="N11" i="4" s="1"/>
  <c r="N19" i="4"/>
  <c r="N22" i="4" s="1"/>
  <c r="M8" i="4"/>
  <c r="M11" i="4" s="1"/>
  <c r="M19" i="4"/>
  <c r="M22" i="4" s="1"/>
  <c r="L8" i="4"/>
  <c r="L11" i="4" s="1"/>
  <c r="L19" i="4"/>
  <c r="L22" i="4" s="1"/>
  <c r="K8" i="4"/>
  <c r="K11" i="4" s="1"/>
  <c r="K19" i="4"/>
  <c r="K22" i="4" s="1"/>
  <c r="J8" i="4"/>
  <c r="J11" i="4" s="1"/>
  <c r="J19" i="4"/>
  <c r="J22" i="4" s="1"/>
  <c r="I8" i="4"/>
  <c r="I11" i="4" s="1"/>
  <c r="I19" i="4"/>
  <c r="I22" i="4" s="1"/>
  <c r="H8" i="4"/>
  <c r="H11" i="4" s="1"/>
  <c r="H19" i="4"/>
  <c r="H22" i="4" s="1"/>
  <c r="G8" i="4"/>
  <c r="G11" i="4" s="1"/>
  <c r="G19" i="4"/>
  <c r="G22" i="4" s="1"/>
  <c r="F8" i="4"/>
  <c r="F11" i="4" s="1"/>
  <c r="F19" i="4"/>
  <c r="F22" i="4" s="1"/>
  <c r="E8" i="4"/>
  <c r="E11" i="4" s="1"/>
  <c r="E19" i="4"/>
  <c r="E22" i="4" s="1"/>
  <c r="D8" i="4"/>
  <c r="D11" i="4" s="1"/>
  <c r="D19" i="4"/>
  <c r="D22" i="4" s="1"/>
  <c r="C8" i="4"/>
  <c r="C11" i="4" s="1"/>
  <c r="C19" i="4"/>
  <c r="C22" i="4" s="1"/>
  <c r="E29" i="3"/>
  <c r="J11" i="3"/>
  <c r="C11" i="3"/>
  <c r="D11" i="3"/>
  <c r="E11" i="3"/>
  <c r="F11" i="3"/>
  <c r="G11" i="3"/>
  <c r="H11" i="3"/>
  <c r="I11" i="3"/>
  <c r="K11" i="3"/>
  <c r="L11" i="3"/>
  <c r="M11" i="3"/>
  <c r="N11" i="3"/>
  <c r="C22" i="3"/>
  <c r="D22" i="3"/>
  <c r="E22" i="3"/>
  <c r="F22" i="3"/>
  <c r="G22" i="3"/>
  <c r="H22" i="3"/>
  <c r="I22" i="3"/>
  <c r="J22" i="3"/>
  <c r="K22" i="3"/>
  <c r="L22" i="3"/>
  <c r="M22" i="3"/>
  <c r="N22" i="3"/>
  <c r="C10" i="3"/>
  <c r="D10" i="3"/>
  <c r="E10" i="3"/>
  <c r="F10" i="3"/>
  <c r="G10" i="3"/>
  <c r="H10" i="3"/>
  <c r="N23" i="3"/>
  <c r="M23" i="3"/>
  <c r="M21" i="3"/>
  <c r="L23" i="3"/>
  <c r="K23" i="3"/>
  <c r="J23" i="3"/>
  <c r="I23" i="3"/>
  <c r="H23" i="3"/>
  <c r="G23" i="3"/>
  <c r="F23" i="3"/>
  <c r="E23" i="3"/>
  <c r="E21" i="3"/>
  <c r="D23" i="3"/>
  <c r="C23" i="3"/>
  <c r="N10" i="3"/>
  <c r="M10" i="3"/>
  <c r="L10" i="3"/>
  <c r="K10" i="3"/>
  <c r="J10" i="3"/>
  <c r="I10" i="3"/>
  <c r="J25" i="4"/>
  <c r="O3" i="3"/>
  <c r="O4" i="3"/>
  <c r="O5" i="3"/>
  <c r="O6" i="3"/>
  <c r="O7" i="3"/>
  <c r="O8" i="3"/>
  <c r="O14" i="3"/>
  <c r="O15" i="3"/>
  <c r="O16" i="3"/>
  <c r="O17" i="3"/>
  <c r="O18" i="3"/>
  <c r="O19" i="3"/>
  <c r="O20" i="3"/>
  <c r="N21" i="3"/>
  <c r="L21" i="3"/>
  <c r="K21" i="3"/>
  <c r="J21" i="3"/>
  <c r="I21" i="3"/>
  <c r="H21" i="3"/>
  <c r="G21" i="3"/>
  <c r="F21" i="3"/>
  <c r="D21" i="3"/>
  <c r="C21" i="3"/>
  <c r="N9" i="3"/>
  <c r="M9" i="3"/>
  <c r="L9" i="3"/>
  <c r="K9" i="3"/>
  <c r="J9" i="3"/>
  <c r="I9" i="3"/>
  <c r="H9" i="3"/>
  <c r="G9" i="3"/>
  <c r="F9" i="3"/>
  <c r="E9" i="3"/>
  <c r="D9" i="3"/>
  <c r="C9" i="3"/>
  <c r="N30" i="12" l="1"/>
  <c r="N31" i="12"/>
  <c r="M30" i="12"/>
  <c r="M31" i="12"/>
  <c r="L30" i="12"/>
  <c r="L31" i="12"/>
  <c r="J30" i="12"/>
  <c r="J31" i="12"/>
  <c r="I30" i="12"/>
  <c r="I31" i="12"/>
  <c r="F30" i="12"/>
  <c r="D32" i="11"/>
  <c r="D33" i="8"/>
  <c r="F33" i="8"/>
  <c r="K31" i="11"/>
  <c r="H31" i="11"/>
  <c r="J31" i="11"/>
  <c r="D26" i="11"/>
  <c r="D29" i="11" s="1"/>
  <c r="M33" i="8"/>
  <c r="M32" i="8"/>
  <c r="D26" i="9"/>
  <c r="D29" i="9" s="1"/>
  <c r="K14" i="11"/>
  <c r="E32" i="8"/>
  <c r="C32" i="11"/>
  <c r="J26" i="9"/>
  <c r="J29" i="9" s="1"/>
  <c r="G31" i="11"/>
  <c r="I32" i="9"/>
  <c r="L31" i="9"/>
  <c r="F31" i="9"/>
  <c r="F32" i="11"/>
  <c r="K31" i="9"/>
  <c r="L14" i="9"/>
  <c r="E14" i="9"/>
  <c r="K26" i="9"/>
  <c r="K29" i="9" s="1"/>
  <c r="F14" i="8"/>
  <c r="E32" i="11"/>
  <c r="L32" i="8"/>
  <c r="D31" i="9"/>
  <c r="E25" i="12"/>
  <c r="I13" i="12"/>
  <c r="N24" i="3"/>
  <c r="G25" i="12"/>
  <c r="G28" i="12" s="1"/>
  <c r="M26" i="11"/>
  <c r="M29" i="11" s="1"/>
  <c r="J25" i="12"/>
  <c r="J28" i="12" s="1"/>
  <c r="H31" i="9"/>
  <c r="J33" i="8"/>
  <c r="G26" i="11"/>
  <c r="G29" i="11" s="1"/>
  <c r="H26" i="9"/>
  <c r="H29" i="9" s="1"/>
  <c r="J24" i="3"/>
  <c r="L32" i="9"/>
  <c r="H24" i="3"/>
  <c r="I26" i="9"/>
  <c r="I29" i="9" s="1"/>
  <c r="D13" i="12"/>
  <c r="N32" i="9"/>
  <c r="M31" i="9"/>
  <c r="F26" i="9"/>
  <c r="F29" i="9" s="1"/>
  <c r="D25" i="12"/>
  <c r="G30" i="12"/>
  <c r="E26" i="11"/>
  <c r="E29" i="11" s="1"/>
  <c r="J26" i="8"/>
  <c r="J29" i="8" s="1"/>
  <c r="M32" i="9"/>
  <c r="G33" i="8"/>
  <c r="G14" i="9"/>
  <c r="F26" i="11"/>
  <c r="F29" i="11" s="1"/>
  <c r="J26" i="11"/>
  <c r="J29" i="11" s="1"/>
  <c r="D26" i="8"/>
  <c r="D29" i="8" s="1"/>
  <c r="N12" i="3"/>
  <c r="D14" i="9"/>
  <c r="I29" i="8"/>
  <c r="G32" i="8"/>
  <c r="O27" i="9"/>
  <c r="P27" i="9" s="1"/>
  <c r="M14" i="9"/>
  <c r="F26" i="8"/>
  <c r="F29" i="8" s="1"/>
  <c r="E31" i="9"/>
  <c r="H14" i="8"/>
  <c r="J13" i="12"/>
  <c r="F24" i="3"/>
  <c r="E26" i="8"/>
  <c r="E29" i="8" s="1"/>
  <c r="Q6" i="12"/>
  <c r="L14" i="8"/>
  <c r="E29" i="9"/>
  <c r="N13" i="12"/>
  <c r="N26" i="11"/>
  <c r="N29" i="11" s="1"/>
  <c r="H12" i="3"/>
  <c r="M13" i="12"/>
  <c r="N31" i="11"/>
  <c r="L24" i="3"/>
  <c r="M12" i="3"/>
  <c r="E24" i="3"/>
  <c r="K14" i="9"/>
  <c r="C29" i="11"/>
  <c r="O3" i="9"/>
  <c r="P3" i="9" s="1"/>
  <c r="Q3" i="9" s="1"/>
  <c r="Q9" i="9"/>
  <c r="M25" i="12"/>
  <c r="M28" i="12" s="1"/>
  <c r="G13" i="12"/>
  <c r="C14" i="8"/>
  <c r="J14" i="9"/>
  <c r="C24" i="3"/>
  <c r="G29" i="8"/>
  <c r="M32" i="11"/>
  <c r="L26" i="8"/>
  <c r="L29" i="8" s="1"/>
  <c r="C31" i="11"/>
  <c r="D24" i="3"/>
  <c r="I12" i="3"/>
  <c r="D12" i="3"/>
  <c r="I14" i="8"/>
  <c r="E14" i="11"/>
  <c r="I25" i="12"/>
  <c r="I28" i="12" s="1"/>
  <c r="D31" i="12"/>
  <c r="M14" i="8"/>
  <c r="H26" i="11"/>
  <c r="H29" i="11" s="1"/>
  <c r="E32" i="9"/>
  <c r="G12" i="3"/>
  <c r="K13" i="12"/>
  <c r="O3" i="8"/>
  <c r="O11" i="8" s="1"/>
  <c r="P11" i="8" s="1"/>
  <c r="D14" i="8"/>
  <c r="H14" i="9"/>
  <c r="C11" i="9"/>
  <c r="C14" i="9" s="1"/>
  <c r="I24" i="3"/>
  <c r="O9" i="3"/>
  <c r="M24" i="3"/>
  <c r="K24" i="3"/>
  <c r="E14" i="8"/>
  <c r="Q7" i="11"/>
  <c r="I33" i="8"/>
  <c r="J12" i="3"/>
  <c r="I23" i="4"/>
  <c r="I32" i="8"/>
  <c r="O15" i="12"/>
  <c r="P15" i="12" s="1"/>
  <c r="J23" i="4"/>
  <c r="N14" i="8"/>
  <c r="Q9" i="11"/>
  <c r="F13" i="12"/>
  <c r="K30" i="12"/>
  <c r="O12" i="8"/>
  <c r="P12" i="8" s="1"/>
  <c r="O8" i="4"/>
  <c r="O11" i="4" s="1"/>
  <c r="C25" i="12"/>
  <c r="C28" i="12" s="1"/>
  <c r="Q24" i="8"/>
  <c r="H32" i="8"/>
  <c r="O21" i="3"/>
  <c r="O10" i="3"/>
  <c r="O22" i="3"/>
  <c r="L12" i="3"/>
  <c r="K23" i="4"/>
  <c r="N32" i="8"/>
  <c r="N14" i="9"/>
  <c r="L26" i="11"/>
  <c r="L29" i="11" s="1"/>
  <c r="L25" i="12"/>
  <c r="L28" i="12" s="1"/>
  <c r="O3" i="11"/>
  <c r="P3" i="11" s="1"/>
  <c r="Q3" i="11" s="1"/>
  <c r="C13" i="12"/>
  <c r="N25" i="12"/>
  <c r="N28" i="12" s="1"/>
  <c r="E13" i="12"/>
  <c r="C31" i="9"/>
  <c r="M29" i="9"/>
  <c r="D14" i="11"/>
  <c r="E27" i="12"/>
  <c r="O22" i="12"/>
  <c r="P22" i="12" s="1"/>
  <c r="K12" i="3"/>
  <c r="C12" i="3"/>
  <c r="D23" i="4"/>
  <c r="H23" i="4"/>
  <c r="O28" i="8"/>
  <c r="P28" i="8" s="1"/>
  <c r="O27" i="8"/>
  <c r="P27" i="8" s="1"/>
  <c r="O13" i="8"/>
  <c r="P13" i="8" s="1"/>
  <c r="L29" i="9"/>
  <c r="O13" i="9"/>
  <c r="P13" i="9" s="1"/>
  <c r="F14" i="9"/>
  <c r="M14" i="11"/>
  <c r="D27" i="12"/>
  <c r="I14" i="9"/>
  <c r="O28" i="11"/>
  <c r="P28" i="11" s="1"/>
  <c r="O16" i="11"/>
  <c r="P16" i="11" s="1"/>
  <c r="Q16" i="11" s="1"/>
  <c r="L14" i="11"/>
  <c r="N14" i="11"/>
  <c r="C14" i="11"/>
  <c r="O11" i="12"/>
  <c r="O19" i="4"/>
  <c r="O22" i="4" s="1"/>
  <c r="Q17" i="9"/>
  <c r="Q4" i="11"/>
  <c r="F25" i="12"/>
  <c r="F28" i="12" s="1"/>
  <c r="C26" i="9"/>
  <c r="C29" i="9" s="1"/>
  <c r="N26" i="8"/>
  <c r="N29" i="8" s="1"/>
  <c r="E12" i="3"/>
  <c r="O23" i="3"/>
  <c r="F12" i="3"/>
  <c r="C30" i="12"/>
  <c r="F23" i="4"/>
  <c r="J14" i="8"/>
  <c r="O28" i="9"/>
  <c r="P28" i="9" s="1"/>
  <c r="Q22" i="9"/>
  <c r="G29" i="9"/>
  <c r="O12" i="12"/>
  <c r="P12" i="12" s="1"/>
  <c r="O21" i="12"/>
  <c r="N23" i="4"/>
  <c r="H33" i="8"/>
  <c r="K14" i="8"/>
  <c r="Q7" i="8"/>
  <c r="J14" i="11"/>
  <c r="H29" i="8"/>
  <c r="Q4" i="9"/>
  <c r="O23" i="11"/>
  <c r="P23" i="11" s="1"/>
  <c r="O22" i="11"/>
  <c r="P22" i="11" s="1"/>
  <c r="I14" i="11"/>
  <c r="Q17" i="8"/>
  <c r="O13" i="11"/>
  <c r="P13" i="11" s="1"/>
  <c r="Q24" i="11"/>
  <c r="H14" i="11"/>
  <c r="L13" i="12"/>
  <c r="G24" i="3"/>
  <c r="C23" i="4"/>
  <c r="Q9" i="8"/>
  <c r="G14" i="8"/>
  <c r="M29" i="8"/>
  <c r="Q7" i="9"/>
  <c r="Q17" i="11"/>
  <c r="O12" i="11"/>
  <c r="P12" i="11" s="1"/>
  <c r="G14" i="11"/>
  <c r="Q4" i="8"/>
  <c r="O26" i="12"/>
  <c r="L23" i="4"/>
  <c r="Q24" i="9"/>
  <c r="Q22" i="8"/>
  <c r="M23" i="4"/>
  <c r="E23" i="4"/>
  <c r="O27" i="11"/>
  <c r="P27" i="11" s="1"/>
  <c r="G23" i="4"/>
  <c r="O16" i="8"/>
  <c r="G31" i="9"/>
  <c r="C33" i="8"/>
  <c r="K33" i="8"/>
  <c r="J32" i="9"/>
  <c r="G32" i="9"/>
  <c r="K25" i="12"/>
  <c r="K28" i="12" s="1"/>
  <c r="F11" i="11"/>
  <c r="F14" i="11" s="1"/>
  <c r="H25" i="12"/>
  <c r="H28" i="12" s="1"/>
  <c r="O12" i="9"/>
  <c r="I26" i="11"/>
  <c r="I29" i="11" s="1"/>
  <c r="C26" i="8"/>
  <c r="C29" i="8" s="1"/>
  <c r="O11" i="3"/>
  <c r="O16" i="9"/>
  <c r="K26" i="11"/>
  <c r="K29" i="11" s="1"/>
  <c r="N26" i="9"/>
  <c r="N29" i="9" s="1"/>
  <c r="I31" i="11"/>
  <c r="L32" i="11"/>
  <c r="K26" i="8"/>
  <c r="K29" i="8" s="1"/>
  <c r="H13" i="12"/>
  <c r="H30" i="12"/>
  <c r="Q3" i="12"/>
  <c r="Q8" i="12"/>
  <c r="O2" i="12"/>
  <c r="P2" i="12" s="1"/>
  <c r="Q16" i="12"/>
  <c r="Q23" i="12"/>
  <c r="O31" i="12" l="1"/>
  <c r="O30" i="12"/>
  <c r="K30" i="11"/>
  <c r="D30" i="11"/>
  <c r="L30" i="9"/>
  <c r="C30" i="8"/>
  <c r="E30" i="8"/>
  <c r="I29" i="12"/>
  <c r="Q15" i="12"/>
  <c r="F30" i="8"/>
  <c r="E30" i="9"/>
  <c r="E28" i="12"/>
  <c r="E29" i="12" s="1"/>
  <c r="M30" i="8"/>
  <c r="M29" i="12"/>
  <c r="M30" i="9"/>
  <c r="F25" i="3"/>
  <c r="J25" i="3"/>
  <c r="D30" i="9"/>
  <c r="O27" i="12"/>
  <c r="P27" i="12" s="1"/>
  <c r="K30" i="9"/>
  <c r="N25" i="3"/>
  <c r="H30" i="11"/>
  <c r="M25" i="3"/>
  <c r="D30" i="8"/>
  <c r="H25" i="3"/>
  <c r="I25" i="3"/>
  <c r="L30" i="8"/>
  <c r="L25" i="3"/>
  <c r="G30" i="9"/>
  <c r="L30" i="11"/>
  <c r="J29" i="12"/>
  <c r="H30" i="8"/>
  <c r="J30" i="8"/>
  <c r="I30" i="8"/>
  <c r="J30" i="9"/>
  <c r="K25" i="3"/>
  <c r="N29" i="12"/>
  <c r="H29" i="12"/>
  <c r="G30" i="11"/>
  <c r="C25" i="3"/>
  <c r="O11" i="9"/>
  <c r="P11" i="9" s="1"/>
  <c r="M30" i="11"/>
  <c r="Q21" i="12"/>
  <c r="C30" i="11"/>
  <c r="O25" i="12"/>
  <c r="P25" i="12" s="1"/>
  <c r="E25" i="3"/>
  <c r="F30" i="9"/>
  <c r="G30" i="8"/>
  <c r="C30" i="9"/>
  <c r="E30" i="11"/>
  <c r="N30" i="11"/>
  <c r="D25" i="3"/>
  <c r="O11" i="11"/>
  <c r="P11" i="11" s="1"/>
  <c r="G25" i="3"/>
  <c r="N30" i="8"/>
  <c r="K30" i="8"/>
  <c r="G29" i="12"/>
  <c r="L29" i="12"/>
  <c r="J30" i="11"/>
  <c r="I30" i="9"/>
  <c r="O23" i="4"/>
  <c r="O12" i="3"/>
  <c r="D28" i="12"/>
  <c r="D29" i="12" s="1"/>
  <c r="P3" i="8"/>
  <c r="Q3" i="8" s="1"/>
  <c r="F30" i="11"/>
  <c r="F29" i="12"/>
  <c r="H30" i="9"/>
  <c r="K29" i="12"/>
  <c r="Q22" i="11"/>
  <c r="N30" i="9"/>
  <c r="O24" i="3"/>
  <c r="O26" i="11"/>
  <c r="P26" i="11" s="1"/>
  <c r="N24" i="4"/>
  <c r="I30" i="11"/>
  <c r="O14" i="8"/>
  <c r="P14" i="8" s="1"/>
  <c r="P12" i="9"/>
  <c r="O26" i="9"/>
  <c r="P16" i="9"/>
  <c r="Q16" i="9" s="1"/>
  <c r="O26" i="8"/>
  <c r="P16" i="8"/>
  <c r="Q16" i="8" s="1"/>
  <c r="O10" i="12"/>
  <c r="P10" i="12" s="1"/>
  <c r="Q2" i="12"/>
  <c r="O14" i="11" l="1"/>
  <c r="P14" i="11" s="1"/>
  <c r="O14" i="9"/>
  <c r="P14" i="9" s="1"/>
  <c r="O28" i="12"/>
  <c r="P28" i="12" s="1"/>
  <c r="N26" i="3"/>
  <c r="O29" i="11"/>
  <c r="P29" i="11" s="1"/>
  <c r="O25" i="3"/>
  <c r="O29" i="9"/>
  <c r="P29" i="9" s="1"/>
  <c r="P26" i="9"/>
  <c r="O29" i="8"/>
  <c r="P26" i="8"/>
  <c r="O13" i="12"/>
  <c r="P13" i="12" s="1"/>
  <c r="C39" i="12" l="1"/>
  <c r="D39" i="12" s="1"/>
  <c r="O30" i="11"/>
  <c r="P30" i="11" s="1"/>
  <c r="P29" i="8"/>
  <c r="N31" i="8"/>
  <c r="O30" i="8"/>
  <c r="P30" i="8" s="1"/>
  <c r="O30" i="9"/>
  <c r="P30" i="9" s="1"/>
  <c r="O29" i="12"/>
  <c r="P29" i="12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Usuario de Microsoft Office</author>
  </authors>
  <commentList>
    <comment ref="A5" authorId="0" shapeId="0" xr:uid="{8B184556-E1AE-46AB-8047-961DC5A6FBAA}">
      <text>
        <r>
          <rPr>
            <b/>
            <sz val="18"/>
            <color indexed="81"/>
            <rFont val="Calibri"/>
            <family val="2"/>
          </rPr>
          <t>Suma:</t>
        </r>
        <r>
          <rPr>
            <sz val="14"/>
            <color indexed="81"/>
            <rFont val="Calibri"/>
            <family val="2"/>
          </rPr>
          <t xml:space="preserve">
</t>
        </r>
        <r>
          <rPr>
            <b/>
            <sz val="14"/>
            <color indexed="81"/>
            <rFont val="Calibri"/>
            <family val="2"/>
          </rPr>
          <t>1º Importe de Caja:</t>
        </r>
        <r>
          <rPr>
            <sz val="14"/>
            <color indexed="81"/>
            <rFont val="Calibri"/>
            <family val="2"/>
          </rPr>
          <t xml:space="preserve"> Tabla de Objetivos (pestaña MOD el importe del mes)
</t>
        </r>
        <r>
          <rPr>
            <b/>
            <sz val="14"/>
            <color indexed="81"/>
            <rFont val="Calibri"/>
            <family val="2"/>
          </rPr>
          <t>2º Retribución Base Mensual:</t>
        </r>
        <r>
          <rPr>
            <sz val="14"/>
            <color indexed="81"/>
            <rFont val="Calibri"/>
            <family val="2"/>
          </rPr>
          <t xml:space="preserve"> Tabla de Informes 2017 (pestaña PDV 2017 Importe que pagan mensualmente por tienda)
</t>
        </r>
        <r>
          <rPr>
            <b/>
            <sz val="14"/>
            <color indexed="81"/>
            <rFont val="Calibri"/>
            <family val="2"/>
          </rPr>
          <t>3º Importe de PRV Local</t>
        </r>
        <r>
          <rPr>
            <sz val="14"/>
            <color indexed="81"/>
            <rFont val="Calibri"/>
            <family val="2"/>
          </rPr>
          <t xml:space="preserve"> (pestaña PDV 2017 Territoriales)
</t>
        </r>
      </text>
    </comment>
    <comment ref="A13" authorId="0" shapeId="0" xr:uid="{504129D8-F738-40CE-90CC-3133F5ABC3D7}">
      <text>
        <r>
          <rPr>
            <b/>
            <sz val="18"/>
            <color indexed="81"/>
            <rFont val="Calibri"/>
            <family val="2"/>
          </rPr>
          <t>Suma:</t>
        </r>
        <r>
          <rPr>
            <sz val="14"/>
            <color indexed="81"/>
            <rFont val="Calibri"/>
            <family val="2"/>
          </rPr>
          <t xml:space="preserve">
</t>
        </r>
        <r>
          <rPr>
            <b/>
            <sz val="14"/>
            <color indexed="81"/>
            <rFont val="Calibri"/>
            <family val="2"/>
          </rPr>
          <t>1º Importe de Caja:</t>
        </r>
        <r>
          <rPr>
            <sz val="14"/>
            <color indexed="81"/>
            <rFont val="Calibri"/>
            <family val="2"/>
          </rPr>
          <t xml:space="preserve"> Tabla de Objetivos (pestaña MOD el importe del mes)
</t>
        </r>
        <r>
          <rPr>
            <b/>
            <sz val="14"/>
            <color indexed="81"/>
            <rFont val="Calibri"/>
            <family val="2"/>
          </rPr>
          <t>2º Retribución Base Mensual:</t>
        </r>
        <r>
          <rPr>
            <sz val="14"/>
            <color indexed="81"/>
            <rFont val="Calibri"/>
            <family val="2"/>
          </rPr>
          <t xml:space="preserve"> Tabla de Informes 2017 (pestaña FFVV 2017 Importe que pagan POR FFVV)
</t>
        </r>
        <r>
          <rPr>
            <b/>
            <sz val="14"/>
            <color indexed="81"/>
            <rFont val="Calibri"/>
            <family val="2"/>
          </rPr>
          <t>3º Importe de PRV Local</t>
        </r>
        <r>
          <rPr>
            <sz val="14"/>
            <color indexed="81"/>
            <rFont val="Calibri"/>
            <family val="2"/>
          </rPr>
          <t xml:space="preserve"> (pestaña FFVV 2017 Territoriales)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Usuario de Microsoft Office</author>
  </authors>
  <commentList>
    <comment ref="A5" authorId="0" shapeId="0" xr:uid="{75651DC5-8A0C-464A-BB65-A7560789FF3A}">
      <text>
        <r>
          <rPr>
            <b/>
            <sz val="18"/>
            <color indexed="81"/>
            <rFont val="Calibri"/>
            <family val="2"/>
          </rPr>
          <t>Suma:</t>
        </r>
        <r>
          <rPr>
            <sz val="14"/>
            <color indexed="81"/>
            <rFont val="Calibri"/>
            <family val="2"/>
          </rPr>
          <t xml:space="preserve">
</t>
        </r>
        <r>
          <rPr>
            <b/>
            <sz val="14"/>
            <color indexed="81"/>
            <rFont val="Calibri"/>
            <family val="2"/>
          </rPr>
          <t>1º Importe de Caja:</t>
        </r>
        <r>
          <rPr>
            <sz val="14"/>
            <color indexed="81"/>
            <rFont val="Calibri"/>
            <family val="2"/>
          </rPr>
          <t xml:space="preserve"> Tabla de Objetivos (pestaña MOD el importe del mes)
</t>
        </r>
        <r>
          <rPr>
            <b/>
            <sz val="14"/>
            <color indexed="81"/>
            <rFont val="Calibri"/>
            <family val="2"/>
          </rPr>
          <t>2º Retribución Base Mensual:</t>
        </r>
        <r>
          <rPr>
            <sz val="14"/>
            <color indexed="81"/>
            <rFont val="Calibri"/>
            <family val="2"/>
          </rPr>
          <t xml:space="preserve"> Tabla de Informes 2017 (pestaña PDV 2017 Importe que pagan mensualmente por tienda)
</t>
        </r>
        <r>
          <rPr>
            <b/>
            <sz val="14"/>
            <color indexed="81"/>
            <rFont val="Calibri"/>
            <family val="2"/>
          </rPr>
          <t>3º Importe de PRV Local</t>
        </r>
        <r>
          <rPr>
            <sz val="14"/>
            <color indexed="81"/>
            <rFont val="Calibri"/>
            <family val="2"/>
          </rPr>
          <t xml:space="preserve"> (pestaña PDV 2017 Territoriales)
</t>
        </r>
      </text>
    </comment>
    <comment ref="A13" authorId="0" shapeId="0" xr:uid="{BA35C153-FDC6-435B-B50B-DE61A9AFEFFD}">
      <text>
        <r>
          <rPr>
            <b/>
            <sz val="18"/>
            <color indexed="81"/>
            <rFont val="Calibri"/>
            <family val="2"/>
          </rPr>
          <t>Suma:</t>
        </r>
        <r>
          <rPr>
            <sz val="14"/>
            <color indexed="81"/>
            <rFont val="Calibri"/>
            <family val="2"/>
          </rPr>
          <t xml:space="preserve">
</t>
        </r>
        <r>
          <rPr>
            <b/>
            <sz val="14"/>
            <color indexed="81"/>
            <rFont val="Calibri"/>
            <family val="2"/>
          </rPr>
          <t>1º Importe de Caja:</t>
        </r>
        <r>
          <rPr>
            <sz val="14"/>
            <color indexed="81"/>
            <rFont val="Calibri"/>
            <family val="2"/>
          </rPr>
          <t xml:space="preserve"> Tabla de Objetivos (pestaña MOD el importe del mes)
</t>
        </r>
        <r>
          <rPr>
            <b/>
            <sz val="14"/>
            <color indexed="81"/>
            <rFont val="Calibri"/>
            <family val="2"/>
          </rPr>
          <t>2º Retribución Base Mensual:</t>
        </r>
        <r>
          <rPr>
            <sz val="14"/>
            <color indexed="81"/>
            <rFont val="Calibri"/>
            <family val="2"/>
          </rPr>
          <t xml:space="preserve"> Tabla de Informes 2017 (pestaña FFVV 2017 Importe que pagan POR FFVV)
</t>
        </r>
        <r>
          <rPr>
            <b/>
            <sz val="14"/>
            <color indexed="81"/>
            <rFont val="Calibri"/>
            <family val="2"/>
          </rPr>
          <t>3º Importe de PRV Local</t>
        </r>
        <r>
          <rPr>
            <sz val="14"/>
            <color indexed="81"/>
            <rFont val="Calibri"/>
            <family val="2"/>
          </rPr>
          <t xml:space="preserve"> (pestaña FFVV 2017 Territoriales)
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Usuario de Microsoft Office</author>
    <author>Angel Luis Almaraz González</author>
  </authors>
  <commentList>
    <comment ref="A5" authorId="0" shapeId="0" xr:uid="{9263FCCA-88F0-4A4D-9C12-0337F0A440D5}">
      <text>
        <r>
          <rPr>
            <b/>
            <sz val="18"/>
            <color indexed="81"/>
            <rFont val="Calibri"/>
            <family val="2"/>
          </rPr>
          <t>Suma:</t>
        </r>
        <r>
          <rPr>
            <sz val="14"/>
            <color indexed="81"/>
            <rFont val="Calibri"/>
            <family val="2"/>
          </rPr>
          <t xml:space="preserve">
</t>
        </r>
        <r>
          <rPr>
            <b/>
            <sz val="14"/>
            <color indexed="81"/>
            <rFont val="Calibri"/>
            <family val="2"/>
          </rPr>
          <t>1º Importe de Caja:</t>
        </r>
        <r>
          <rPr>
            <sz val="14"/>
            <color indexed="81"/>
            <rFont val="Calibri"/>
            <family val="2"/>
          </rPr>
          <t xml:space="preserve"> Tabla de Objetivos (pestaña MOD el importe del mes)
</t>
        </r>
        <r>
          <rPr>
            <b/>
            <sz val="14"/>
            <color indexed="81"/>
            <rFont val="Calibri"/>
            <family val="2"/>
          </rPr>
          <t>2º Retribución Base Mensual:</t>
        </r>
        <r>
          <rPr>
            <sz val="14"/>
            <color indexed="81"/>
            <rFont val="Calibri"/>
            <family val="2"/>
          </rPr>
          <t xml:space="preserve"> Tabla de Informes 2017 (pestaña PDV 2017 Importe que pagan mensualmente por tienda)
</t>
        </r>
        <r>
          <rPr>
            <b/>
            <sz val="14"/>
            <color indexed="81"/>
            <rFont val="Calibri"/>
            <family val="2"/>
          </rPr>
          <t>3º Importe de PRV Local</t>
        </r>
        <r>
          <rPr>
            <sz val="14"/>
            <color indexed="81"/>
            <rFont val="Calibri"/>
            <family val="2"/>
          </rPr>
          <t xml:space="preserve"> (pestaña PDV 2017 Territoriales)
</t>
        </r>
      </text>
    </comment>
    <comment ref="A16" authorId="0" shapeId="0" xr:uid="{6199D177-4261-40A9-84A7-7934B55AE3FA}">
      <text>
        <r>
          <rPr>
            <b/>
            <sz val="18"/>
            <color indexed="81"/>
            <rFont val="Calibri"/>
            <family val="2"/>
          </rPr>
          <t>Suma:</t>
        </r>
        <r>
          <rPr>
            <sz val="14"/>
            <color indexed="81"/>
            <rFont val="Calibri"/>
            <family val="2"/>
          </rPr>
          <t xml:space="preserve">
</t>
        </r>
        <r>
          <rPr>
            <b/>
            <sz val="14"/>
            <color indexed="81"/>
            <rFont val="Calibri"/>
            <family val="2"/>
          </rPr>
          <t>1º Importe de Caja:</t>
        </r>
        <r>
          <rPr>
            <sz val="14"/>
            <color indexed="81"/>
            <rFont val="Calibri"/>
            <family val="2"/>
          </rPr>
          <t xml:space="preserve"> Tabla de Objetivos (pestaña MOD el importe del mes)
</t>
        </r>
        <r>
          <rPr>
            <b/>
            <sz val="14"/>
            <color indexed="81"/>
            <rFont val="Calibri"/>
            <family val="2"/>
          </rPr>
          <t>2º Retribución Base Mensual:</t>
        </r>
        <r>
          <rPr>
            <sz val="14"/>
            <color indexed="81"/>
            <rFont val="Calibri"/>
            <family val="2"/>
          </rPr>
          <t xml:space="preserve"> Tabla de Informes 2017 (pestaña FFVV 2017 Importe que pagan POR FFVV)
</t>
        </r>
        <r>
          <rPr>
            <b/>
            <sz val="14"/>
            <color indexed="81"/>
            <rFont val="Calibri"/>
            <family val="2"/>
          </rPr>
          <t>3º Importe de PRV Local</t>
        </r>
        <r>
          <rPr>
            <sz val="14"/>
            <color indexed="81"/>
            <rFont val="Calibri"/>
            <family val="2"/>
          </rPr>
          <t xml:space="preserve"> (pestaña FFVV 2017 Territoriales)
</t>
        </r>
      </text>
    </comment>
    <comment ref="B23" authorId="1" shapeId="0" xr:uid="{C663CC77-A101-42E5-AF11-50B7B9F2F23A}">
      <text>
        <r>
          <rPr>
            <b/>
            <sz val="9"/>
            <color indexed="81"/>
            <rFont val="Tahoma"/>
            <family val="2"/>
          </rPr>
          <t>1.000€ Juan carlos
200€ juan Carlos ISC 4T 
508€ Javier, incluido ISC 4T
200€ Maite ISC 4T</t>
        </r>
      </text>
    </comment>
    <comment ref="C23" authorId="1" shapeId="0" xr:uid="{786A8C54-28F1-4827-9DC3-ED12742D17D9}">
      <text>
        <r>
          <rPr>
            <b/>
            <sz val="9"/>
            <color indexed="81"/>
            <rFont val="Tahoma"/>
            <family val="2"/>
          </rPr>
          <t>500€ Juan Antonio de Febrero
500€ Juan Carlos
453€ Javier
250€ Diego</t>
        </r>
      </text>
    </comment>
    <comment ref="D23" authorId="1" shapeId="0" xr:uid="{91CE8F9E-48BD-479C-AB0B-DB2517002B87}">
      <text>
        <r>
          <rPr>
            <b/>
            <sz val="9"/>
            <color indexed="81"/>
            <rFont val="Tahoma"/>
            <family val="2"/>
          </rPr>
          <t>500€ Juan Antonio</t>
        </r>
      </text>
    </comment>
    <comment ref="E23" authorId="1" shapeId="0" xr:uid="{E7A67F05-D659-42F9-A534-CC571CDEF914}">
      <text>
        <r>
          <rPr>
            <b/>
            <sz val="9"/>
            <color indexed="81"/>
            <rFont val="Tahoma"/>
            <family val="2"/>
          </rPr>
          <t>500€ Juan Antonio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Usuario de Microsoft Office</author>
    <author>Angel Luis Almaraz González</author>
  </authors>
  <commentList>
    <comment ref="A5" authorId="0" shapeId="0" xr:uid="{77D6FC56-0B50-F645-98DA-34642B6E843E}">
      <text>
        <r>
          <rPr>
            <b/>
            <sz val="18"/>
            <color indexed="81"/>
            <rFont val="Calibri"/>
            <family val="2"/>
          </rPr>
          <t>Suma:</t>
        </r>
        <r>
          <rPr>
            <sz val="14"/>
            <color indexed="81"/>
            <rFont val="Calibri"/>
            <family val="2"/>
          </rPr>
          <t xml:space="preserve">
</t>
        </r>
        <r>
          <rPr>
            <b/>
            <sz val="14"/>
            <color indexed="81"/>
            <rFont val="Calibri"/>
            <family val="2"/>
          </rPr>
          <t>1º Importe de Caja:</t>
        </r>
        <r>
          <rPr>
            <sz val="14"/>
            <color indexed="81"/>
            <rFont val="Calibri"/>
            <family val="2"/>
          </rPr>
          <t xml:space="preserve"> Tabla de Objetivos (pestaña MOD el importe del mes)
</t>
        </r>
        <r>
          <rPr>
            <b/>
            <sz val="14"/>
            <color indexed="81"/>
            <rFont val="Calibri"/>
            <family val="2"/>
          </rPr>
          <t>2º Retribución Base Mensual:</t>
        </r>
        <r>
          <rPr>
            <sz val="14"/>
            <color indexed="81"/>
            <rFont val="Calibri"/>
            <family val="2"/>
          </rPr>
          <t xml:space="preserve"> Tabla de Informes 2017 (pestaña PDV 2017 Importe que pagan mensualmente por tienda)
</t>
        </r>
        <r>
          <rPr>
            <b/>
            <sz val="14"/>
            <color indexed="81"/>
            <rFont val="Calibri"/>
            <family val="2"/>
          </rPr>
          <t>3º Importe de PRV Local</t>
        </r>
        <r>
          <rPr>
            <sz val="14"/>
            <color indexed="81"/>
            <rFont val="Calibri"/>
            <family val="2"/>
          </rPr>
          <t xml:space="preserve"> (pestaña PDV 2017 Territoriales)
</t>
        </r>
      </text>
    </comment>
    <comment ref="A16" authorId="0" shapeId="0" xr:uid="{C48418B3-F252-2D49-9352-8711B3B447A9}">
      <text>
        <r>
          <rPr>
            <b/>
            <sz val="18"/>
            <color indexed="81"/>
            <rFont val="Calibri"/>
            <family val="2"/>
          </rPr>
          <t>Suma:</t>
        </r>
        <r>
          <rPr>
            <sz val="14"/>
            <color indexed="81"/>
            <rFont val="Calibri"/>
            <family val="2"/>
          </rPr>
          <t xml:space="preserve">
</t>
        </r>
        <r>
          <rPr>
            <b/>
            <sz val="14"/>
            <color indexed="81"/>
            <rFont val="Calibri"/>
            <family val="2"/>
          </rPr>
          <t>1º Importe de Caja:</t>
        </r>
        <r>
          <rPr>
            <sz val="14"/>
            <color indexed="81"/>
            <rFont val="Calibri"/>
            <family val="2"/>
          </rPr>
          <t xml:space="preserve"> Tabla de Objetivos (pestaña MOD el importe del mes)
</t>
        </r>
        <r>
          <rPr>
            <b/>
            <sz val="14"/>
            <color indexed="81"/>
            <rFont val="Calibri"/>
            <family val="2"/>
          </rPr>
          <t>2º Retribución Base Mensual:</t>
        </r>
        <r>
          <rPr>
            <sz val="14"/>
            <color indexed="81"/>
            <rFont val="Calibri"/>
            <family val="2"/>
          </rPr>
          <t xml:space="preserve"> Tabla de Informes 2017 (pestaña FFVV 2017 Importe que pagan POR FFVV)
</t>
        </r>
        <r>
          <rPr>
            <b/>
            <sz val="14"/>
            <color indexed="81"/>
            <rFont val="Calibri"/>
            <family val="2"/>
          </rPr>
          <t>3º Importe de PRV Local</t>
        </r>
        <r>
          <rPr>
            <sz val="14"/>
            <color indexed="81"/>
            <rFont val="Calibri"/>
            <family val="2"/>
          </rPr>
          <t xml:space="preserve"> (pestaña FFVV 2017 Territoriales)
</t>
        </r>
      </text>
    </comment>
    <comment ref="L24" authorId="1" shapeId="0" xr:uid="{228C58F0-823C-4475-A38D-99BBCB91DEEC}">
      <text>
        <r>
          <rPr>
            <b/>
            <sz val="9"/>
            <color indexed="81"/>
            <rFont val="Tahoma"/>
            <family val="2"/>
          </rPr>
          <t>475€ Javier de agosto
99€ Elena de Agosto</t>
        </r>
      </text>
    </comment>
    <comment ref="M24" authorId="1" shapeId="0" xr:uid="{51199761-7727-4AA6-B26B-5C5999AE3060}">
      <text>
        <r>
          <rPr>
            <b/>
            <sz val="9"/>
            <color indexed="81"/>
            <rFont val="Tahoma"/>
            <family val="2"/>
          </rPr>
          <t xml:space="preserve">175€ Javier de Septiembre
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Usuario de Microsoft Office</author>
    <author>Angel Luis Almaraz González</author>
  </authors>
  <commentList>
    <comment ref="A4" authorId="0" shapeId="0" xr:uid="{1B4C62E7-445B-4F5D-955F-B973123AF17D}">
      <text>
        <r>
          <rPr>
            <b/>
            <sz val="18"/>
            <color indexed="81"/>
            <rFont val="Calibri"/>
            <family val="2"/>
          </rPr>
          <t>Suma:</t>
        </r>
        <r>
          <rPr>
            <sz val="14"/>
            <color indexed="81"/>
            <rFont val="Calibri"/>
            <family val="2"/>
          </rPr>
          <t xml:space="preserve">
</t>
        </r>
        <r>
          <rPr>
            <b/>
            <sz val="14"/>
            <color indexed="81"/>
            <rFont val="Calibri"/>
            <family val="2"/>
          </rPr>
          <t>1º Importe de Caja:</t>
        </r>
        <r>
          <rPr>
            <sz val="14"/>
            <color indexed="81"/>
            <rFont val="Calibri"/>
            <family val="2"/>
          </rPr>
          <t xml:space="preserve"> Tabla de Objetivos (pestaña MOD el importe del mes)
</t>
        </r>
        <r>
          <rPr>
            <b/>
            <sz val="14"/>
            <color indexed="81"/>
            <rFont val="Calibri"/>
            <family val="2"/>
          </rPr>
          <t>2º Retribución Base Mensual:</t>
        </r>
        <r>
          <rPr>
            <sz val="14"/>
            <color indexed="81"/>
            <rFont val="Calibri"/>
            <family val="2"/>
          </rPr>
          <t xml:space="preserve"> Tabla de Informes 2017 (pestaña PDV 2017 Importe que pagan mensualmente por tienda)
</t>
        </r>
        <r>
          <rPr>
            <b/>
            <sz val="14"/>
            <color indexed="81"/>
            <rFont val="Calibri"/>
            <family val="2"/>
          </rPr>
          <t>3º Importe de PRV Local</t>
        </r>
        <r>
          <rPr>
            <sz val="14"/>
            <color indexed="81"/>
            <rFont val="Calibri"/>
            <family val="2"/>
          </rPr>
          <t xml:space="preserve"> (pestaña PDV 2017 Territoriales)
</t>
        </r>
      </text>
    </comment>
    <comment ref="A15" authorId="0" shapeId="0" xr:uid="{818E2970-CE7F-4410-A165-EED20D4E79E5}">
      <text>
        <r>
          <rPr>
            <b/>
            <sz val="18"/>
            <color indexed="81"/>
            <rFont val="Calibri"/>
            <family val="2"/>
          </rPr>
          <t>Suma:</t>
        </r>
        <r>
          <rPr>
            <sz val="14"/>
            <color indexed="81"/>
            <rFont val="Calibri"/>
            <family val="2"/>
          </rPr>
          <t xml:space="preserve">
</t>
        </r>
        <r>
          <rPr>
            <b/>
            <sz val="14"/>
            <color indexed="81"/>
            <rFont val="Calibri"/>
            <family val="2"/>
          </rPr>
          <t>1º Importe de Caja:</t>
        </r>
        <r>
          <rPr>
            <sz val="14"/>
            <color indexed="81"/>
            <rFont val="Calibri"/>
            <family val="2"/>
          </rPr>
          <t xml:space="preserve"> Tabla de Objetivos (pestaña MOD el importe del mes)
</t>
        </r>
        <r>
          <rPr>
            <b/>
            <sz val="14"/>
            <color indexed="81"/>
            <rFont val="Calibri"/>
            <family val="2"/>
          </rPr>
          <t>2º Retribución Base Mensual:</t>
        </r>
        <r>
          <rPr>
            <sz val="14"/>
            <color indexed="81"/>
            <rFont val="Calibri"/>
            <family val="2"/>
          </rPr>
          <t xml:space="preserve"> Tabla de Informes 2017 (pestaña FFVV 2017 Importe que pagan POR FFVV)
</t>
        </r>
        <r>
          <rPr>
            <b/>
            <sz val="14"/>
            <color indexed="81"/>
            <rFont val="Calibri"/>
            <family val="2"/>
          </rPr>
          <t>3º Importe de PRV Local</t>
        </r>
        <r>
          <rPr>
            <sz val="14"/>
            <color indexed="81"/>
            <rFont val="Calibri"/>
            <family val="2"/>
          </rPr>
          <t xml:space="preserve"> (pestaña FFVV 2017 Territoriales)
</t>
        </r>
      </text>
    </comment>
    <comment ref="K16" authorId="1" shapeId="0" xr:uid="{35BB942D-532D-4743-8F76-8978ABCA9BB4}">
      <text>
        <r>
          <rPr>
            <b/>
            <sz val="9"/>
            <color indexed="81"/>
            <rFont val="Tahoma"/>
            <family val="2"/>
          </rPr>
          <t>Pendiente unos 3.000€ reclamados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Usuario de Microsoft Office</author>
  </authors>
  <commentList>
    <comment ref="B2" authorId="0" shapeId="0" xr:uid="{39B20E1D-3239-41E4-BAD4-DE02651F1021}">
      <text>
        <r>
          <rPr>
            <b/>
            <sz val="18"/>
            <color indexed="81"/>
            <rFont val="Calibri"/>
            <family val="2"/>
          </rPr>
          <t>Suma:</t>
        </r>
        <r>
          <rPr>
            <sz val="14"/>
            <color indexed="81"/>
            <rFont val="Calibri"/>
            <family val="2"/>
          </rPr>
          <t xml:space="preserve">
</t>
        </r>
        <r>
          <rPr>
            <b/>
            <sz val="14"/>
            <color indexed="81"/>
            <rFont val="Calibri"/>
            <family val="2"/>
          </rPr>
          <t>1º Importe de Caja:</t>
        </r>
        <r>
          <rPr>
            <sz val="14"/>
            <color indexed="81"/>
            <rFont val="Calibri"/>
            <family val="2"/>
          </rPr>
          <t xml:space="preserve"> Tabla de Objetivos (pestaña MOD el importe del mes)
</t>
        </r>
        <r>
          <rPr>
            <b/>
            <sz val="14"/>
            <color indexed="81"/>
            <rFont val="Calibri"/>
            <family val="2"/>
          </rPr>
          <t>2º Retribución Base Mensual:</t>
        </r>
        <r>
          <rPr>
            <sz val="14"/>
            <color indexed="81"/>
            <rFont val="Calibri"/>
            <family val="2"/>
          </rPr>
          <t xml:space="preserve"> Tabla de Informes 2017 (pestaña PDV 2017 Importe que pagan mensualmente por tienda)
</t>
        </r>
        <r>
          <rPr>
            <b/>
            <sz val="14"/>
            <color indexed="81"/>
            <rFont val="Calibri"/>
            <family val="2"/>
          </rPr>
          <t>3º Importe de PRV Local</t>
        </r>
        <r>
          <rPr>
            <sz val="14"/>
            <color indexed="81"/>
            <rFont val="Calibri"/>
            <family val="2"/>
          </rPr>
          <t xml:space="preserve"> (pestaña PDV 2017 Territoriales)
</t>
        </r>
      </text>
    </comment>
    <comment ref="B6" authorId="0" shapeId="0" xr:uid="{2C51166C-48E6-409F-BEE9-E8735AB946F6}">
      <text>
        <r>
          <rPr>
            <b/>
            <sz val="18"/>
            <color rgb="FF000000"/>
            <rFont val="Calibri"/>
            <family val="2"/>
          </rPr>
          <t>Suma:</t>
        </r>
        <r>
          <rPr>
            <sz val="14"/>
            <color rgb="FF000000"/>
            <rFont val="Calibri"/>
            <family val="2"/>
          </rPr>
          <t xml:space="preserve">
</t>
        </r>
        <r>
          <rPr>
            <b/>
            <sz val="14"/>
            <color rgb="FF000000"/>
            <rFont val="Calibri"/>
            <family val="2"/>
          </rPr>
          <t>1º Pago de Comisiones:</t>
        </r>
        <r>
          <rPr>
            <sz val="14"/>
            <color rgb="FF000000"/>
            <rFont val="Calibri"/>
            <family val="2"/>
          </rPr>
          <t xml:space="preserve"> En la tabla de Informes 2017 poner las comisiones pagadas a Tiendas y FFVV que saco las cifras de la hoja de calculo de Google Drive Anticipos Tiendas y Comerciales, una vez puestas me da automaticamente el importe real de Salidas Aluis)
</t>
        </r>
        <r>
          <rPr>
            <sz val="14"/>
            <color rgb="FF000000"/>
            <rFont val="Calibri"/>
            <family val="2"/>
          </rPr>
          <t xml:space="preserve">
</t>
        </r>
        <r>
          <rPr>
            <sz val="14"/>
            <color rgb="FF000000"/>
            <rFont val="Calibri"/>
            <family val="2"/>
          </rPr>
          <t xml:space="preserve">
</t>
        </r>
      </text>
    </comment>
    <comment ref="B15" authorId="0" shapeId="0" xr:uid="{1E9D2334-F27A-4C2D-97DF-3A8EA836489B}">
      <text>
        <r>
          <rPr>
            <b/>
            <sz val="18"/>
            <color indexed="81"/>
            <rFont val="Calibri"/>
            <family val="2"/>
          </rPr>
          <t>Suma:</t>
        </r>
        <r>
          <rPr>
            <sz val="14"/>
            <color indexed="81"/>
            <rFont val="Calibri"/>
            <family val="2"/>
          </rPr>
          <t xml:space="preserve">
</t>
        </r>
        <r>
          <rPr>
            <b/>
            <sz val="14"/>
            <color indexed="81"/>
            <rFont val="Calibri"/>
            <family val="2"/>
          </rPr>
          <t>1º Importe de Caja:</t>
        </r>
        <r>
          <rPr>
            <sz val="14"/>
            <color indexed="81"/>
            <rFont val="Calibri"/>
            <family val="2"/>
          </rPr>
          <t xml:space="preserve"> Tabla de Objetivos (pestaña MOD el importe del mes)
</t>
        </r>
        <r>
          <rPr>
            <b/>
            <sz val="14"/>
            <color indexed="81"/>
            <rFont val="Calibri"/>
            <family val="2"/>
          </rPr>
          <t>2º Retribución Base Mensual:</t>
        </r>
        <r>
          <rPr>
            <sz val="14"/>
            <color indexed="81"/>
            <rFont val="Calibri"/>
            <family val="2"/>
          </rPr>
          <t xml:space="preserve"> Tabla de Informes 2017 (pestaña FFVV 2017 Importe que pagan POR FFVV)
</t>
        </r>
        <r>
          <rPr>
            <b/>
            <sz val="14"/>
            <color indexed="81"/>
            <rFont val="Calibri"/>
            <family val="2"/>
          </rPr>
          <t>3º Importe de PRV Local</t>
        </r>
        <r>
          <rPr>
            <sz val="14"/>
            <color indexed="81"/>
            <rFont val="Calibri"/>
            <family val="2"/>
          </rPr>
          <t xml:space="preserve"> (pestaña FFVV 2017 Territoriales)
</t>
        </r>
      </text>
    </comment>
    <comment ref="B21" authorId="0" shapeId="0" xr:uid="{8BE0ED48-BB65-4C4A-86FB-00AE62583F1E}">
      <text>
        <r>
          <rPr>
            <b/>
            <sz val="18"/>
            <color indexed="81"/>
            <rFont val="Calibri"/>
            <family val="2"/>
          </rPr>
          <t>Suma:</t>
        </r>
        <r>
          <rPr>
            <sz val="14"/>
            <color indexed="81"/>
            <rFont val="Calibri"/>
            <family val="2"/>
          </rPr>
          <t xml:space="preserve">
</t>
        </r>
        <r>
          <rPr>
            <b/>
            <sz val="14"/>
            <color indexed="81"/>
            <rFont val="Calibri"/>
            <family val="2"/>
          </rPr>
          <t>1º Pago de Comisiones:</t>
        </r>
        <r>
          <rPr>
            <sz val="14"/>
            <color indexed="81"/>
            <rFont val="Calibri"/>
            <family val="2"/>
          </rPr>
          <t xml:space="preserve"> En la tabla de Informes 2017 poner las comisiones pagadas a Tiendas y FFVV que saco las cifras de la hoja de calculo de Google Drive Anticipos Tiendas y Comerciales, una vez puestas me da automaticamente el importe real de Salidas Aluis)
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Usuario de Microsoft Office</author>
    <author>Angel Luis Almaraz González</author>
  </authors>
  <commentList>
    <comment ref="B2" authorId="0" shapeId="0" xr:uid="{5E42A716-245E-41D5-BCD6-095B8A3D0A3B}">
      <text>
        <r>
          <rPr>
            <b/>
            <sz val="18"/>
            <color indexed="81"/>
            <rFont val="Calibri"/>
            <family val="2"/>
          </rPr>
          <t>Suma:</t>
        </r>
        <r>
          <rPr>
            <sz val="14"/>
            <color indexed="81"/>
            <rFont val="Calibri"/>
            <family val="2"/>
          </rPr>
          <t xml:space="preserve">
</t>
        </r>
        <r>
          <rPr>
            <b/>
            <sz val="14"/>
            <color indexed="81"/>
            <rFont val="Calibri"/>
            <family val="2"/>
          </rPr>
          <t>1º Importe de Caja:</t>
        </r>
        <r>
          <rPr>
            <sz val="14"/>
            <color indexed="81"/>
            <rFont val="Calibri"/>
            <family val="2"/>
          </rPr>
          <t xml:space="preserve"> Tabla de Objetivos (pestaña MOD el importe del mes)
</t>
        </r>
        <r>
          <rPr>
            <b/>
            <sz val="14"/>
            <color indexed="81"/>
            <rFont val="Calibri"/>
            <family val="2"/>
          </rPr>
          <t>2º Retribución Base Mensual:</t>
        </r>
        <r>
          <rPr>
            <sz val="14"/>
            <color indexed="81"/>
            <rFont val="Calibri"/>
            <family val="2"/>
          </rPr>
          <t xml:space="preserve"> Tabla de Informes 2017 (pestaña PDV 2017 Importe que pagan mensualmente por tienda)
</t>
        </r>
        <r>
          <rPr>
            <b/>
            <sz val="14"/>
            <color indexed="81"/>
            <rFont val="Calibri"/>
            <family val="2"/>
          </rPr>
          <t>3º Importe de PRV Local</t>
        </r>
        <r>
          <rPr>
            <sz val="14"/>
            <color indexed="81"/>
            <rFont val="Calibri"/>
            <family val="2"/>
          </rPr>
          <t xml:space="preserve"> (pestaña PDV 2017 Territoriales)
</t>
        </r>
      </text>
    </comment>
    <comment ref="E3" authorId="1" shapeId="0" xr:uid="{21ED6F63-B319-426D-88C8-B92255B6D8BA}">
      <text>
        <r>
          <rPr>
            <b/>
            <sz val="9"/>
            <color indexed="81"/>
            <rFont val="Tahoma"/>
            <family val="2"/>
          </rPr>
          <t>Acuerdo Global de Tiendas Marzo
Correhuela: 8.793,37€
Villamayor : 9.804,52€
Auxiliadora: 12.509,77€
Bejar          : 7.656,38€</t>
        </r>
      </text>
    </comment>
    <comment ref="F4" authorId="1" shapeId="0" xr:uid="{96B213E1-E493-4AA8-AE7E-AFD4701DA606}">
      <text>
        <r>
          <rPr>
            <b/>
            <sz val="9"/>
            <color indexed="81"/>
            <rFont val="Tahoma"/>
            <family val="2"/>
          </rPr>
          <t>Acuerdo global de Tiendas Abril</t>
        </r>
      </text>
    </comment>
    <comment ref="G5" authorId="1" shapeId="0" xr:uid="{C9958F9D-933D-42FB-B3C3-5F1B20E05B76}">
      <text>
        <r>
          <rPr>
            <b/>
            <sz val="9"/>
            <color indexed="81"/>
            <rFont val="Tahoma"/>
            <family val="2"/>
          </rPr>
          <t>Acuerdo Global de Tiendas Mayo 25% de lo pactado en Abril</t>
        </r>
      </text>
    </comment>
    <comment ref="B6" authorId="0" shapeId="0" xr:uid="{323A206E-A225-4AB9-A3F1-663880050ADA}">
      <text>
        <r>
          <rPr>
            <b/>
            <sz val="18"/>
            <color rgb="FF000000"/>
            <rFont val="Calibri"/>
            <family val="2"/>
          </rPr>
          <t>Suma:</t>
        </r>
        <r>
          <rPr>
            <sz val="14"/>
            <color rgb="FF000000"/>
            <rFont val="Calibri"/>
            <family val="2"/>
          </rPr>
          <t xml:space="preserve">
</t>
        </r>
        <r>
          <rPr>
            <b/>
            <sz val="14"/>
            <color rgb="FF000000"/>
            <rFont val="Calibri"/>
            <family val="2"/>
          </rPr>
          <t>1º Pago de Comisiones:</t>
        </r>
        <r>
          <rPr>
            <sz val="14"/>
            <color rgb="FF000000"/>
            <rFont val="Calibri"/>
            <family val="2"/>
          </rPr>
          <t xml:space="preserve"> En la tabla de Informes 2017 poner las comisiones pagadas a Tiendas y FFVV que saco las cifras de la hoja de calculo de Google Drive Anticipos Tiendas y Comerciales, una vez puestas me da automaticamente el importe real de Salidas Aluis)
</t>
        </r>
        <r>
          <rPr>
            <sz val="14"/>
            <color rgb="FF000000"/>
            <rFont val="Calibri"/>
            <family val="2"/>
          </rPr>
          <t xml:space="preserve">
</t>
        </r>
        <r>
          <rPr>
            <sz val="14"/>
            <color rgb="FF000000"/>
            <rFont val="Calibri"/>
            <family val="2"/>
          </rPr>
          <t xml:space="preserve">
</t>
        </r>
      </text>
    </comment>
    <comment ref="B15" authorId="0" shapeId="0" xr:uid="{F4971816-F3DC-40B6-BC67-45BC6FED6220}">
      <text>
        <r>
          <rPr>
            <b/>
            <sz val="18"/>
            <color indexed="81"/>
            <rFont val="Calibri"/>
            <family val="2"/>
          </rPr>
          <t>Suma:</t>
        </r>
        <r>
          <rPr>
            <sz val="14"/>
            <color indexed="81"/>
            <rFont val="Calibri"/>
            <family val="2"/>
          </rPr>
          <t xml:space="preserve">
</t>
        </r>
        <r>
          <rPr>
            <b/>
            <sz val="14"/>
            <color indexed="81"/>
            <rFont val="Calibri"/>
            <family val="2"/>
          </rPr>
          <t>1º Importe de Caja:</t>
        </r>
        <r>
          <rPr>
            <sz val="14"/>
            <color indexed="81"/>
            <rFont val="Calibri"/>
            <family val="2"/>
          </rPr>
          <t xml:space="preserve"> Tabla de Objetivos (pestaña MOD el importe del mes)
</t>
        </r>
        <r>
          <rPr>
            <b/>
            <sz val="14"/>
            <color indexed="81"/>
            <rFont val="Calibri"/>
            <family val="2"/>
          </rPr>
          <t>2º Retribución Base Mensual:</t>
        </r>
        <r>
          <rPr>
            <sz val="14"/>
            <color indexed="81"/>
            <rFont val="Calibri"/>
            <family val="2"/>
          </rPr>
          <t xml:space="preserve"> Tabla de Informes 2017 (pestaña FFVV 2017 Importe que pagan POR FFVV)
</t>
        </r>
        <r>
          <rPr>
            <b/>
            <sz val="14"/>
            <color indexed="81"/>
            <rFont val="Calibri"/>
            <family val="2"/>
          </rPr>
          <t>3º Importe de PRV Local</t>
        </r>
        <r>
          <rPr>
            <sz val="14"/>
            <color indexed="81"/>
            <rFont val="Calibri"/>
            <family val="2"/>
          </rPr>
          <t xml:space="preserve"> (pestaña FFVV 2017 Territoriales)
</t>
        </r>
      </text>
    </comment>
    <comment ref="B21" authorId="0" shapeId="0" xr:uid="{13ED4A8B-CD99-47A5-9139-91495486D790}">
      <text>
        <r>
          <rPr>
            <b/>
            <sz val="18"/>
            <color indexed="81"/>
            <rFont val="Calibri"/>
            <family val="2"/>
          </rPr>
          <t>Suma:</t>
        </r>
        <r>
          <rPr>
            <sz val="14"/>
            <color indexed="81"/>
            <rFont val="Calibri"/>
            <family val="2"/>
          </rPr>
          <t xml:space="preserve">
</t>
        </r>
        <r>
          <rPr>
            <b/>
            <sz val="14"/>
            <color indexed="81"/>
            <rFont val="Calibri"/>
            <family val="2"/>
          </rPr>
          <t>1º Pago de Comisiones:</t>
        </r>
        <r>
          <rPr>
            <sz val="14"/>
            <color indexed="81"/>
            <rFont val="Calibri"/>
            <family val="2"/>
          </rPr>
          <t xml:space="preserve"> En la tabla de Informes 2017 poner las comisiones pagadas a Tiendas y FFVV que saco las cifras de la hoja de calculo de Google Drive Anticipos Tiendas y Comerciales, una vez puestas me da automaticamente el importe real de Salidas Aluis)
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Usuario de Microsoft Office</author>
  </authors>
  <commentList>
    <comment ref="B3" authorId="0" shapeId="0" xr:uid="{CE522A55-D1E5-4F44-9963-4C3CED8F687B}">
      <text>
        <r>
          <rPr>
            <b/>
            <sz val="18"/>
            <color indexed="81"/>
            <rFont val="Calibri"/>
            <family val="2"/>
          </rPr>
          <t>Suma:</t>
        </r>
        <r>
          <rPr>
            <sz val="14"/>
            <color indexed="81"/>
            <rFont val="Calibri"/>
            <family val="2"/>
          </rPr>
          <t xml:space="preserve">
</t>
        </r>
        <r>
          <rPr>
            <b/>
            <sz val="14"/>
            <color indexed="81"/>
            <rFont val="Calibri"/>
            <family val="2"/>
          </rPr>
          <t>1º Importe de Caja:</t>
        </r>
        <r>
          <rPr>
            <sz val="14"/>
            <color indexed="81"/>
            <rFont val="Calibri"/>
            <family val="2"/>
          </rPr>
          <t xml:space="preserve"> Tabla de Objetivos (pestaña MOD el importe del mes)
</t>
        </r>
        <r>
          <rPr>
            <b/>
            <sz val="14"/>
            <color indexed="81"/>
            <rFont val="Calibri"/>
            <family val="2"/>
          </rPr>
          <t>2º Retribución Base Mensual:</t>
        </r>
        <r>
          <rPr>
            <sz val="14"/>
            <color indexed="81"/>
            <rFont val="Calibri"/>
            <family val="2"/>
          </rPr>
          <t xml:space="preserve"> Tabla de Informes 2017 (pestaña PDV 2017 Importe que pagan mensualmente por tienda)
</t>
        </r>
        <r>
          <rPr>
            <b/>
            <sz val="14"/>
            <color indexed="81"/>
            <rFont val="Calibri"/>
            <family val="2"/>
          </rPr>
          <t>3º Importe de PRV Local</t>
        </r>
        <r>
          <rPr>
            <sz val="14"/>
            <color indexed="81"/>
            <rFont val="Calibri"/>
            <family val="2"/>
          </rPr>
          <t xml:space="preserve"> (pestaña PDV 2017 Territoriales)
</t>
        </r>
      </text>
    </comment>
    <comment ref="B7" authorId="0" shapeId="0" xr:uid="{8D509C71-CCFC-BF4A-A0A8-56DC84F03640}">
      <text>
        <r>
          <rPr>
            <b/>
            <sz val="18"/>
            <color rgb="FF000000"/>
            <rFont val="Calibri"/>
            <family val="2"/>
          </rPr>
          <t>Suma:</t>
        </r>
        <r>
          <rPr>
            <sz val="14"/>
            <color rgb="FF000000"/>
            <rFont val="Calibri"/>
            <family val="2"/>
          </rPr>
          <t xml:space="preserve">
</t>
        </r>
        <r>
          <rPr>
            <b/>
            <sz val="14"/>
            <color rgb="FF000000"/>
            <rFont val="Calibri"/>
            <family val="2"/>
          </rPr>
          <t>1º Pago de Comisiones:</t>
        </r>
        <r>
          <rPr>
            <sz val="14"/>
            <color rgb="FF000000"/>
            <rFont val="Calibri"/>
            <family val="2"/>
          </rPr>
          <t xml:space="preserve"> En la tabla de Informes 2017 poner las comisiones pagadas a Tiendas y FFVV que saco las cifras de la hoja de calculo de Google Drive Anticipos Tiendas y Comerciales, una vez puestas me da automaticamente el importe real de Salidas Aluis)
</t>
        </r>
        <r>
          <rPr>
            <sz val="14"/>
            <color rgb="FF000000"/>
            <rFont val="Calibri"/>
            <family val="2"/>
          </rPr>
          <t xml:space="preserve">
</t>
        </r>
        <r>
          <rPr>
            <sz val="14"/>
            <color rgb="FF000000"/>
            <rFont val="Calibri"/>
            <family val="2"/>
          </rPr>
          <t xml:space="preserve">
</t>
        </r>
      </text>
    </comment>
    <comment ref="B16" authorId="0" shapeId="0" xr:uid="{15EFE362-6819-504D-984A-89C8A5AC4D8C}">
      <text>
        <r>
          <rPr>
            <b/>
            <sz val="18"/>
            <color indexed="81"/>
            <rFont val="Calibri"/>
            <family val="2"/>
          </rPr>
          <t>Suma:</t>
        </r>
        <r>
          <rPr>
            <sz val="14"/>
            <color indexed="81"/>
            <rFont val="Calibri"/>
            <family val="2"/>
          </rPr>
          <t xml:space="preserve">
</t>
        </r>
        <r>
          <rPr>
            <b/>
            <sz val="14"/>
            <color indexed="81"/>
            <rFont val="Calibri"/>
            <family val="2"/>
          </rPr>
          <t>1º Importe de Caja:</t>
        </r>
        <r>
          <rPr>
            <sz val="14"/>
            <color indexed="81"/>
            <rFont val="Calibri"/>
            <family val="2"/>
          </rPr>
          <t xml:space="preserve"> Tabla de Objetivos (pestaña MOD el importe del mes)
</t>
        </r>
        <r>
          <rPr>
            <b/>
            <sz val="14"/>
            <color indexed="81"/>
            <rFont val="Calibri"/>
            <family val="2"/>
          </rPr>
          <t>2º Retribución Base Mensual:</t>
        </r>
        <r>
          <rPr>
            <sz val="14"/>
            <color indexed="81"/>
            <rFont val="Calibri"/>
            <family val="2"/>
          </rPr>
          <t xml:space="preserve"> Tabla de Informes 2017 (pestaña FFVV 2017 Importe que pagan POR FFVV)
</t>
        </r>
        <r>
          <rPr>
            <b/>
            <sz val="14"/>
            <color indexed="81"/>
            <rFont val="Calibri"/>
            <family val="2"/>
          </rPr>
          <t>3º Importe de PRV Local</t>
        </r>
        <r>
          <rPr>
            <sz val="14"/>
            <color indexed="81"/>
            <rFont val="Calibri"/>
            <family val="2"/>
          </rPr>
          <t xml:space="preserve"> (pestaña FFVV 2017 Territoriales)
</t>
        </r>
      </text>
    </comment>
    <comment ref="B22" authorId="0" shapeId="0" xr:uid="{B1ABA865-A614-B544-A174-BFC846BF403E}">
      <text>
        <r>
          <rPr>
            <b/>
            <sz val="18"/>
            <color indexed="81"/>
            <rFont val="Calibri"/>
            <family val="2"/>
          </rPr>
          <t>Suma:</t>
        </r>
        <r>
          <rPr>
            <sz val="14"/>
            <color indexed="81"/>
            <rFont val="Calibri"/>
            <family val="2"/>
          </rPr>
          <t xml:space="preserve">
</t>
        </r>
        <r>
          <rPr>
            <b/>
            <sz val="14"/>
            <color indexed="81"/>
            <rFont val="Calibri"/>
            <family val="2"/>
          </rPr>
          <t>1º Pago de Comisiones:</t>
        </r>
        <r>
          <rPr>
            <sz val="14"/>
            <color indexed="81"/>
            <rFont val="Calibri"/>
            <family val="2"/>
          </rPr>
          <t xml:space="preserve"> En la tabla de Informes 2017 poner las comisiones pagadas a Tiendas y FFVV que saco las cifras de la hoja de calculo de Google Drive Anticipos Tiendas y Comerciales, una vez puestas me da automaticamente el importe real de Salidas Aluis)
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Usuario de Microsoft Office</author>
  </authors>
  <commentList>
    <comment ref="B3" authorId="0" shapeId="0" xr:uid="{00000000-0006-0000-0000-000001000000}">
      <text>
        <r>
          <rPr>
            <b/>
            <sz val="18"/>
            <color indexed="81"/>
            <rFont val="Calibri"/>
            <family val="2"/>
          </rPr>
          <t>Suma:</t>
        </r>
        <r>
          <rPr>
            <sz val="14"/>
            <color indexed="81"/>
            <rFont val="Calibri"/>
            <family val="2"/>
          </rPr>
          <t xml:space="preserve">
</t>
        </r>
        <r>
          <rPr>
            <b/>
            <sz val="14"/>
            <color indexed="81"/>
            <rFont val="Calibri"/>
            <family val="2"/>
          </rPr>
          <t>1º Importe de Caja:</t>
        </r>
        <r>
          <rPr>
            <sz val="14"/>
            <color indexed="81"/>
            <rFont val="Calibri"/>
            <family val="2"/>
          </rPr>
          <t xml:space="preserve"> Tabla de Objetivos (pestaña MOD el importe del mes)
</t>
        </r>
        <r>
          <rPr>
            <b/>
            <sz val="14"/>
            <color indexed="81"/>
            <rFont val="Calibri"/>
            <family val="2"/>
          </rPr>
          <t>2º Retribución Base Mensual:</t>
        </r>
        <r>
          <rPr>
            <sz val="14"/>
            <color indexed="81"/>
            <rFont val="Calibri"/>
            <family val="2"/>
          </rPr>
          <t xml:space="preserve"> Tabla de Informes 2017 (pestaña PDV 2017 Importe que pagan mensualmente por tienda)
</t>
        </r>
        <r>
          <rPr>
            <b/>
            <sz val="14"/>
            <color indexed="81"/>
            <rFont val="Calibri"/>
            <family val="2"/>
          </rPr>
          <t>3º Importe de PRV Local</t>
        </r>
        <r>
          <rPr>
            <sz val="14"/>
            <color indexed="81"/>
            <rFont val="Calibri"/>
            <family val="2"/>
          </rPr>
          <t xml:space="preserve"> (pestaña PDV 2017 Territoriales)
</t>
        </r>
      </text>
    </comment>
    <comment ref="B7" authorId="0" shapeId="0" xr:uid="{00000000-0006-0000-0000-000002000000}">
      <text>
        <r>
          <rPr>
            <b/>
            <sz val="18"/>
            <color indexed="81"/>
            <rFont val="Calibri"/>
            <family val="2"/>
          </rPr>
          <t>Suma:</t>
        </r>
        <r>
          <rPr>
            <sz val="14"/>
            <color indexed="81"/>
            <rFont val="Calibri"/>
            <family val="2"/>
          </rPr>
          <t xml:space="preserve">
</t>
        </r>
        <r>
          <rPr>
            <b/>
            <sz val="14"/>
            <color indexed="81"/>
            <rFont val="Calibri"/>
            <family val="2"/>
          </rPr>
          <t>1º Pago de Comisiones:</t>
        </r>
        <r>
          <rPr>
            <sz val="14"/>
            <color indexed="81"/>
            <rFont val="Calibri"/>
            <family val="2"/>
          </rPr>
          <t xml:space="preserve"> En la tabla de Informes 2017 poner las comisiones pagadas a Tiendas y FFVV que saco las cifras de la hoja de calculo de Google Drive Anticipos Tiendas y Comerciales, una vez puestas me da automaticamente el importe real de Salidas Aluis)
</t>
        </r>
      </text>
    </comment>
    <comment ref="B16" authorId="0" shapeId="0" xr:uid="{00000000-0006-0000-0000-000003000000}">
      <text>
        <r>
          <rPr>
            <b/>
            <sz val="18"/>
            <color indexed="81"/>
            <rFont val="Calibri"/>
            <family val="2"/>
          </rPr>
          <t>Suma:</t>
        </r>
        <r>
          <rPr>
            <sz val="14"/>
            <color indexed="81"/>
            <rFont val="Calibri"/>
            <family val="2"/>
          </rPr>
          <t xml:space="preserve">
</t>
        </r>
        <r>
          <rPr>
            <b/>
            <sz val="14"/>
            <color indexed="81"/>
            <rFont val="Calibri"/>
            <family val="2"/>
          </rPr>
          <t>1º Importe de Caja:</t>
        </r>
        <r>
          <rPr>
            <sz val="14"/>
            <color indexed="81"/>
            <rFont val="Calibri"/>
            <family val="2"/>
          </rPr>
          <t xml:space="preserve"> Tabla de Objetivos (pestaña MOD el importe del mes)
</t>
        </r>
        <r>
          <rPr>
            <b/>
            <sz val="14"/>
            <color indexed="81"/>
            <rFont val="Calibri"/>
            <family val="2"/>
          </rPr>
          <t>2º Retribución Base Mensual:</t>
        </r>
        <r>
          <rPr>
            <sz val="14"/>
            <color indexed="81"/>
            <rFont val="Calibri"/>
            <family val="2"/>
          </rPr>
          <t xml:space="preserve"> Tabla de Informes 2017 (pestaña FFVV 2017 Importe que pagan POR FFVV)
</t>
        </r>
        <r>
          <rPr>
            <b/>
            <sz val="14"/>
            <color indexed="81"/>
            <rFont val="Calibri"/>
            <family val="2"/>
          </rPr>
          <t>3º Importe de PRV Local</t>
        </r>
        <r>
          <rPr>
            <sz val="14"/>
            <color indexed="81"/>
            <rFont val="Calibri"/>
            <family val="2"/>
          </rPr>
          <t xml:space="preserve"> (pestaña FFVV 2017 Territoriales)
</t>
        </r>
      </text>
    </comment>
    <comment ref="B22" authorId="0" shapeId="0" xr:uid="{00000000-0006-0000-0000-000004000000}">
      <text>
        <r>
          <rPr>
            <b/>
            <sz val="18"/>
            <color indexed="81"/>
            <rFont val="Calibri"/>
            <family val="2"/>
          </rPr>
          <t>Suma:</t>
        </r>
        <r>
          <rPr>
            <sz val="14"/>
            <color indexed="81"/>
            <rFont val="Calibri"/>
            <family val="2"/>
          </rPr>
          <t xml:space="preserve">
</t>
        </r>
        <r>
          <rPr>
            <b/>
            <sz val="14"/>
            <color indexed="81"/>
            <rFont val="Calibri"/>
            <family val="2"/>
          </rPr>
          <t>1º Pago de Comisiones:</t>
        </r>
        <r>
          <rPr>
            <sz val="14"/>
            <color indexed="81"/>
            <rFont val="Calibri"/>
            <family val="2"/>
          </rPr>
          <t xml:space="preserve"> En la tabla de Informes 2017 poner las comisiones pagadas a Tiendas y FFVV que saco las cifras de la hoja de calculo de Google Drive Anticipos Tiendas y Comerciales, una vez puestas me da automaticamente el importe real de Salidas Aluis)
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Usuario de Microsoft Office</author>
  </authors>
  <commentList>
    <comment ref="B3" authorId="0" shapeId="0" xr:uid="{00000000-0006-0000-0100-000001000000}">
      <text>
        <r>
          <rPr>
            <b/>
            <sz val="18"/>
            <color rgb="FF000000"/>
            <rFont val="Calibri"/>
            <family val="2"/>
          </rPr>
          <t>Suma:</t>
        </r>
        <r>
          <rPr>
            <sz val="14"/>
            <color rgb="FF000000"/>
            <rFont val="Calibri"/>
            <family val="2"/>
          </rPr>
          <t xml:space="preserve">
</t>
        </r>
        <r>
          <rPr>
            <b/>
            <sz val="14"/>
            <color rgb="FF000000"/>
            <rFont val="Calibri"/>
            <family val="2"/>
          </rPr>
          <t>1º Importe de Caja:</t>
        </r>
        <r>
          <rPr>
            <sz val="14"/>
            <color rgb="FF000000"/>
            <rFont val="Calibri"/>
            <family val="2"/>
          </rPr>
          <t xml:space="preserve"> Tabla de Objetivos (pestaña MOD el importe del mes)
</t>
        </r>
        <r>
          <rPr>
            <b/>
            <sz val="14"/>
            <color rgb="FF000000"/>
            <rFont val="Calibri"/>
            <family val="2"/>
          </rPr>
          <t>2º Retribución Base Mensual:</t>
        </r>
        <r>
          <rPr>
            <sz val="14"/>
            <color rgb="FF000000"/>
            <rFont val="Calibri"/>
            <family val="2"/>
          </rPr>
          <t xml:space="preserve"> Tabla de Informes 2017 (pestaña PDV 2017 Importe que pagan mensualmente por tienda)
</t>
        </r>
        <r>
          <rPr>
            <b/>
            <sz val="14"/>
            <color rgb="FF000000"/>
            <rFont val="Calibri"/>
            <family val="2"/>
          </rPr>
          <t>3º Importe de PRV Local</t>
        </r>
        <r>
          <rPr>
            <sz val="14"/>
            <color rgb="FF000000"/>
            <rFont val="Calibri"/>
            <family val="2"/>
          </rPr>
          <t xml:space="preserve"> (pestaña PDV 2017 Territoriales)
</t>
        </r>
        <r>
          <rPr>
            <sz val="14"/>
            <color rgb="FF000000"/>
            <rFont val="Calibri"/>
            <family val="2"/>
          </rPr>
          <t xml:space="preserve">
</t>
        </r>
      </text>
    </comment>
    <comment ref="B7" authorId="0" shapeId="0" xr:uid="{00000000-0006-0000-0100-000002000000}">
      <text>
        <r>
          <rPr>
            <b/>
            <sz val="18"/>
            <color indexed="81"/>
            <rFont val="Calibri"/>
            <family val="2"/>
          </rPr>
          <t>Suma:</t>
        </r>
        <r>
          <rPr>
            <sz val="14"/>
            <color indexed="81"/>
            <rFont val="Calibri"/>
            <family val="2"/>
          </rPr>
          <t xml:space="preserve">
</t>
        </r>
        <r>
          <rPr>
            <b/>
            <sz val="14"/>
            <color indexed="81"/>
            <rFont val="Calibri"/>
            <family val="2"/>
          </rPr>
          <t>1º Pago de Comisiones:</t>
        </r>
        <r>
          <rPr>
            <sz val="14"/>
            <color indexed="81"/>
            <rFont val="Calibri"/>
            <family val="2"/>
          </rPr>
          <t xml:space="preserve"> En la tabla de Informes 2017 poner las comisiones pagadas a Tiendas y FFVV que saco las cifras de la hoja de calculo de Google Drive Anticipos Tiendas y Comerciales, una vez puestas me da automaticamente el importe real de Salidas Aluis)
</t>
        </r>
      </text>
    </comment>
    <comment ref="B16" authorId="0" shapeId="0" xr:uid="{00000000-0006-0000-0100-000003000000}">
      <text>
        <r>
          <rPr>
            <b/>
            <sz val="18"/>
            <color indexed="81"/>
            <rFont val="Calibri"/>
            <family val="2"/>
          </rPr>
          <t>Suma:</t>
        </r>
        <r>
          <rPr>
            <sz val="14"/>
            <color indexed="81"/>
            <rFont val="Calibri"/>
            <family val="2"/>
          </rPr>
          <t xml:space="preserve">
</t>
        </r>
        <r>
          <rPr>
            <b/>
            <sz val="14"/>
            <color indexed="81"/>
            <rFont val="Calibri"/>
            <family val="2"/>
          </rPr>
          <t>1º Importe de Caja:</t>
        </r>
        <r>
          <rPr>
            <sz val="14"/>
            <color indexed="81"/>
            <rFont val="Calibri"/>
            <family val="2"/>
          </rPr>
          <t xml:space="preserve"> Tabla de Objetivos (pestaña MOD el importe del mes)
</t>
        </r>
        <r>
          <rPr>
            <b/>
            <sz val="14"/>
            <color indexed="81"/>
            <rFont val="Calibri"/>
            <family val="2"/>
          </rPr>
          <t>2º Retribución Base Mensual:</t>
        </r>
        <r>
          <rPr>
            <sz val="14"/>
            <color indexed="81"/>
            <rFont val="Calibri"/>
            <family val="2"/>
          </rPr>
          <t xml:space="preserve"> Tabla de Informes 2017 (pestaña FFVV 2017 Importe que pagan POR FFVV)
</t>
        </r>
        <r>
          <rPr>
            <b/>
            <sz val="14"/>
            <color indexed="81"/>
            <rFont val="Calibri"/>
            <family val="2"/>
          </rPr>
          <t>3º Importe de PRV Local</t>
        </r>
        <r>
          <rPr>
            <sz val="14"/>
            <color indexed="81"/>
            <rFont val="Calibri"/>
            <family val="2"/>
          </rPr>
          <t xml:space="preserve"> (pestaña FFVV 2017 Territoriales)
</t>
        </r>
      </text>
    </comment>
    <comment ref="B22" authorId="0" shapeId="0" xr:uid="{00000000-0006-0000-0100-000004000000}">
      <text>
        <r>
          <rPr>
            <b/>
            <sz val="18"/>
            <color indexed="81"/>
            <rFont val="Calibri"/>
            <family val="2"/>
          </rPr>
          <t>Suma:</t>
        </r>
        <r>
          <rPr>
            <sz val="14"/>
            <color indexed="81"/>
            <rFont val="Calibri"/>
            <family val="2"/>
          </rPr>
          <t xml:space="preserve">
</t>
        </r>
        <r>
          <rPr>
            <b/>
            <sz val="14"/>
            <color indexed="81"/>
            <rFont val="Calibri"/>
            <family val="2"/>
          </rPr>
          <t>1º Pago de Comisiones:</t>
        </r>
        <r>
          <rPr>
            <sz val="14"/>
            <color indexed="81"/>
            <rFont val="Calibri"/>
            <family val="2"/>
          </rPr>
          <t xml:space="preserve"> En la tabla de Informes 2017 poner las comisiones pagadas a Tiendas y FFVV que saco las cifras de la hoja de calculo de Google Drive Anticipos Tiendas y Comerciales, una vez puestas me da automaticamente el importe real de Salidas Aluis)
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Usuario de Microsoft Office</author>
  </authors>
  <commentList>
    <comment ref="B2" authorId="0" shapeId="0" xr:uid="{DED89359-139E-4F04-9C64-F9E86E9FDC13}">
      <text>
        <r>
          <rPr>
            <b/>
            <sz val="18"/>
            <color indexed="81"/>
            <rFont val="Calibri"/>
            <family val="2"/>
          </rPr>
          <t>Suma:</t>
        </r>
        <r>
          <rPr>
            <sz val="14"/>
            <color indexed="81"/>
            <rFont val="Calibri"/>
            <family val="2"/>
          </rPr>
          <t xml:space="preserve">
</t>
        </r>
        <r>
          <rPr>
            <b/>
            <sz val="14"/>
            <color indexed="81"/>
            <rFont val="Calibri"/>
            <family val="2"/>
          </rPr>
          <t>1º Importe de Caja:</t>
        </r>
        <r>
          <rPr>
            <sz val="14"/>
            <color indexed="81"/>
            <rFont val="Calibri"/>
            <family val="2"/>
          </rPr>
          <t xml:space="preserve"> Tabla de Objetivos (pestaña MOD el importe del mes)
</t>
        </r>
        <r>
          <rPr>
            <b/>
            <sz val="14"/>
            <color indexed="81"/>
            <rFont val="Calibri"/>
            <family val="2"/>
          </rPr>
          <t>2º Retribución Base Mensual:</t>
        </r>
        <r>
          <rPr>
            <sz val="14"/>
            <color indexed="81"/>
            <rFont val="Calibri"/>
            <family val="2"/>
          </rPr>
          <t xml:space="preserve"> Tabla de Informes 2017 (pestaña PDV 2017 Importe que pagan mensualmente por tienda)
</t>
        </r>
        <r>
          <rPr>
            <b/>
            <sz val="14"/>
            <color indexed="81"/>
            <rFont val="Calibri"/>
            <family val="2"/>
          </rPr>
          <t>3º Importe de PRV Local</t>
        </r>
        <r>
          <rPr>
            <sz val="14"/>
            <color indexed="81"/>
            <rFont val="Calibri"/>
            <family val="2"/>
          </rPr>
          <t xml:space="preserve"> (pestaña PDV 2017 Territoriales)
</t>
        </r>
      </text>
    </comment>
    <comment ref="B6" authorId="0" shapeId="0" xr:uid="{A9FF63C8-81FF-4163-B454-C7777AFB2440}">
      <text>
        <r>
          <rPr>
            <b/>
            <sz val="18"/>
            <color rgb="FF000000"/>
            <rFont val="Calibri"/>
            <family val="2"/>
          </rPr>
          <t>Suma:</t>
        </r>
        <r>
          <rPr>
            <sz val="14"/>
            <color rgb="FF000000"/>
            <rFont val="Calibri"/>
            <family val="2"/>
          </rPr>
          <t xml:space="preserve">
</t>
        </r>
        <r>
          <rPr>
            <b/>
            <sz val="14"/>
            <color rgb="FF000000"/>
            <rFont val="Calibri"/>
            <family val="2"/>
          </rPr>
          <t>1º Pago de Comisiones:</t>
        </r>
        <r>
          <rPr>
            <sz val="14"/>
            <color rgb="FF000000"/>
            <rFont val="Calibri"/>
            <family val="2"/>
          </rPr>
          <t xml:space="preserve"> En la tabla de Informes 2017 poner las comisiones pagadas a Tiendas y FFVV que saco las cifras de la hoja de calculo de Google Drive Anticipos Tiendas y Comerciales, una vez puestas me da automaticamente el importe real de Salidas Aluis)
</t>
        </r>
        <r>
          <rPr>
            <sz val="14"/>
            <color rgb="FF000000"/>
            <rFont val="Calibri"/>
            <family val="2"/>
          </rPr>
          <t xml:space="preserve">
</t>
        </r>
        <r>
          <rPr>
            <sz val="14"/>
            <color rgb="FF000000"/>
            <rFont val="Calibri"/>
            <family val="2"/>
          </rPr>
          <t xml:space="preserve">
</t>
        </r>
      </text>
    </comment>
    <comment ref="B15" authorId="0" shapeId="0" xr:uid="{E538BF0B-E2D4-4E24-8BC9-71BF57AEB52B}">
      <text>
        <r>
          <rPr>
            <b/>
            <sz val="18"/>
            <color indexed="81"/>
            <rFont val="Calibri"/>
            <family val="2"/>
          </rPr>
          <t>Suma:</t>
        </r>
        <r>
          <rPr>
            <sz val="14"/>
            <color indexed="81"/>
            <rFont val="Calibri"/>
            <family val="2"/>
          </rPr>
          <t xml:space="preserve">
</t>
        </r>
        <r>
          <rPr>
            <b/>
            <sz val="14"/>
            <color indexed="81"/>
            <rFont val="Calibri"/>
            <family val="2"/>
          </rPr>
          <t>1º Importe de Caja:</t>
        </r>
        <r>
          <rPr>
            <sz val="14"/>
            <color indexed="81"/>
            <rFont val="Calibri"/>
            <family val="2"/>
          </rPr>
          <t xml:space="preserve"> Tabla de Objetivos (pestaña MOD el importe del mes)
</t>
        </r>
        <r>
          <rPr>
            <b/>
            <sz val="14"/>
            <color indexed="81"/>
            <rFont val="Calibri"/>
            <family val="2"/>
          </rPr>
          <t>2º Retribución Base Mensual:</t>
        </r>
        <r>
          <rPr>
            <sz val="14"/>
            <color indexed="81"/>
            <rFont val="Calibri"/>
            <family val="2"/>
          </rPr>
          <t xml:space="preserve"> Tabla de Informes 2017 (pestaña FFVV 2017 Importe que pagan POR FFVV)
</t>
        </r>
        <r>
          <rPr>
            <b/>
            <sz val="14"/>
            <color indexed="81"/>
            <rFont val="Calibri"/>
            <family val="2"/>
          </rPr>
          <t>3º Importe de PRV Local</t>
        </r>
        <r>
          <rPr>
            <sz val="14"/>
            <color indexed="81"/>
            <rFont val="Calibri"/>
            <family val="2"/>
          </rPr>
          <t xml:space="preserve"> (pestaña FFVV 2017 Territoriales)
</t>
        </r>
      </text>
    </comment>
    <comment ref="B21" authorId="0" shapeId="0" xr:uid="{0345C118-5391-40B8-8110-D84ECD9DDF12}">
      <text>
        <r>
          <rPr>
            <b/>
            <sz val="18"/>
            <color indexed="81"/>
            <rFont val="Calibri"/>
            <family val="2"/>
          </rPr>
          <t>Suma:</t>
        </r>
        <r>
          <rPr>
            <sz val="14"/>
            <color indexed="81"/>
            <rFont val="Calibri"/>
            <family val="2"/>
          </rPr>
          <t xml:space="preserve">
</t>
        </r>
        <r>
          <rPr>
            <b/>
            <sz val="14"/>
            <color indexed="81"/>
            <rFont val="Calibri"/>
            <family val="2"/>
          </rPr>
          <t>1º Pago de Comisiones:</t>
        </r>
        <r>
          <rPr>
            <sz val="14"/>
            <color indexed="81"/>
            <rFont val="Calibri"/>
            <family val="2"/>
          </rPr>
          <t xml:space="preserve"> En la tabla de Informes 2017 poner las comisiones pagadas a Tiendas y FFVV que saco las cifras de la hoja de calculo de Google Drive Anticipos Tiendas y Comerciales, una vez puestas me da automaticamente el importe real de Salidas Aluis)
</t>
        </r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Usuario de Microsoft Office</author>
  </authors>
  <commentList>
    <comment ref="B2" authorId="0" shapeId="0" xr:uid="{E061DFA7-B861-4242-AA9C-D3C1B987AC92}">
      <text>
        <r>
          <rPr>
            <b/>
            <sz val="18"/>
            <color indexed="81"/>
            <rFont val="Calibri"/>
            <family val="2"/>
          </rPr>
          <t>Suma:</t>
        </r>
        <r>
          <rPr>
            <sz val="14"/>
            <color indexed="81"/>
            <rFont val="Calibri"/>
            <family val="2"/>
          </rPr>
          <t xml:space="preserve">
</t>
        </r>
        <r>
          <rPr>
            <b/>
            <sz val="14"/>
            <color indexed="81"/>
            <rFont val="Calibri"/>
            <family val="2"/>
          </rPr>
          <t>1º Importe de Caja:</t>
        </r>
        <r>
          <rPr>
            <sz val="14"/>
            <color indexed="81"/>
            <rFont val="Calibri"/>
            <family val="2"/>
          </rPr>
          <t xml:space="preserve"> Tabla de Objetivos (pestaña MOD el importe del mes)
</t>
        </r>
        <r>
          <rPr>
            <b/>
            <sz val="14"/>
            <color indexed="81"/>
            <rFont val="Calibri"/>
            <family val="2"/>
          </rPr>
          <t>2º Retribución Base Mensual:</t>
        </r>
        <r>
          <rPr>
            <sz val="14"/>
            <color indexed="81"/>
            <rFont val="Calibri"/>
            <family val="2"/>
          </rPr>
          <t xml:space="preserve"> Tabla de Informes 2017 (pestaña PDV 2017 Importe que pagan mensualmente por tienda)
</t>
        </r>
        <r>
          <rPr>
            <b/>
            <sz val="14"/>
            <color indexed="81"/>
            <rFont val="Calibri"/>
            <family val="2"/>
          </rPr>
          <t>3º Importe de PRV Local</t>
        </r>
        <r>
          <rPr>
            <sz val="14"/>
            <color indexed="81"/>
            <rFont val="Calibri"/>
            <family val="2"/>
          </rPr>
          <t xml:space="preserve"> (pestaña PDV 2017 Territoriales)
</t>
        </r>
      </text>
    </comment>
    <comment ref="B6" authorId="0" shapeId="0" xr:uid="{6F36DDA0-6598-4BF2-97A0-DA9EF7691C60}">
      <text>
        <r>
          <rPr>
            <b/>
            <sz val="18"/>
            <color rgb="FF000000"/>
            <rFont val="Calibri"/>
            <family val="2"/>
          </rPr>
          <t>Suma:</t>
        </r>
        <r>
          <rPr>
            <sz val="14"/>
            <color rgb="FF000000"/>
            <rFont val="Calibri"/>
            <family val="2"/>
          </rPr>
          <t xml:space="preserve">
</t>
        </r>
        <r>
          <rPr>
            <b/>
            <sz val="14"/>
            <color rgb="FF000000"/>
            <rFont val="Calibri"/>
            <family val="2"/>
          </rPr>
          <t>1º Pago de Comisiones:</t>
        </r>
        <r>
          <rPr>
            <sz val="14"/>
            <color rgb="FF000000"/>
            <rFont val="Calibri"/>
            <family val="2"/>
          </rPr>
          <t xml:space="preserve"> En la tabla de Informes 2017 poner las comisiones pagadas a Tiendas y FFVV que saco las cifras de la hoja de calculo de Google Drive Anticipos Tiendas y Comerciales, una vez puestas me da automaticamente el importe real de Salidas Aluis)
</t>
        </r>
        <r>
          <rPr>
            <sz val="14"/>
            <color rgb="FF000000"/>
            <rFont val="Calibri"/>
            <family val="2"/>
          </rPr>
          <t xml:space="preserve">
</t>
        </r>
        <r>
          <rPr>
            <sz val="14"/>
            <color rgb="FF000000"/>
            <rFont val="Calibri"/>
            <family val="2"/>
          </rPr>
          <t xml:space="preserve">
</t>
        </r>
      </text>
    </comment>
    <comment ref="B15" authorId="0" shapeId="0" xr:uid="{2342C9ED-695C-491E-AE33-FF2DE4E48048}">
      <text>
        <r>
          <rPr>
            <b/>
            <sz val="18"/>
            <color indexed="81"/>
            <rFont val="Calibri"/>
            <family val="2"/>
          </rPr>
          <t>Suma:</t>
        </r>
        <r>
          <rPr>
            <sz val="14"/>
            <color indexed="81"/>
            <rFont val="Calibri"/>
            <family val="2"/>
          </rPr>
          <t xml:space="preserve">
</t>
        </r>
        <r>
          <rPr>
            <b/>
            <sz val="14"/>
            <color indexed="81"/>
            <rFont val="Calibri"/>
            <family val="2"/>
          </rPr>
          <t>1º Importe de Caja:</t>
        </r>
        <r>
          <rPr>
            <sz val="14"/>
            <color indexed="81"/>
            <rFont val="Calibri"/>
            <family val="2"/>
          </rPr>
          <t xml:space="preserve"> Tabla de Objetivos (pestaña MOD el importe del mes)
</t>
        </r>
        <r>
          <rPr>
            <b/>
            <sz val="14"/>
            <color indexed="81"/>
            <rFont val="Calibri"/>
            <family val="2"/>
          </rPr>
          <t>2º Retribución Base Mensual:</t>
        </r>
        <r>
          <rPr>
            <sz val="14"/>
            <color indexed="81"/>
            <rFont val="Calibri"/>
            <family val="2"/>
          </rPr>
          <t xml:space="preserve"> Tabla de Informes 2017 (pestaña FFVV 2017 Importe que pagan POR FFVV)
</t>
        </r>
        <r>
          <rPr>
            <b/>
            <sz val="14"/>
            <color indexed="81"/>
            <rFont val="Calibri"/>
            <family val="2"/>
          </rPr>
          <t>3º Importe de PRV Local</t>
        </r>
        <r>
          <rPr>
            <sz val="14"/>
            <color indexed="81"/>
            <rFont val="Calibri"/>
            <family val="2"/>
          </rPr>
          <t xml:space="preserve"> (pestaña FFVV 2017 Territoriales)
</t>
        </r>
      </text>
    </comment>
    <comment ref="B21" authorId="0" shapeId="0" xr:uid="{44FF80E8-9F93-4B8B-87D8-75F86F88ED02}">
      <text>
        <r>
          <rPr>
            <b/>
            <sz val="18"/>
            <color indexed="81"/>
            <rFont val="Calibri"/>
            <family val="2"/>
          </rPr>
          <t>Suma:</t>
        </r>
        <r>
          <rPr>
            <sz val="14"/>
            <color indexed="81"/>
            <rFont val="Calibri"/>
            <family val="2"/>
          </rPr>
          <t xml:space="preserve">
</t>
        </r>
        <r>
          <rPr>
            <b/>
            <sz val="14"/>
            <color indexed="81"/>
            <rFont val="Calibri"/>
            <family val="2"/>
          </rPr>
          <t>1º Pago de Comisiones:</t>
        </r>
        <r>
          <rPr>
            <sz val="14"/>
            <color indexed="81"/>
            <rFont val="Calibri"/>
            <family val="2"/>
          </rPr>
          <t xml:space="preserve"> En la tabla de Informes 2017 poner las comisiones pagadas a Tiendas y FFVV que saco las cifras de la hoja de calculo de Google Drive Anticipos Tiendas y Comerciales, una vez puestas me da automaticamente el importe real de Salidas Aluis)
</t>
        </r>
      </text>
    </comment>
  </commentList>
</comments>
</file>

<file path=xl/comments1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Usuario de Microsoft Office</author>
  </authors>
  <commentList>
    <comment ref="B2" authorId="0" shapeId="0" xr:uid="{F43FC456-F449-469F-8946-42208303D216}">
      <text>
        <r>
          <rPr>
            <b/>
            <sz val="18"/>
            <color indexed="81"/>
            <rFont val="Calibri"/>
            <family val="2"/>
          </rPr>
          <t>Suma:</t>
        </r>
        <r>
          <rPr>
            <sz val="14"/>
            <color indexed="81"/>
            <rFont val="Calibri"/>
            <family val="2"/>
          </rPr>
          <t xml:space="preserve">
</t>
        </r>
        <r>
          <rPr>
            <b/>
            <sz val="14"/>
            <color indexed="81"/>
            <rFont val="Calibri"/>
            <family val="2"/>
          </rPr>
          <t>1º Importe de Caja:</t>
        </r>
        <r>
          <rPr>
            <sz val="14"/>
            <color indexed="81"/>
            <rFont val="Calibri"/>
            <family val="2"/>
          </rPr>
          <t xml:space="preserve"> Tabla de Objetivos (pestaña MOD el importe del mes)
</t>
        </r>
        <r>
          <rPr>
            <b/>
            <sz val="14"/>
            <color indexed="81"/>
            <rFont val="Calibri"/>
            <family val="2"/>
          </rPr>
          <t>2º Retribución Base Mensual:</t>
        </r>
        <r>
          <rPr>
            <sz val="14"/>
            <color indexed="81"/>
            <rFont val="Calibri"/>
            <family val="2"/>
          </rPr>
          <t xml:space="preserve"> Tabla de Informes 2017 (pestaña PDV 2017 Importe que pagan mensualmente por tienda)
</t>
        </r>
        <r>
          <rPr>
            <b/>
            <sz val="14"/>
            <color indexed="81"/>
            <rFont val="Calibri"/>
            <family val="2"/>
          </rPr>
          <t>3º Importe de PRV Local</t>
        </r>
        <r>
          <rPr>
            <sz val="14"/>
            <color indexed="81"/>
            <rFont val="Calibri"/>
            <family val="2"/>
          </rPr>
          <t xml:space="preserve"> (pestaña PDV 2017 Territoriales)
</t>
        </r>
      </text>
    </comment>
    <comment ref="B6" authorId="0" shapeId="0" xr:uid="{A6CDDBBC-566B-4241-956E-CD55DDF34B81}">
      <text>
        <r>
          <rPr>
            <b/>
            <sz val="18"/>
            <color rgb="FF000000"/>
            <rFont val="Calibri"/>
            <family val="2"/>
          </rPr>
          <t>Suma:</t>
        </r>
        <r>
          <rPr>
            <sz val="14"/>
            <color rgb="FF000000"/>
            <rFont val="Calibri"/>
            <family val="2"/>
          </rPr>
          <t xml:space="preserve">
</t>
        </r>
        <r>
          <rPr>
            <b/>
            <sz val="14"/>
            <color rgb="FF000000"/>
            <rFont val="Calibri"/>
            <family val="2"/>
          </rPr>
          <t>1º Pago de Comisiones:</t>
        </r>
        <r>
          <rPr>
            <sz val="14"/>
            <color rgb="FF000000"/>
            <rFont val="Calibri"/>
            <family val="2"/>
          </rPr>
          <t xml:space="preserve"> En la tabla de Informes 2017 poner las comisiones pagadas a Tiendas y FFVV que saco las cifras de la hoja de calculo de Google Drive Anticipos Tiendas y Comerciales, una vez puestas me da automaticamente el importe real de Salidas Aluis)
</t>
        </r>
        <r>
          <rPr>
            <sz val="14"/>
            <color rgb="FF000000"/>
            <rFont val="Calibri"/>
            <family val="2"/>
          </rPr>
          <t xml:space="preserve">
</t>
        </r>
        <r>
          <rPr>
            <sz val="14"/>
            <color rgb="FF000000"/>
            <rFont val="Calibri"/>
            <family val="2"/>
          </rPr>
          <t xml:space="preserve">
</t>
        </r>
      </text>
    </comment>
    <comment ref="B15" authorId="0" shapeId="0" xr:uid="{0FF2D9E0-B3A2-45D0-8AF7-23761DD3F741}">
      <text>
        <r>
          <rPr>
            <b/>
            <sz val="18"/>
            <color indexed="81"/>
            <rFont val="Calibri"/>
            <family val="2"/>
          </rPr>
          <t>Suma:</t>
        </r>
        <r>
          <rPr>
            <sz val="14"/>
            <color indexed="81"/>
            <rFont val="Calibri"/>
            <family val="2"/>
          </rPr>
          <t xml:space="preserve">
</t>
        </r>
        <r>
          <rPr>
            <b/>
            <sz val="14"/>
            <color indexed="81"/>
            <rFont val="Calibri"/>
            <family val="2"/>
          </rPr>
          <t>1º Importe de Caja:</t>
        </r>
        <r>
          <rPr>
            <sz val="14"/>
            <color indexed="81"/>
            <rFont val="Calibri"/>
            <family val="2"/>
          </rPr>
          <t xml:space="preserve"> Tabla de Objetivos (pestaña MOD el importe del mes)
</t>
        </r>
        <r>
          <rPr>
            <b/>
            <sz val="14"/>
            <color indexed="81"/>
            <rFont val="Calibri"/>
            <family val="2"/>
          </rPr>
          <t>2º Retribución Base Mensual:</t>
        </r>
        <r>
          <rPr>
            <sz val="14"/>
            <color indexed="81"/>
            <rFont val="Calibri"/>
            <family val="2"/>
          </rPr>
          <t xml:space="preserve"> Tabla de Informes 2017 (pestaña FFVV 2017 Importe que pagan POR FFVV)
</t>
        </r>
        <r>
          <rPr>
            <b/>
            <sz val="14"/>
            <color indexed="81"/>
            <rFont val="Calibri"/>
            <family val="2"/>
          </rPr>
          <t>3º Importe de PRV Local</t>
        </r>
        <r>
          <rPr>
            <sz val="14"/>
            <color indexed="81"/>
            <rFont val="Calibri"/>
            <family val="2"/>
          </rPr>
          <t xml:space="preserve"> (pestaña FFVV 2017 Territoriales)
</t>
        </r>
      </text>
    </comment>
    <comment ref="B21" authorId="0" shapeId="0" xr:uid="{664465A1-6ADA-4F0F-A305-03C9FA20935B}">
      <text>
        <r>
          <rPr>
            <b/>
            <sz val="18"/>
            <color indexed="81"/>
            <rFont val="Calibri"/>
            <family val="2"/>
          </rPr>
          <t>Suma:</t>
        </r>
        <r>
          <rPr>
            <sz val="14"/>
            <color indexed="81"/>
            <rFont val="Calibri"/>
            <family val="2"/>
          </rPr>
          <t xml:space="preserve">
</t>
        </r>
        <r>
          <rPr>
            <b/>
            <sz val="14"/>
            <color indexed="81"/>
            <rFont val="Calibri"/>
            <family val="2"/>
          </rPr>
          <t>1º Pago de Comisiones:</t>
        </r>
        <r>
          <rPr>
            <sz val="14"/>
            <color indexed="81"/>
            <rFont val="Calibri"/>
            <family val="2"/>
          </rPr>
          <t xml:space="preserve"> En la tabla de Informes 2017 poner las comisiones pagadas a Tiendas y FFVV que saco las cifras de la hoja de calculo de Google Drive Anticipos Tiendas y Comerciales, una vez puestas me da automaticamente el importe real de Salidas Aluis)
</t>
        </r>
      </text>
    </comment>
  </commentList>
</comments>
</file>

<file path=xl/sharedStrings.xml><?xml version="1.0" encoding="utf-8"?>
<sst xmlns="http://schemas.openxmlformats.org/spreadsheetml/2006/main" count="755" uniqueCount="148">
  <si>
    <t>Ingresos y Gastos 2022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</si>
  <si>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</si>
  <si>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</si>
  <si>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</si>
  <si>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</si>
  <si>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</si>
  <si>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</si>
  <si>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</si>
  <si>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</si>
  <si>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</si>
  <si>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</si>
  <si>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</si>
  <si>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</si>
  <si>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Totales</t>
  </si>
  <si>
    <t>Media Mensual</t>
  </si>
  <si>
    <t>Por Partidas</t>
  </si>
  <si>
    <t>Total Ingresos Tiendas</t>
  </si>
  <si>
    <t>Caja Tiendas</t>
  </si>
  <si>
    <t>Comisiones Tiendas Locales</t>
  </si>
  <si>
    <t>PRV</t>
  </si>
  <si>
    <t>Salidas Aluis</t>
  </si>
  <si>
    <t>Sanitas + Adeslas</t>
  </si>
  <si>
    <t>Gastos Tiendas</t>
  </si>
  <si>
    <t>Comisiones Tiendas</t>
  </si>
  <si>
    <t>Diferencia</t>
  </si>
  <si>
    <t>Intereses Prestamo + Adeslas</t>
  </si>
  <si>
    <t>Real Ganancias Tiendas</t>
  </si>
  <si>
    <t>Total Ingresos FFVV</t>
  </si>
  <si>
    <t>Caja FFVV</t>
  </si>
  <si>
    <t>Acuerdo Plan Retribución Variable</t>
  </si>
  <si>
    <t>Plan Retribución Variable Trimestral</t>
  </si>
  <si>
    <t>Producción Plus 2018</t>
  </si>
  <si>
    <t>Producción Básico 2018</t>
  </si>
  <si>
    <t>Gastos FFVV</t>
  </si>
  <si>
    <t>Comisiones FFVV</t>
  </si>
  <si>
    <t>Real Ganancias FFVV</t>
  </si>
  <si>
    <t>Total Ganancias</t>
  </si>
  <si>
    <t>PRV 6 FFVV</t>
  </si>
  <si>
    <t>Dividido de 7 FFVV</t>
  </si>
  <si>
    <t>Dividido de 8 FFVV</t>
  </si>
  <si>
    <t>Dividido de 6,5 FFVV</t>
  </si>
  <si>
    <t>PRV de 7 FFVV Ahora 6</t>
  </si>
  <si>
    <t>Dividido de 8,75 FFVV</t>
  </si>
  <si>
    <t>PRV de 7 Comerciales</t>
  </si>
  <si>
    <t>Dividido 9,83 FFVV</t>
  </si>
  <si>
    <t>Ingresos y Gastos 2021</t>
  </si>
  <si>
    <t>Ingresos y Gastos 2020</t>
  </si>
  <si>
    <t>Dividido Media de 6,5 FFVV</t>
  </si>
  <si>
    <t>Dividido 9,83 Comerciales</t>
  </si>
  <si>
    <t>Ingresos y Gastos 2019</t>
  </si>
  <si>
    <t>Prestamo FIN + Adeslas</t>
  </si>
  <si>
    <t>Dividido entre 7 FFVV Ahora 6</t>
  </si>
  <si>
    <t>Ingresos y Gastos 2018</t>
  </si>
  <si>
    <t>Plus</t>
  </si>
  <si>
    <t>Básico</t>
  </si>
  <si>
    <t>Total Gastos Tiendas</t>
  </si>
  <si>
    <t>Total Gastos FFVV</t>
  </si>
  <si>
    <t>Dividido entre 7 Comerciales</t>
  </si>
  <si>
    <t>Dividido entre 9,83 Comerciales</t>
  </si>
  <si>
    <t>Ingresos y Gastos 2017</t>
  </si>
  <si>
    <t>Pagos multas Hacienda</t>
  </si>
  <si>
    <t>IAE atrasado</t>
  </si>
  <si>
    <t>Pago de Prestamo</t>
  </si>
  <si>
    <t>Fianza C/ Chile</t>
  </si>
  <si>
    <t>Adelanto obra c/ Chile</t>
  </si>
  <si>
    <t>Obras C/ Chile</t>
  </si>
  <si>
    <t>Climatizacion C/ Chile</t>
  </si>
  <si>
    <t>Paredes de Cristales C/ Chile</t>
  </si>
  <si>
    <t>Telefonos centralita C/ Chile</t>
  </si>
  <si>
    <t>Liimpieza tapicería sillas C/ Chile</t>
  </si>
  <si>
    <t>Rotulos C/ Chile</t>
  </si>
  <si>
    <t>Instal Electricas C/ Chile</t>
  </si>
  <si>
    <t>Teléfono Alcatel Conference C/ Chile</t>
  </si>
  <si>
    <t>Camaras de Vigilancia C/ Chile</t>
  </si>
  <si>
    <t>Ordenador Salva C/ Chile</t>
  </si>
  <si>
    <t>Vehículos (2 Fiat)</t>
  </si>
  <si>
    <t>Rotulación vehículos (2 Fiat)</t>
  </si>
  <si>
    <t>Vehículos (2 Renault)</t>
  </si>
  <si>
    <t>Pago inmobiliaria C/ Villamayor</t>
  </si>
  <si>
    <t>Producción Plus 2017</t>
  </si>
  <si>
    <t>Fianza del local C/ Villamayor</t>
  </si>
  <si>
    <t>Producción Básico 2017</t>
  </si>
  <si>
    <t>Climatizacion Avda. Villamayor</t>
  </si>
  <si>
    <t>Cristalería Villamayor</t>
  </si>
  <si>
    <t>Obra Avda. Villamayor</t>
  </si>
  <si>
    <t>Adelanto obra Avda. Villamayor</t>
  </si>
  <si>
    <t>Fianza Local Bejar pagada a Dunia</t>
  </si>
  <si>
    <t>Cristales escaparate C/ MovilFree</t>
  </si>
  <si>
    <t>Rotulación movilfree</t>
  </si>
  <si>
    <t>Impresora tickets</t>
  </si>
  <si>
    <t>Plastificacadora</t>
  </si>
  <si>
    <t>Encuadernadora</t>
  </si>
  <si>
    <t>Ganancias Tiendas y FFVV</t>
  </si>
  <si>
    <t>Fotocopiadora</t>
  </si>
  <si>
    <t>instalacion corner tinta red</t>
  </si>
  <si>
    <t>Dividido entre 10 Comerciales</t>
  </si>
  <si>
    <t>Impreso multifuncion laser</t>
  </si>
  <si>
    <t>Impresora Eco Tank</t>
  </si>
  <si>
    <t>Tablet samsung (pc)</t>
  </si>
  <si>
    <t>Renting Villamayor</t>
  </si>
  <si>
    <t>Ingresos y Gastos 2016</t>
  </si>
  <si>
    <t>Total Ingresos 2016 Tiendas</t>
  </si>
  <si>
    <t>Faltan Comisiones Tiendas Locales</t>
  </si>
  <si>
    <t>Total Gastos 2016 Tiendas</t>
  </si>
  <si>
    <t>Total Ingresos 2016 FFVV</t>
  </si>
  <si>
    <t>Faltan Comisiones FFVV Plus</t>
  </si>
  <si>
    <t>Faltan Comisiones FFVV Básico</t>
  </si>
  <si>
    <t>Total Gastos 2016 FFVV</t>
  </si>
  <si>
    <t>NOVIEMBRE PAGO A HACIENDA del 2012 y 2014</t>
  </si>
  <si>
    <t>IAE: (capital+ pueblos):</t>
  </si>
  <si>
    <t>Total</t>
  </si>
  <si>
    <t>Ingresos y Gastos 2015</t>
  </si>
  <si>
    <t>Total Ingresos 2015 Tiendas</t>
  </si>
  <si>
    <t>Faltan Comisiones Tiendas</t>
  </si>
  <si>
    <t>Total Gastos 2015 Tiendas</t>
  </si>
  <si>
    <t>Total Ingresos 2015 FFVV</t>
  </si>
  <si>
    <t>Total Gastos 2015 FFVV</t>
  </si>
  <si>
    <t>OJO añadir en Ganancias despido Rafa</t>
  </si>
  <si>
    <t>Despido de Berna</t>
  </si>
  <si>
    <t xml:space="preserve">Total </t>
  </si>
  <si>
    <t>OJO añadir bajada de Credito por Ingreso en Popular</t>
  </si>
  <si>
    <t>OJO añadir Inversión cambio de Correhuela</t>
  </si>
  <si>
    <t>Ingresos y Gastos 2014</t>
  </si>
  <si>
    <t>Ingresos y Gastos 2013</t>
  </si>
  <si>
    <t>Ingresos y Gastos 2012</t>
  </si>
  <si>
    <t>16,515.94 €</t>
  </si>
  <si>
    <t>16,256.39 €</t>
  </si>
  <si>
    <t>15,018.00 €</t>
  </si>
  <si>
    <t>Ingresos y Gastos 2023</t>
  </si>
  <si>
    <t>Producción Plus + Especialista</t>
  </si>
  <si>
    <t>Producción Básico</t>
  </si>
  <si>
    <t>Producción Plus</t>
  </si>
  <si>
    <t xml:space="preserve">2.724,4 €			</t>
  </si>
  <si>
    <t>Adeslas</t>
  </si>
  <si>
    <t>TOTAL INGRESOS</t>
  </si>
  <si>
    <t xml:space="preserve">4.353,8 €			</t>
  </si>
  <si>
    <t>TOTAL COBRADO IVA Inc</t>
  </si>
  <si>
    <t>TOTAL COBRADO sin IVA</t>
  </si>
  <si>
    <t>Total Ingresos Tiendas+FFVV</t>
  </si>
  <si>
    <t>Ingresos y Gastos 2024</t>
  </si>
  <si>
    <t xml:space="preserve">999,68€		</t>
  </si>
  <si>
    <t xml:space="preserve">1.485,13€		</t>
  </si>
  <si>
    <t xml:space="preserve">1.141,88€		</t>
  </si>
  <si>
    <t>Captador</t>
  </si>
  <si>
    <t>Pyme</t>
  </si>
  <si>
    <t>Ingresos y Gastos 2025</t>
  </si>
  <si>
    <t>Ingresos y Gastos 2026</t>
  </si>
  <si>
    <t>Dividido de 6 FFVV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</si>
</sst>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#,##0.00\ &quot;€&quot;;[Red]\-#,##0.00\ &quot;€&quot;"/>
    <numFmt numFmtId="44" formatCode="_-* #,##0.00\ &quot;€&quot;_-;\-* #,##0.00\ &quot;€&quot;_-;_-* &quot;-&quot;??\ &quot;€&quot;_-;_-@_-"/>
  </numFmts>
  <fonts count="53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0.8"/>
      <color rgb="FFFF0000"/>
      <name val="Arial"/>
      <family val="2"/>
    </font>
    <font>
      <b/>
      <sz val="12"/>
      <color rgb="FFFF0000"/>
      <name val="Calibri"/>
      <family val="2"/>
      <scheme val="minor"/>
    </font>
    <font>
      <sz val="10.8"/>
      <color theme="8"/>
      <name val="Arial"/>
      <family val="2"/>
    </font>
    <font>
      <sz val="9.6"/>
      <color theme="8"/>
      <name val="Arial"/>
      <family val="2"/>
    </font>
    <font>
      <b/>
      <sz val="12"/>
      <color theme="8"/>
      <name val="Calibri"/>
      <family val="2"/>
      <scheme val="minor"/>
    </font>
    <font>
      <sz val="11"/>
      <color theme="0"/>
      <name val="Arial"/>
      <family val="2"/>
    </font>
    <font>
      <b/>
      <sz val="12"/>
      <color rgb="FFFFFFFF"/>
      <name val="Arial"/>
      <family val="2"/>
    </font>
    <font>
      <b/>
      <sz val="10.8"/>
      <color rgb="FFFFFFFF"/>
      <name val="Arial"/>
      <family val="2"/>
    </font>
    <font>
      <b/>
      <sz val="12"/>
      <color theme="1"/>
      <name val="Calibri"/>
      <family val="2"/>
      <scheme val="minor"/>
    </font>
    <font>
      <b/>
      <sz val="16"/>
      <color theme="0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9.6"/>
      <color rgb="FFFF0000"/>
      <name val="Arial"/>
      <family val="2"/>
    </font>
    <font>
      <sz val="11"/>
      <color rgb="FF0070C0"/>
      <name val="Arial"/>
      <family val="2"/>
    </font>
    <font>
      <b/>
      <sz val="11"/>
      <color theme="0"/>
      <name val="Arial"/>
      <family val="2"/>
    </font>
    <font>
      <sz val="8"/>
      <color rgb="FF000000"/>
      <name val="Verdana"/>
      <family val="2"/>
    </font>
    <font>
      <sz val="8"/>
      <color rgb="FFFF9A00"/>
      <name val="Verdana"/>
      <family val="2"/>
    </font>
    <font>
      <sz val="10.8"/>
      <color theme="5" tint="-0.249977111117893"/>
      <name val="Arial"/>
      <family val="2"/>
    </font>
    <font>
      <sz val="9.6"/>
      <color theme="5" tint="-0.249977111117893"/>
      <name val="Arial"/>
      <family val="2"/>
    </font>
    <font>
      <b/>
      <sz val="12"/>
      <color theme="5" tint="-0.249977111117893"/>
      <name val="Calibri"/>
      <family val="2"/>
      <scheme val="minor"/>
    </font>
    <font>
      <sz val="10"/>
      <color theme="5" tint="-0.249977111117893"/>
      <name val="Arial"/>
      <family val="2"/>
    </font>
    <font>
      <b/>
      <sz val="12"/>
      <color theme="0"/>
      <name val="Calibri"/>
      <family val="2"/>
      <scheme val="minor"/>
    </font>
    <font>
      <sz val="10.8"/>
      <color theme="0"/>
      <name val="Arial"/>
      <family val="2"/>
    </font>
    <font>
      <b/>
      <sz val="12"/>
      <color theme="0"/>
      <name val="Arial"/>
      <family val="2"/>
    </font>
    <font>
      <sz val="10"/>
      <name val="Arial"/>
      <family val="2"/>
    </font>
    <font>
      <b/>
      <sz val="12"/>
      <color theme="9" tint="-0.499984740745262"/>
      <name val="Arial"/>
      <family val="2"/>
    </font>
    <font>
      <sz val="11"/>
      <name val="Arial"/>
      <family val="2"/>
    </font>
    <font>
      <b/>
      <sz val="14"/>
      <color indexed="81"/>
      <name val="Calibri"/>
      <family val="2"/>
    </font>
    <font>
      <sz val="14"/>
      <color indexed="81"/>
      <name val="Calibri"/>
      <family val="2"/>
    </font>
    <font>
      <b/>
      <sz val="18"/>
      <color indexed="81"/>
      <name val="Calibri"/>
      <family val="2"/>
    </font>
    <font>
      <sz val="10"/>
      <color theme="8"/>
      <name val="Arial"/>
      <family val="2"/>
    </font>
    <font>
      <sz val="9"/>
      <color theme="8"/>
      <name val="Arial"/>
      <family val="2"/>
    </font>
    <font>
      <sz val="12"/>
      <color rgb="FF000000"/>
      <name val="Calibri"/>
      <family val="2"/>
      <scheme val="minor"/>
    </font>
    <font>
      <b/>
      <sz val="18"/>
      <color rgb="FF000000"/>
      <name val="Calibri"/>
      <family val="2"/>
    </font>
    <font>
      <sz val="14"/>
      <color rgb="FF000000"/>
      <name val="Calibri"/>
      <family val="2"/>
    </font>
    <font>
      <b/>
      <sz val="14"/>
      <color rgb="FF000000"/>
      <name val="Calibri"/>
      <family val="2"/>
    </font>
    <font>
      <b/>
      <sz val="9"/>
      <color indexed="81"/>
      <name val="Tahoma"/>
      <family val="2"/>
    </font>
    <font>
      <b/>
      <sz val="14"/>
      <color theme="0"/>
      <name val="Arial"/>
      <family val="2"/>
    </font>
    <font>
      <sz val="9.6"/>
      <name val="Arial"/>
      <family val="2"/>
    </font>
    <font>
      <b/>
      <sz val="14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b/>
      <sz val="10"/>
      <color rgb="FFFFFFFF"/>
      <name val="Arial"/>
      <family val="2"/>
    </font>
    <font>
      <b/>
      <sz val="10"/>
      <color theme="0"/>
      <name val="Arial"/>
      <family val="2"/>
    </font>
    <font>
      <sz val="10"/>
      <color theme="1"/>
      <name val="Calibri"/>
      <family val="2"/>
      <scheme val="minor"/>
    </font>
    <font>
      <sz val="8"/>
      <color theme="8"/>
      <name val="Arial"/>
      <family val="2"/>
    </font>
    <font>
      <sz val="10"/>
      <color rgb="FF0070C0"/>
      <name val="Arial"/>
      <family val="2"/>
    </font>
    <font>
      <b/>
      <sz val="9"/>
      <color rgb="FFFFFFFF"/>
      <name val="Arial"/>
      <family val="2"/>
    </font>
    <font>
      <b/>
      <sz val="12"/>
      <color rgb="FFFF0000"/>
      <name val="Arial"/>
      <family val="2"/>
    </font>
    <font>
      <sz val="10"/>
      <color rgb="FFFFFFFF"/>
      <name val="Arial"/>
      <family val="2"/>
    </font>
    <font>
      <sz val="11"/>
      <color rgb="FFFFFFFF"/>
      <name val="Arial"/>
      <family val="2"/>
    </font>
    <font>
      <sz val="10"/>
      <color theme="0"/>
      <name val="Arial"/>
      <family val="2"/>
    </font>
  </fonts>
  <fills count="21">
    <fill>
      <patternFill patternType="none"/>
    </fill>
    <fill>
      <patternFill patternType="gray125"/>
    </fill>
    <fill>
      <patternFill patternType="solid">
        <fgColor theme="9" tint="-0.249977111117893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FFFF00"/>
        <bgColor rgb="FF000000"/>
      </patternFill>
    </fill>
    <fill>
      <patternFill patternType="solid">
        <fgColor rgb="FF00B050"/>
        <bgColor indexed="64"/>
      </patternFill>
    </fill>
    <fill>
      <patternFill patternType="solid">
        <fgColor theme="9" tint="-0.499984740745262"/>
        <bgColor indexed="64"/>
      </patternFill>
    </fill>
  </fills>
  <borders count="29">
    <border>
      <left/>
      <right/>
      <top/>
      <bottom/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0"/>
      </left>
      <right/>
      <top/>
      <bottom/>
      <diagonal/>
    </border>
    <border>
      <left/>
      <right style="thin">
        <color theme="0"/>
      </right>
      <top/>
      <bottom/>
      <diagonal/>
    </border>
    <border>
      <left style="thin">
        <color theme="0" tint="-0.14999847407452621"/>
      </left>
      <right/>
      <top style="thin">
        <color theme="0" tint="-0.14999847407452621"/>
      </top>
      <bottom style="thin">
        <color theme="0" tint="-0.14999847407452621"/>
      </bottom>
      <diagonal/>
    </border>
    <border>
      <left/>
      <right/>
      <top style="thin">
        <color theme="0" tint="-0.14999847407452621"/>
      </top>
      <bottom style="thin">
        <color theme="0" tint="-0.14999847407452621"/>
      </bottom>
      <diagonal/>
    </border>
    <border>
      <left/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  <border>
      <left style="thin">
        <color theme="0" tint="-0.14999847407452621"/>
      </left>
      <right/>
      <top/>
      <bottom/>
      <diagonal/>
    </border>
    <border>
      <left style="thin">
        <color theme="0" tint="-0.14999847407452621"/>
      </left>
      <right/>
      <top/>
      <bottom style="thin">
        <color theme="0"/>
      </bottom>
      <diagonal/>
    </border>
    <border>
      <left/>
      <right/>
      <top/>
      <bottom style="thin">
        <color theme="0"/>
      </bottom>
      <diagonal/>
    </border>
    <border>
      <left style="thin">
        <color theme="0" tint="-0.14999847407452621"/>
      </left>
      <right/>
      <top style="thin">
        <color theme="0" tint="-0.14999847407452621"/>
      </top>
      <bottom style="thin">
        <color theme="0"/>
      </bottom>
      <diagonal/>
    </border>
    <border>
      <left/>
      <right/>
      <top style="thin">
        <color theme="0" tint="-0.14999847407452621"/>
      </top>
      <bottom style="thin">
        <color theme="0"/>
      </bottom>
      <diagonal/>
    </border>
    <border>
      <left/>
      <right style="thin">
        <color theme="0" tint="-0.14999847407452621"/>
      </right>
      <top style="thin">
        <color theme="0" tint="-0.14999847407452621"/>
      </top>
      <bottom style="thin">
        <color theme="0"/>
      </bottom>
      <diagonal/>
    </border>
    <border>
      <left/>
      <right/>
      <top style="thin">
        <color theme="0"/>
      </top>
      <bottom/>
      <diagonal/>
    </border>
    <border>
      <left style="thin">
        <color theme="0"/>
      </left>
      <right/>
      <top style="thin">
        <color theme="0" tint="-0.14999847407452621"/>
      </top>
      <bottom style="thin">
        <color theme="0"/>
      </bottom>
      <diagonal/>
    </border>
    <border>
      <left style="thin">
        <color theme="0" tint="-0.14999847407452621"/>
      </left>
      <right/>
      <top style="thin">
        <color theme="0" tint="-0.14999847407452621"/>
      </top>
      <bottom/>
      <diagonal/>
    </border>
    <border>
      <left/>
      <right/>
      <top style="thin">
        <color theme="0" tint="-0.14999847407452621"/>
      </top>
      <bottom/>
      <diagonal/>
    </border>
    <border>
      <left/>
      <right style="thin">
        <color theme="0" tint="-0.14999847407452621"/>
      </right>
      <top style="thin">
        <color theme="0" tint="-0.14999847407452621"/>
      </top>
      <bottom/>
      <diagonal/>
    </border>
    <border>
      <left/>
      <right/>
      <top style="thin">
        <color rgb="FFFFFFFF"/>
      </top>
      <bottom/>
      <diagonal/>
    </border>
    <border>
      <left style="thin">
        <color theme="0" tint="-0.14999847407452621"/>
      </left>
      <right style="thin">
        <color theme="0" tint="-0.14999847407452621"/>
      </right>
      <top/>
      <bottom style="thin">
        <color theme="0" tint="-0.14999847407452621"/>
      </bottom>
      <diagonal/>
    </border>
    <border>
      <left style="thin">
        <color theme="7" tint="0.59999389629810485"/>
      </left>
      <right style="thin">
        <color theme="7" tint="0.59999389629810485"/>
      </right>
      <top style="thin">
        <color theme="7" tint="0.59999389629810485"/>
      </top>
      <bottom style="thin">
        <color theme="7" tint="0.59999389629810485"/>
      </bottom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/>
      <diagonal/>
    </border>
    <border>
      <left style="medium">
        <color theme="0"/>
      </left>
      <right style="medium">
        <color theme="0"/>
      </right>
      <top style="medium">
        <color theme="0"/>
      </top>
      <bottom style="medium">
        <color theme="0"/>
      </bottom>
      <diagonal/>
    </border>
    <border>
      <left style="thin">
        <color theme="7" tint="0.59999389629810485"/>
      </left>
      <right/>
      <top style="thin">
        <color theme="7" tint="0.59999389629810485"/>
      </top>
      <bottom style="thin">
        <color theme="7" tint="0.59999389629810485"/>
      </bottom>
      <diagonal/>
    </border>
    <border>
      <left/>
      <right/>
      <top style="medium">
        <color theme="0"/>
      </top>
      <bottom style="thin">
        <color theme="0"/>
      </bottom>
      <diagonal/>
    </border>
    <border>
      <left style="thin">
        <color theme="0" tint="-0.14999847407452621"/>
      </left>
      <right style="thin">
        <color theme="0" tint="-0.14999847407452621"/>
      </right>
      <top style="medium">
        <color theme="0"/>
      </top>
      <bottom/>
      <diagonal/>
    </border>
    <border>
      <left style="thin">
        <color theme="0" tint="-0.14999847407452621"/>
      </left>
      <right style="thin">
        <color theme="0" tint="-0.14999847407452621"/>
      </right>
      <top/>
      <bottom/>
      <diagonal/>
    </border>
  </borders>
  <cellStyleXfs count="78">
    <xf numFmtId="0" fontId="0" fillId="0" borderId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44" fontId="1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61">
    <xf numFmtId="0" fontId="0" fillId="0" borderId="0" xfId="0"/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4" fontId="2" fillId="0" borderId="0" xfId="0" applyNumberFormat="1" applyFont="1" applyAlignment="1">
      <alignment horizontal="center" vertical="center"/>
    </xf>
    <xf numFmtId="4" fontId="3" fillId="0" borderId="0" xfId="0" applyNumberFormat="1" applyFont="1" applyAlignment="1">
      <alignment horizontal="center" vertical="center"/>
    </xf>
    <xf numFmtId="4" fontId="4" fillId="0" borderId="0" xfId="0" applyNumberFormat="1" applyFont="1" applyAlignment="1">
      <alignment horizontal="center" vertical="center"/>
    </xf>
    <xf numFmtId="4" fontId="6" fillId="0" borderId="0" xfId="0" applyNumberFormat="1" applyFont="1" applyAlignment="1">
      <alignment horizontal="center" vertical="center"/>
    </xf>
    <xf numFmtId="0" fontId="7" fillId="3" borderId="0" xfId="0" applyFont="1" applyFill="1" applyAlignment="1">
      <alignment vertical="center"/>
    </xf>
    <xf numFmtId="4" fontId="7" fillId="3" borderId="0" xfId="0" applyNumberFormat="1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4" borderId="1" xfId="0" applyFont="1" applyFill="1" applyBorder="1" applyAlignment="1">
      <alignment vertical="center"/>
    </xf>
    <xf numFmtId="0" fontId="5" fillId="4" borderId="1" xfId="0" applyFont="1" applyFill="1" applyBorder="1" applyAlignment="1">
      <alignment horizontal="center" vertical="center"/>
    </xf>
    <xf numFmtId="4" fontId="5" fillId="4" borderId="1" xfId="0" applyNumberFormat="1" applyFont="1" applyFill="1" applyBorder="1" applyAlignment="1">
      <alignment horizontal="center" vertical="center"/>
    </xf>
    <xf numFmtId="4" fontId="6" fillId="4" borderId="1" xfId="0" applyNumberFormat="1" applyFont="1" applyFill="1" applyBorder="1" applyAlignment="1">
      <alignment horizontal="center" vertical="center"/>
    </xf>
    <xf numFmtId="4" fontId="0" fillId="0" borderId="0" xfId="0" applyNumberFormat="1" applyAlignment="1">
      <alignment horizontal="center" vertical="center"/>
    </xf>
    <xf numFmtId="0" fontId="8" fillId="5" borderId="0" xfId="0" applyFont="1" applyFill="1" applyAlignment="1">
      <alignment vertical="center"/>
    </xf>
    <xf numFmtId="0" fontId="9" fillId="5" borderId="0" xfId="0" applyFont="1" applyFill="1" applyAlignment="1">
      <alignment horizontal="center" vertical="center"/>
    </xf>
    <xf numFmtId="0" fontId="14" fillId="0" borderId="0" xfId="0" applyFont="1" applyAlignment="1">
      <alignment horizontal="center" vertical="center"/>
    </xf>
    <xf numFmtId="4" fontId="14" fillId="0" borderId="0" xfId="0" applyNumberFormat="1" applyFont="1" applyAlignment="1">
      <alignment horizontal="center" vertical="center"/>
    </xf>
    <xf numFmtId="0" fontId="15" fillId="0" borderId="0" xfId="0" applyFont="1" applyAlignment="1">
      <alignment vertical="center"/>
    </xf>
    <xf numFmtId="4" fontId="15" fillId="0" borderId="0" xfId="0" applyNumberFormat="1" applyFont="1" applyAlignment="1">
      <alignment horizontal="center" vertical="center"/>
    </xf>
    <xf numFmtId="0" fontId="4" fillId="6" borderId="0" xfId="0" applyFont="1" applyFill="1" applyAlignment="1">
      <alignment vertical="center"/>
    </xf>
    <xf numFmtId="0" fontId="16" fillId="2" borderId="0" xfId="0" applyFont="1" applyFill="1" applyAlignment="1">
      <alignment vertical="center"/>
    </xf>
    <xf numFmtId="4" fontId="7" fillId="2" borderId="0" xfId="0" applyNumberFormat="1" applyFont="1" applyFill="1" applyAlignment="1">
      <alignment horizontal="center" vertical="center"/>
    </xf>
    <xf numFmtId="0" fontId="11" fillId="7" borderId="0" xfId="0" applyFont="1" applyFill="1" applyAlignment="1">
      <alignment vertical="center"/>
    </xf>
    <xf numFmtId="0" fontId="11" fillId="7" borderId="0" xfId="0" applyFont="1" applyFill="1" applyAlignment="1">
      <alignment horizontal="center" vertical="center"/>
    </xf>
    <xf numFmtId="44" fontId="7" fillId="2" borderId="0" xfId="3" applyFont="1" applyFill="1" applyAlignment="1">
      <alignment horizontal="center" vertical="center"/>
    </xf>
    <xf numFmtId="44" fontId="7" fillId="3" borderId="0" xfId="3" applyFont="1" applyFill="1" applyAlignment="1">
      <alignment horizontal="center" vertical="center"/>
    </xf>
    <xf numFmtId="0" fontId="18" fillId="0" borderId="0" xfId="0" applyFont="1"/>
    <xf numFmtId="14" fontId="17" fillId="0" borderId="0" xfId="0" applyNumberFormat="1" applyFont="1"/>
    <xf numFmtId="8" fontId="17" fillId="0" borderId="0" xfId="0" applyNumberFormat="1" applyFont="1"/>
    <xf numFmtId="0" fontId="17" fillId="0" borderId="0" xfId="0" applyFont="1"/>
    <xf numFmtId="0" fontId="19" fillId="0" borderId="2" xfId="0" applyFont="1" applyBorder="1" applyAlignment="1">
      <alignment vertical="center"/>
    </xf>
    <xf numFmtId="4" fontId="22" fillId="0" borderId="2" xfId="0" applyNumberFormat="1" applyFont="1" applyBorder="1" applyAlignment="1">
      <alignment horizontal="center" vertical="center"/>
    </xf>
    <xf numFmtId="4" fontId="20" fillId="0" borderId="2" xfId="0" applyNumberFormat="1" applyFont="1" applyBorder="1" applyAlignment="1">
      <alignment horizontal="center" vertical="center"/>
    </xf>
    <xf numFmtId="0" fontId="2" fillId="0" borderId="2" xfId="0" applyFont="1" applyBorder="1" applyAlignment="1">
      <alignment vertical="center"/>
    </xf>
    <xf numFmtId="4" fontId="2" fillId="0" borderId="2" xfId="0" applyNumberFormat="1" applyFont="1" applyBorder="1" applyAlignment="1">
      <alignment horizontal="center" vertical="center"/>
    </xf>
    <xf numFmtId="0" fontId="7" fillId="3" borderId="2" xfId="0" applyFont="1" applyFill="1" applyBorder="1" applyAlignment="1">
      <alignment vertical="center"/>
    </xf>
    <xf numFmtId="4" fontId="7" fillId="3" borderId="2" xfId="0" applyNumberFormat="1" applyFont="1" applyFill="1" applyBorder="1" applyAlignment="1">
      <alignment horizontal="center" vertical="center"/>
    </xf>
    <xf numFmtId="44" fontId="7" fillId="3" borderId="2" xfId="3" applyFont="1" applyFill="1" applyBorder="1" applyAlignment="1">
      <alignment horizontal="center" vertical="center"/>
    </xf>
    <xf numFmtId="0" fontId="15" fillId="0" borderId="2" xfId="0" applyFont="1" applyBorder="1" applyAlignment="1">
      <alignment vertical="center"/>
    </xf>
    <xf numFmtId="4" fontId="15" fillId="0" borderId="2" xfId="0" applyNumberFormat="1" applyFont="1" applyBorder="1" applyAlignment="1">
      <alignment horizontal="center" vertical="center"/>
    </xf>
    <xf numFmtId="4" fontId="7" fillId="0" borderId="3" xfId="0" applyNumberFormat="1" applyFont="1" applyBorder="1" applyAlignment="1">
      <alignment horizontal="center" vertical="center"/>
    </xf>
    <xf numFmtId="0" fontId="8" fillId="5" borderId="2" xfId="0" applyFont="1" applyFill="1" applyBorder="1" applyAlignment="1">
      <alignment vertical="center"/>
    </xf>
    <xf numFmtId="0" fontId="9" fillId="5" borderId="2" xfId="0" applyFont="1" applyFill="1" applyBorder="1" applyAlignment="1">
      <alignment horizontal="center" vertical="center"/>
    </xf>
    <xf numFmtId="0" fontId="16" fillId="5" borderId="2" xfId="0" applyFont="1" applyFill="1" applyBorder="1" applyAlignment="1">
      <alignment horizontal="center" vertical="center"/>
    </xf>
    <xf numFmtId="44" fontId="7" fillId="0" borderId="4" xfId="3" applyFont="1" applyFill="1" applyBorder="1" applyAlignment="1">
      <alignment horizontal="center" vertical="center"/>
    </xf>
    <xf numFmtId="0" fontId="16" fillId="0" borderId="5" xfId="0" applyFont="1" applyBorder="1" applyAlignment="1">
      <alignment vertical="center"/>
    </xf>
    <xf numFmtId="0" fontId="7" fillId="2" borderId="2" xfId="0" applyFont="1" applyFill="1" applyBorder="1" applyAlignment="1">
      <alignment vertical="center"/>
    </xf>
    <xf numFmtId="4" fontId="24" fillId="2" borderId="2" xfId="0" applyNumberFormat="1" applyFont="1" applyFill="1" applyBorder="1" applyAlignment="1">
      <alignment horizontal="center" vertical="center"/>
    </xf>
    <xf numFmtId="4" fontId="23" fillId="2" borderId="2" xfId="0" applyNumberFormat="1" applyFont="1" applyFill="1" applyBorder="1" applyAlignment="1">
      <alignment horizontal="center" vertical="center"/>
    </xf>
    <xf numFmtId="0" fontId="25" fillId="8" borderId="2" xfId="0" applyFont="1" applyFill="1" applyBorder="1" applyAlignment="1">
      <alignment vertical="center"/>
    </xf>
    <xf numFmtId="4" fontId="25" fillId="8" borderId="2" xfId="0" applyNumberFormat="1" applyFont="1" applyFill="1" applyBorder="1" applyAlignment="1">
      <alignment horizontal="center" vertical="center"/>
    </xf>
    <xf numFmtId="44" fontId="25" fillId="8" borderId="2" xfId="3" applyFont="1" applyFill="1" applyBorder="1" applyAlignment="1">
      <alignment horizontal="center" vertical="center"/>
    </xf>
    <xf numFmtId="0" fontId="0" fillId="9" borderId="9" xfId="0" applyFill="1" applyBorder="1" applyAlignment="1">
      <alignment vertical="center"/>
    </xf>
    <xf numFmtId="0" fontId="0" fillId="9" borderId="0" xfId="0" applyFill="1" applyAlignment="1">
      <alignment vertical="center"/>
    </xf>
    <xf numFmtId="0" fontId="0" fillId="9" borderId="10" xfId="0" applyFill="1" applyBorder="1" applyAlignment="1">
      <alignment vertical="center"/>
    </xf>
    <xf numFmtId="0" fontId="0" fillId="9" borderId="11" xfId="0" applyFill="1" applyBorder="1" applyAlignment="1">
      <alignment vertical="center"/>
    </xf>
    <xf numFmtId="4" fontId="5" fillId="9" borderId="2" xfId="0" applyNumberFormat="1" applyFont="1" applyFill="1" applyBorder="1" applyAlignment="1">
      <alignment horizontal="center" vertical="center"/>
    </xf>
    <xf numFmtId="4" fontId="26" fillId="0" borderId="2" xfId="0" applyNumberFormat="1" applyFont="1" applyBorder="1" applyAlignment="1">
      <alignment horizontal="center" vertical="center"/>
    </xf>
    <xf numFmtId="0" fontId="0" fillId="0" borderId="0" xfId="0" applyAlignment="1">
      <alignment vertical="top"/>
    </xf>
    <xf numFmtId="44" fontId="0" fillId="0" borderId="0" xfId="3" applyFont="1" applyAlignment="1">
      <alignment horizontal="center" vertical="top"/>
    </xf>
    <xf numFmtId="44" fontId="0" fillId="0" borderId="0" xfId="3" applyFont="1" applyAlignment="1">
      <alignment horizontal="center" vertical="center"/>
    </xf>
    <xf numFmtId="44" fontId="10" fillId="0" borderId="0" xfId="3" applyFont="1" applyAlignment="1">
      <alignment horizontal="center" vertical="center"/>
    </xf>
    <xf numFmtId="4" fontId="5" fillId="0" borderId="2" xfId="0" applyNumberFormat="1" applyFont="1" applyBorder="1" applyAlignment="1">
      <alignment horizontal="center" vertical="center"/>
    </xf>
    <xf numFmtId="0" fontId="0" fillId="9" borderId="0" xfId="0" applyFill="1" applyAlignment="1">
      <alignment vertical="top"/>
    </xf>
    <xf numFmtId="44" fontId="0" fillId="9" borderId="0" xfId="3" applyFont="1" applyFill="1" applyAlignment="1">
      <alignment horizontal="center" vertical="center"/>
    </xf>
    <xf numFmtId="0" fontId="0" fillId="9" borderId="0" xfId="0" applyFill="1" applyAlignment="1">
      <alignment horizontal="center" vertical="center"/>
    </xf>
    <xf numFmtId="44" fontId="10" fillId="9" borderId="0" xfId="3" applyFont="1" applyFill="1" applyAlignment="1">
      <alignment horizontal="center" vertical="center"/>
    </xf>
    <xf numFmtId="0" fontId="18" fillId="9" borderId="0" xfId="0" applyFont="1" applyFill="1"/>
    <xf numFmtId="14" fontId="17" fillId="9" borderId="0" xfId="0" applyNumberFormat="1" applyFont="1" applyFill="1"/>
    <xf numFmtId="8" fontId="17" fillId="9" borderId="0" xfId="0" applyNumberFormat="1" applyFont="1" applyFill="1"/>
    <xf numFmtId="0" fontId="17" fillId="9" borderId="0" xfId="0" applyFont="1" applyFill="1"/>
    <xf numFmtId="0" fontId="0" fillId="9" borderId="0" xfId="0" applyFill="1"/>
    <xf numFmtId="0" fontId="4" fillId="0" borderId="2" xfId="0" applyFont="1" applyBorder="1" applyAlignment="1">
      <alignment vertical="center"/>
    </xf>
    <xf numFmtId="8" fontId="5" fillId="0" borderId="2" xfId="0" applyNumberFormat="1" applyFont="1" applyBorder="1" applyAlignment="1">
      <alignment horizontal="center" vertical="center"/>
    </xf>
    <xf numFmtId="44" fontId="27" fillId="7" borderId="2" xfId="3" applyFont="1" applyFill="1" applyBorder="1" applyAlignment="1">
      <alignment horizontal="center" vertical="center"/>
    </xf>
    <xf numFmtId="4" fontId="28" fillId="0" borderId="3" xfId="0" applyNumberFormat="1" applyFont="1" applyBorder="1" applyAlignment="1">
      <alignment horizontal="center" vertical="center"/>
    </xf>
    <xf numFmtId="0" fontId="25" fillId="10" borderId="6" xfId="0" applyFont="1" applyFill="1" applyBorder="1" applyAlignment="1">
      <alignment vertical="center"/>
    </xf>
    <xf numFmtId="4" fontId="25" fillId="10" borderId="7" xfId="0" applyNumberFormat="1" applyFont="1" applyFill="1" applyBorder="1" applyAlignment="1">
      <alignment horizontal="center" vertical="center"/>
    </xf>
    <xf numFmtId="0" fontId="8" fillId="10" borderId="2" xfId="0" applyFont="1" applyFill="1" applyBorder="1" applyAlignment="1">
      <alignment vertical="center"/>
    </xf>
    <xf numFmtId="0" fontId="9" fillId="10" borderId="2" xfId="0" applyFont="1" applyFill="1" applyBorder="1" applyAlignment="1">
      <alignment horizontal="center" vertical="center"/>
    </xf>
    <xf numFmtId="0" fontId="16" fillId="10" borderId="2" xfId="0" applyFont="1" applyFill="1" applyBorder="1" applyAlignment="1">
      <alignment horizontal="center" vertical="center"/>
    </xf>
    <xf numFmtId="4" fontId="20" fillId="9" borderId="2" xfId="0" applyNumberFormat="1" applyFont="1" applyFill="1" applyBorder="1" applyAlignment="1">
      <alignment horizontal="center" vertical="center"/>
    </xf>
    <xf numFmtId="0" fontId="0" fillId="16" borderId="1" xfId="0" applyFill="1" applyBorder="1" applyAlignment="1">
      <alignment vertical="center"/>
    </xf>
    <xf numFmtId="44" fontId="0" fillId="16" borderId="1" xfId="3" applyFont="1" applyFill="1" applyBorder="1" applyAlignment="1">
      <alignment vertical="center"/>
    </xf>
    <xf numFmtId="0" fontId="0" fillId="11" borderId="1" xfId="0" applyFill="1" applyBorder="1" applyAlignment="1">
      <alignment vertical="center"/>
    </xf>
    <xf numFmtId="44" fontId="0" fillId="11" borderId="1" xfId="3" applyFont="1" applyFill="1" applyBorder="1" applyAlignment="1">
      <alignment vertical="center"/>
    </xf>
    <xf numFmtId="0" fontId="0" fillId="13" borderId="1" xfId="0" applyFill="1" applyBorder="1" applyAlignment="1">
      <alignment vertical="center"/>
    </xf>
    <xf numFmtId="44" fontId="0" fillId="13" borderId="1" xfId="3" applyFont="1" applyFill="1" applyBorder="1" applyAlignment="1">
      <alignment vertical="center"/>
    </xf>
    <xf numFmtId="0" fontId="0" fillId="13" borderId="1" xfId="0" applyFill="1" applyBorder="1" applyAlignment="1">
      <alignment vertical="top"/>
    </xf>
    <xf numFmtId="0" fontId="0" fillId="12" borderId="1" xfId="0" applyFill="1" applyBorder="1" applyAlignment="1">
      <alignment vertical="center"/>
    </xf>
    <xf numFmtId="44" fontId="0" fillId="12" borderId="1" xfId="3" applyFont="1" applyFill="1" applyBorder="1" applyAlignment="1">
      <alignment vertical="center"/>
    </xf>
    <xf numFmtId="0" fontId="0" fillId="14" borderId="1" xfId="0" applyFill="1" applyBorder="1" applyAlignment="1">
      <alignment vertical="center"/>
    </xf>
    <xf numFmtId="44" fontId="0" fillId="14" borderId="1" xfId="3" applyFont="1" applyFill="1" applyBorder="1" applyAlignment="1">
      <alignment vertical="center"/>
    </xf>
    <xf numFmtId="0" fontId="0" fillId="15" borderId="1" xfId="0" applyFill="1" applyBorder="1" applyAlignment="1">
      <alignment vertical="center"/>
    </xf>
    <xf numFmtId="44" fontId="0" fillId="15" borderId="1" xfId="3" applyFont="1" applyFill="1" applyBorder="1" applyAlignment="1">
      <alignment vertical="center"/>
    </xf>
    <xf numFmtId="0" fontId="0" fillId="6" borderId="1" xfId="0" applyFill="1" applyBorder="1" applyAlignment="1">
      <alignment vertical="center"/>
    </xf>
    <xf numFmtId="44" fontId="0" fillId="6" borderId="1" xfId="3" applyFont="1" applyFill="1" applyBorder="1" applyAlignment="1">
      <alignment vertical="center"/>
    </xf>
    <xf numFmtId="4" fontId="32" fillId="0" borderId="2" xfId="0" applyNumberFormat="1" applyFont="1" applyBorder="1" applyAlignment="1">
      <alignment horizontal="center" vertical="center"/>
    </xf>
    <xf numFmtId="0" fontId="33" fillId="0" borderId="2" xfId="0" applyFont="1" applyBorder="1" applyAlignment="1">
      <alignment vertical="center"/>
    </xf>
    <xf numFmtId="4" fontId="7" fillId="9" borderId="0" xfId="0" applyNumberFormat="1" applyFont="1" applyFill="1" applyAlignment="1">
      <alignment horizontal="center" vertical="center"/>
    </xf>
    <xf numFmtId="4" fontId="15" fillId="9" borderId="0" xfId="0" applyNumberFormat="1" applyFont="1" applyFill="1" applyAlignment="1">
      <alignment horizontal="center" vertical="center"/>
    </xf>
    <xf numFmtId="44" fontId="27" fillId="9" borderId="0" xfId="3" applyFont="1" applyFill="1" applyBorder="1" applyAlignment="1">
      <alignment horizontal="center" vertical="center"/>
    </xf>
    <xf numFmtId="4" fontId="25" fillId="9" borderId="0" xfId="0" applyNumberFormat="1" applyFont="1" applyFill="1" applyAlignment="1">
      <alignment horizontal="center" vertical="center"/>
    </xf>
    <xf numFmtId="4" fontId="25" fillId="10" borderId="2" xfId="0" applyNumberFormat="1" applyFont="1" applyFill="1" applyBorder="1" applyAlignment="1">
      <alignment horizontal="center" vertical="center"/>
    </xf>
    <xf numFmtId="0" fontId="25" fillId="10" borderId="2" xfId="0" applyFont="1" applyFill="1" applyBorder="1" applyAlignment="1">
      <alignment vertical="center"/>
    </xf>
    <xf numFmtId="0" fontId="32" fillId="0" borderId="2" xfId="0" applyFont="1" applyBorder="1" applyAlignment="1">
      <alignment vertical="center"/>
    </xf>
    <xf numFmtId="0" fontId="0" fillId="6" borderId="15" xfId="0" applyFill="1" applyBorder="1" applyAlignment="1">
      <alignment vertical="top"/>
    </xf>
    <xf numFmtId="44" fontId="0" fillId="6" borderId="15" xfId="3" applyFont="1" applyFill="1" applyBorder="1" applyAlignment="1">
      <alignment vertical="top"/>
    </xf>
    <xf numFmtId="0" fontId="0" fillId="6" borderId="0" xfId="0" applyFill="1" applyAlignment="1">
      <alignment vertical="center"/>
    </xf>
    <xf numFmtId="44" fontId="0" fillId="6" borderId="0" xfId="3" applyFont="1" applyFill="1" applyAlignment="1">
      <alignment vertical="center"/>
    </xf>
    <xf numFmtId="0" fontId="19" fillId="12" borderId="2" xfId="0" applyFont="1" applyFill="1" applyBorder="1" applyAlignment="1">
      <alignment vertical="center"/>
    </xf>
    <xf numFmtId="0" fontId="0" fillId="6" borderId="15" xfId="0" applyFill="1" applyBorder="1" applyAlignment="1">
      <alignment vertical="center"/>
    </xf>
    <xf numFmtId="44" fontId="0" fillId="6" borderId="15" xfId="3" applyFont="1" applyFill="1" applyBorder="1" applyAlignment="1">
      <alignment vertical="center"/>
    </xf>
    <xf numFmtId="0" fontId="18" fillId="9" borderId="0" xfId="0" applyFont="1" applyFill="1" applyAlignment="1">
      <alignment vertical="center"/>
    </xf>
    <xf numFmtId="0" fontId="17" fillId="9" borderId="0" xfId="0" applyFont="1" applyFill="1" applyAlignment="1">
      <alignment vertical="center"/>
    </xf>
    <xf numFmtId="14" fontId="17" fillId="9" borderId="0" xfId="0" applyNumberFormat="1" applyFont="1" applyFill="1" applyAlignment="1">
      <alignment vertical="center"/>
    </xf>
    <xf numFmtId="8" fontId="17" fillId="9" borderId="0" xfId="0" applyNumberFormat="1" applyFont="1" applyFill="1" applyAlignment="1">
      <alignment vertical="center"/>
    </xf>
    <xf numFmtId="0" fontId="17" fillId="0" borderId="0" xfId="0" applyFont="1" applyAlignment="1">
      <alignment vertical="center"/>
    </xf>
    <xf numFmtId="0" fontId="18" fillId="0" borderId="0" xfId="0" applyFont="1" applyAlignment="1">
      <alignment vertical="center"/>
    </xf>
    <xf numFmtId="14" fontId="17" fillId="0" borderId="0" xfId="0" applyNumberFormat="1" applyFont="1" applyAlignment="1">
      <alignment vertical="center"/>
    </xf>
    <xf numFmtId="8" fontId="17" fillId="0" borderId="0" xfId="0" applyNumberFormat="1" applyFont="1" applyAlignment="1">
      <alignment vertical="center"/>
    </xf>
    <xf numFmtId="8" fontId="5" fillId="12" borderId="2" xfId="0" applyNumberFormat="1" applyFont="1" applyFill="1" applyBorder="1" applyAlignment="1">
      <alignment horizontal="center" vertical="center"/>
    </xf>
    <xf numFmtId="4" fontId="5" fillId="12" borderId="2" xfId="0" applyNumberFormat="1" applyFont="1" applyFill="1" applyBorder="1" applyAlignment="1">
      <alignment horizontal="center" vertical="center"/>
    </xf>
    <xf numFmtId="4" fontId="22" fillId="12" borderId="2" xfId="0" applyNumberFormat="1" applyFont="1" applyFill="1" applyBorder="1" applyAlignment="1">
      <alignment horizontal="center" vertical="center"/>
    </xf>
    <xf numFmtId="4" fontId="20" fillId="12" borderId="2" xfId="0" applyNumberFormat="1" applyFont="1" applyFill="1" applyBorder="1" applyAlignment="1">
      <alignment horizontal="center" vertical="center"/>
    </xf>
    <xf numFmtId="4" fontId="2" fillId="12" borderId="2" xfId="0" applyNumberFormat="1" applyFont="1" applyFill="1" applyBorder="1" applyAlignment="1">
      <alignment horizontal="center" vertical="center"/>
    </xf>
    <xf numFmtId="4" fontId="5" fillId="17" borderId="2" xfId="0" applyNumberFormat="1" applyFont="1" applyFill="1" applyBorder="1" applyAlignment="1">
      <alignment horizontal="center" vertical="center"/>
    </xf>
    <xf numFmtId="44" fontId="34" fillId="18" borderId="20" xfId="0" applyNumberFormat="1" applyFont="1" applyFill="1" applyBorder="1" applyAlignment="1">
      <alignment vertical="top"/>
    </xf>
    <xf numFmtId="4" fontId="6" fillId="0" borderId="2" xfId="0" applyNumberFormat="1" applyFont="1" applyBorder="1" applyAlignment="1">
      <alignment horizontal="center" vertical="center"/>
    </xf>
    <xf numFmtId="4" fontId="21" fillId="0" borderId="2" xfId="0" applyNumberFormat="1" applyFont="1" applyBorder="1" applyAlignment="1">
      <alignment horizontal="center" vertical="center"/>
    </xf>
    <xf numFmtId="4" fontId="3" fillId="0" borderId="2" xfId="0" applyNumberFormat="1" applyFont="1" applyBorder="1" applyAlignment="1">
      <alignment horizontal="center" vertical="center"/>
    </xf>
    <xf numFmtId="4" fontId="32" fillId="12" borderId="2" xfId="0" applyNumberFormat="1" applyFont="1" applyFill="1" applyBorder="1" applyAlignment="1">
      <alignment horizontal="center" vertical="center"/>
    </xf>
    <xf numFmtId="4" fontId="2" fillId="12" borderId="0" xfId="0" applyNumberFormat="1" applyFont="1" applyFill="1" applyAlignment="1">
      <alignment horizontal="center" vertical="center"/>
    </xf>
    <xf numFmtId="4" fontId="6" fillId="0" borderId="8" xfId="0" applyNumberFormat="1" applyFont="1" applyBorder="1" applyAlignment="1">
      <alignment horizontal="center" vertical="center"/>
    </xf>
    <xf numFmtId="8" fontId="5" fillId="12" borderId="23" xfId="0" applyNumberFormat="1" applyFont="1" applyFill="1" applyBorder="1" applyAlignment="1">
      <alignment horizontal="center" vertical="center"/>
    </xf>
    <xf numFmtId="4" fontId="22" fillId="0" borderId="21" xfId="0" applyNumberFormat="1" applyFont="1" applyBorder="1" applyAlignment="1">
      <alignment horizontal="center" vertical="center"/>
    </xf>
    <xf numFmtId="4" fontId="5" fillId="12" borderId="17" xfId="0" applyNumberFormat="1" applyFont="1" applyFill="1" applyBorder="1" applyAlignment="1">
      <alignment horizontal="center" vertical="center"/>
    </xf>
    <xf numFmtId="4" fontId="5" fillId="12" borderId="22" xfId="0" applyNumberFormat="1" applyFont="1" applyFill="1" applyBorder="1" applyAlignment="1">
      <alignment horizontal="center" vertical="center"/>
    </xf>
    <xf numFmtId="0" fontId="4" fillId="0" borderId="21" xfId="0" applyFont="1" applyBorder="1" applyAlignment="1">
      <alignment vertical="center"/>
    </xf>
    <xf numFmtId="8" fontId="5" fillId="12" borderId="21" xfId="0" applyNumberFormat="1" applyFont="1" applyFill="1" applyBorder="1" applyAlignment="1">
      <alignment horizontal="center" vertical="center"/>
    </xf>
    <xf numFmtId="4" fontId="5" fillId="0" borderId="21" xfId="0" applyNumberFormat="1" applyFont="1" applyBorder="1" applyAlignment="1">
      <alignment horizontal="center" vertical="center"/>
    </xf>
    <xf numFmtId="4" fontId="5" fillId="12" borderId="21" xfId="0" applyNumberFormat="1" applyFont="1" applyFill="1" applyBorder="1" applyAlignment="1">
      <alignment horizontal="center" vertical="center"/>
    </xf>
    <xf numFmtId="4" fontId="6" fillId="0" borderId="21" xfId="0" applyNumberFormat="1" applyFont="1" applyBorder="1" applyAlignment="1">
      <alignment horizontal="center" vertical="center"/>
    </xf>
    <xf numFmtId="0" fontId="8" fillId="10" borderId="24" xfId="0" applyFont="1" applyFill="1" applyBorder="1" applyAlignment="1">
      <alignment vertical="center"/>
    </xf>
    <xf numFmtId="0" fontId="9" fillId="10" borderId="24" xfId="0" applyFont="1" applyFill="1" applyBorder="1" applyAlignment="1">
      <alignment horizontal="center" vertical="center"/>
    </xf>
    <xf numFmtId="0" fontId="16" fillId="10" borderId="24" xfId="0" applyFont="1" applyFill="1" applyBorder="1" applyAlignment="1">
      <alignment horizontal="center" vertical="center"/>
    </xf>
    <xf numFmtId="0" fontId="7" fillId="2" borderId="24" xfId="0" applyFont="1" applyFill="1" applyBorder="1" applyAlignment="1">
      <alignment vertical="center"/>
    </xf>
    <xf numFmtId="4" fontId="24" fillId="2" borderId="24" xfId="0" applyNumberFormat="1" applyFont="1" applyFill="1" applyBorder="1" applyAlignment="1">
      <alignment horizontal="center" vertical="center"/>
    </xf>
    <xf numFmtId="4" fontId="23" fillId="2" borderId="24" xfId="0" applyNumberFormat="1" applyFont="1" applyFill="1" applyBorder="1" applyAlignment="1">
      <alignment horizontal="center" vertical="center"/>
    </xf>
    <xf numFmtId="0" fontId="15" fillId="0" borderId="23" xfId="0" applyFont="1" applyBorder="1" applyAlignment="1">
      <alignment vertical="center"/>
    </xf>
    <xf numFmtId="4" fontId="15" fillId="0" borderId="23" xfId="0" applyNumberFormat="1" applyFont="1" applyBorder="1" applyAlignment="1">
      <alignment horizontal="center" vertical="center"/>
    </xf>
    <xf numFmtId="0" fontId="25" fillId="8" borderId="24" xfId="0" applyFont="1" applyFill="1" applyBorder="1" applyAlignment="1">
      <alignment vertical="center"/>
    </xf>
    <xf numFmtId="4" fontId="25" fillId="8" borderId="24" xfId="0" applyNumberFormat="1" applyFont="1" applyFill="1" applyBorder="1" applyAlignment="1">
      <alignment horizontal="center" vertical="center"/>
    </xf>
    <xf numFmtId="44" fontId="27" fillId="7" borderId="24" xfId="3" applyFont="1" applyFill="1" applyBorder="1" applyAlignment="1">
      <alignment horizontal="center" vertical="center"/>
    </xf>
    <xf numFmtId="0" fontId="25" fillId="10" borderId="24" xfId="0" applyFont="1" applyFill="1" applyBorder="1" applyAlignment="1">
      <alignment vertical="center"/>
    </xf>
    <xf numFmtId="4" fontId="25" fillId="10" borderId="24" xfId="0" applyNumberFormat="1" applyFont="1" applyFill="1" applyBorder="1" applyAlignment="1">
      <alignment horizontal="center" vertical="center"/>
    </xf>
    <xf numFmtId="0" fontId="2" fillId="0" borderId="23" xfId="0" applyFont="1" applyBorder="1" applyAlignment="1">
      <alignment vertical="center"/>
    </xf>
    <xf numFmtId="4" fontId="2" fillId="12" borderId="23" xfId="0" applyNumberFormat="1" applyFont="1" applyFill="1" applyBorder="1" applyAlignment="1">
      <alignment horizontal="center" vertical="center"/>
    </xf>
    <xf numFmtId="4" fontId="2" fillId="0" borderId="23" xfId="0" applyNumberFormat="1" applyFont="1" applyBorder="1" applyAlignment="1">
      <alignment horizontal="center" vertical="center"/>
    </xf>
    <xf numFmtId="4" fontId="3" fillId="0" borderId="23" xfId="0" applyNumberFormat="1" applyFont="1" applyBorder="1" applyAlignment="1">
      <alignment horizontal="center" vertical="center"/>
    </xf>
    <xf numFmtId="0" fontId="15" fillId="0" borderId="21" xfId="0" applyFont="1" applyBorder="1" applyAlignment="1">
      <alignment vertical="center"/>
    </xf>
    <xf numFmtId="4" fontId="15" fillId="0" borderId="21" xfId="0" applyNumberFormat="1" applyFont="1" applyBorder="1" applyAlignment="1">
      <alignment horizontal="center" vertical="center"/>
    </xf>
    <xf numFmtId="0" fontId="7" fillId="3" borderId="24" xfId="0" applyFont="1" applyFill="1" applyBorder="1" applyAlignment="1">
      <alignment vertical="center"/>
    </xf>
    <xf numFmtId="4" fontId="7" fillId="3" borderId="24" xfId="0" applyNumberFormat="1" applyFont="1" applyFill="1" applyBorder="1" applyAlignment="1">
      <alignment horizontal="center" vertical="center"/>
    </xf>
    <xf numFmtId="4" fontId="39" fillId="10" borderId="24" xfId="0" applyNumberFormat="1" applyFont="1" applyFill="1" applyBorder="1" applyAlignment="1">
      <alignment horizontal="center" vertical="center"/>
    </xf>
    <xf numFmtId="4" fontId="39" fillId="10" borderId="2" xfId="0" applyNumberFormat="1" applyFont="1" applyFill="1" applyBorder="1" applyAlignment="1">
      <alignment horizontal="center" vertical="center"/>
    </xf>
    <xf numFmtId="4" fontId="5" fillId="12" borderId="6" xfId="0" applyNumberFormat="1" applyFont="1" applyFill="1" applyBorder="1" applyAlignment="1">
      <alignment horizontal="center" vertical="center"/>
    </xf>
    <xf numFmtId="4" fontId="5" fillId="11" borderId="22" xfId="0" applyNumberFormat="1" applyFont="1" applyFill="1" applyBorder="1" applyAlignment="1">
      <alignment horizontal="center" vertical="center"/>
    </xf>
    <xf numFmtId="4" fontId="5" fillId="11" borderId="25" xfId="0" applyNumberFormat="1" applyFont="1" applyFill="1" applyBorder="1" applyAlignment="1">
      <alignment horizontal="center" vertical="center"/>
    </xf>
    <xf numFmtId="4" fontId="22" fillId="12" borderId="21" xfId="0" applyNumberFormat="1" applyFont="1" applyFill="1" applyBorder="1" applyAlignment="1">
      <alignment horizontal="center" vertical="center"/>
    </xf>
    <xf numFmtId="4" fontId="40" fillId="11" borderId="2" xfId="0" applyNumberFormat="1" applyFont="1" applyFill="1" applyBorder="1" applyAlignment="1">
      <alignment horizontal="center" vertical="center"/>
    </xf>
    <xf numFmtId="4" fontId="5" fillId="11" borderId="2" xfId="0" applyNumberFormat="1" applyFont="1" applyFill="1" applyBorder="1" applyAlignment="1">
      <alignment horizontal="center" vertical="center"/>
    </xf>
    <xf numFmtId="0" fontId="10" fillId="6" borderId="0" xfId="0" applyFont="1" applyFill="1" applyAlignment="1">
      <alignment vertical="center"/>
    </xf>
    <xf numFmtId="44" fontId="10" fillId="6" borderId="0" xfId="3" applyFont="1" applyFill="1" applyAlignment="1">
      <alignment vertical="center"/>
    </xf>
    <xf numFmtId="8" fontId="5" fillId="0" borderId="21" xfId="0" applyNumberFormat="1" applyFont="1" applyBorder="1" applyAlignment="1">
      <alignment horizontal="center" vertical="center"/>
    </xf>
    <xf numFmtId="8" fontId="5" fillId="0" borderId="23" xfId="0" applyNumberFormat="1" applyFont="1" applyBorder="1" applyAlignment="1">
      <alignment horizontal="center" vertical="center"/>
    </xf>
    <xf numFmtId="4" fontId="5" fillId="0" borderId="22" xfId="0" applyNumberFormat="1" applyFont="1" applyBorder="1" applyAlignment="1">
      <alignment horizontal="center" vertical="center"/>
    </xf>
    <xf numFmtId="4" fontId="5" fillId="0" borderId="25" xfId="0" applyNumberFormat="1" applyFont="1" applyBorder="1" applyAlignment="1">
      <alignment horizontal="center" vertical="center"/>
    </xf>
    <xf numFmtId="4" fontId="5" fillId="0" borderId="6" xfId="0" applyNumberFormat="1" applyFont="1" applyBorder="1" applyAlignment="1">
      <alignment horizontal="center" vertical="center"/>
    </xf>
    <xf numFmtId="4" fontId="39" fillId="0" borderId="0" xfId="0" applyNumberFormat="1" applyFont="1" applyAlignment="1">
      <alignment horizontal="center" vertical="center"/>
    </xf>
    <xf numFmtId="4" fontId="25" fillId="0" borderId="0" xfId="0" applyNumberFormat="1" applyFont="1" applyAlignment="1">
      <alignment horizontal="center" vertical="center"/>
    </xf>
    <xf numFmtId="44" fontId="0" fillId="9" borderId="0" xfId="0" applyNumberFormat="1" applyFill="1" applyAlignment="1">
      <alignment horizontal="center" vertical="center"/>
    </xf>
    <xf numFmtId="0" fontId="10" fillId="9" borderId="0" xfId="0" applyFont="1" applyFill="1" applyAlignment="1">
      <alignment vertical="center"/>
    </xf>
    <xf numFmtId="44" fontId="42" fillId="19" borderId="0" xfId="0" applyNumberFormat="1" applyFont="1" applyFill="1" applyAlignment="1">
      <alignment horizontal="center" vertical="center"/>
    </xf>
    <xf numFmtId="44" fontId="0" fillId="0" borderId="0" xfId="0" applyNumberFormat="1" applyAlignment="1">
      <alignment horizontal="center" vertical="center"/>
    </xf>
    <xf numFmtId="4" fontId="5" fillId="12" borderId="25" xfId="0" applyNumberFormat="1" applyFont="1" applyFill="1" applyBorder="1" applyAlignment="1">
      <alignment horizontal="center" vertical="center"/>
    </xf>
    <xf numFmtId="8" fontId="0" fillId="0" borderId="0" xfId="0" applyNumberFormat="1" applyAlignment="1">
      <alignment horizontal="center" vertical="center"/>
    </xf>
    <xf numFmtId="4" fontId="21" fillId="0" borderId="21" xfId="0" applyNumberFormat="1" applyFont="1" applyBorder="1" applyAlignment="1">
      <alignment horizontal="center" vertical="center"/>
    </xf>
    <xf numFmtId="4" fontId="9" fillId="10" borderId="24" xfId="0" applyNumberFormat="1" applyFont="1" applyFill="1" applyBorder="1" applyAlignment="1">
      <alignment horizontal="center" vertical="center"/>
    </xf>
    <xf numFmtId="44" fontId="8" fillId="10" borderId="24" xfId="3" applyFont="1" applyFill="1" applyBorder="1" applyAlignment="1">
      <alignment horizontal="center" vertical="center"/>
    </xf>
    <xf numFmtId="4" fontId="5" fillId="6" borderId="21" xfId="0" applyNumberFormat="1" applyFont="1" applyFill="1" applyBorder="1" applyAlignment="1">
      <alignment horizontal="center" vertical="center"/>
    </xf>
    <xf numFmtId="4" fontId="5" fillId="12" borderId="22" xfId="0" applyNumberFormat="1" applyFont="1" applyFill="1" applyBorder="1" applyAlignment="1">
      <alignment horizontal="center" vertical="center" wrapText="1"/>
    </xf>
    <xf numFmtId="0" fontId="43" fillId="10" borderId="24" xfId="0" applyFont="1" applyFill="1" applyBorder="1" applyAlignment="1">
      <alignment vertical="center"/>
    </xf>
    <xf numFmtId="0" fontId="43" fillId="10" borderId="24" xfId="0" applyFont="1" applyFill="1" applyBorder="1" applyAlignment="1">
      <alignment horizontal="center" vertical="center"/>
    </xf>
    <xf numFmtId="0" fontId="44" fillId="10" borderId="24" xfId="0" applyFont="1" applyFill="1" applyBorder="1" applyAlignment="1">
      <alignment horizontal="center" vertical="center"/>
    </xf>
    <xf numFmtId="0" fontId="45" fillId="9" borderId="0" xfId="0" applyFont="1" applyFill="1" applyAlignment="1">
      <alignment vertical="center"/>
    </xf>
    <xf numFmtId="0" fontId="45" fillId="0" borderId="0" xfId="0" applyFont="1" applyAlignment="1">
      <alignment vertical="center"/>
    </xf>
    <xf numFmtId="4" fontId="43" fillId="10" borderId="24" xfId="0" applyNumberFormat="1" applyFont="1" applyFill="1" applyBorder="1" applyAlignment="1">
      <alignment horizontal="center" vertical="center"/>
    </xf>
    <xf numFmtId="4" fontId="44" fillId="10" borderId="24" xfId="0" applyNumberFormat="1" applyFont="1" applyFill="1" applyBorder="1" applyAlignment="1">
      <alignment horizontal="center" vertical="center"/>
    </xf>
    <xf numFmtId="44" fontId="43" fillId="10" borderId="24" xfId="3" applyFont="1" applyFill="1" applyBorder="1" applyAlignment="1">
      <alignment horizontal="center" vertical="center"/>
    </xf>
    <xf numFmtId="0" fontId="46" fillId="0" borderId="2" xfId="0" applyFont="1" applyBorder="1" applyAlignment="1">
      <alignment vertical="center"/>
    </xf>
    <xf numFmtId="0" fontId="47" fillId="0" borderId="23" xfId="0" applyFont="1" applyBorder="1" applyAlignment="1">
      <alignment vertical="center"/>
    </xf>
    <xf numFmtId="0" fontId="16" fillId="8" borderId="24" xfId="0" applyFont="1" applyFill="1" applyBorder="1" applyAlignment="1">
      <alignment vertical="center"/>
    </xf>
    <xf numFmtId="4" fontId="43" fillId="20" borderId="24" xfId="0" applyNumberFormat="1" applyFont="1" applyFill="1" applyBorder="1" applyAlignment="1">
      <alignment horizontal="center" vertical="center"/>
    </xf>
    <xf numFmtId="44" fontId="43" fillId="20" borderId="24" xfId="3" applyFont="1" applyFill="1" applyBorder="1" applyAlignment="1">
      <alignment horizontal="center" vertical="center"/>
    </xf>
    <xf numFmtId="0" fontId="43" fillId="20" borderId="24" xfId="0" applyFont="1" applyFill="1" applyBorder="1" applyAlignment="1">
      <alignment horizontal="center" vertical="center"/>
    </xf>
    <xf numFmtId="0" fontId="48" fillId="20" borderId="24" xfId="0" applyFont="1" applyFill="1" applyBorder="1" applyAlignment="1">
      <alignment vertical="center"/>
    </xf>
    <xf numFmtId="4" fontId="49" fillId="0" borderId="0" xfId="0" applyNumberFormat="1" applyFont="1" applyAlignment="1">
      <alignment horizontal="center" vertical="center"/>
    </xf>
    <xf numFmtId="4" fontId="8" fillId="20" borderId="24" xfId="0" applyNumberFormat="1" applyFont="1" applyFill="1" applyBorder="1" applyAlignment="1">
      <alignment horizontal="center" vertical="center"/>
    </xf>
    <xf numFmtId="44" fontId="8" fillId="20" borderId="24" xfId="3" applyFont="1" applyFill="1" applyBorder="1" applyAlignment="1">
      <alignment horizontal="center" vertical="center"/>
    </xf>
    <xf numFmtId="0" fontId="8" fillId="20" borderId="24" xfId="0" applyFont="1" applyFill="1" applyBorder="1" applyAlignment="1">
      <alignment horizontal="center" vertical="center"/>
    </xf>
    <xf numFmtId="0" fontId="50" fillId="10" borderId="24" xfId="0" applyFont="1" applyFill="1" applyBorder="1" applyAlignment="1">
      <alignment vertical="center"/>
    </xf>
    <xf numFmtId="0" fontId="51" fillId="20" borderId="24" xfId="0" applyFont="1" applyFill="1" applyBorder="1" applyAlignment="1">
      <alignment vertical="center"/>
    </xf>
    <xf numFmtId="4" fontId="50" fillId="10" borderId="24" xfId="0" applyNumberFormat="1" applyFont="1" applyFill="1" applyBorder="1" applyAlignment="1">
      <alignment horizontal="center" vertical="center"/>
    </xf>
    <xf numFmtId="4" fontId="52" fillId="10" borderId="24" xfId="0" applyNumberFormat="1" applyFont="1" applyFill="1" applyBorder="1" applyAlignment="1">
      <alignment horizontal="center" vertical="center"/>
    </xf>
    <xf numFmtId="44" fontId="50" fillId="10" borderId="24" xfId="3" applyFont="1" applyFill="1" applyBorder="1" applyAlignment="1">
      <alignment horizontal="center" vertical="center"/>
    </xf>
    <xf numFmtId="4" fontId="3" fillId="12" borderId="2" xfId="0" applyNumberFormat="1" applyFont="1" applyFill="1" applyBorder="1" applyAlignment="1">
      <alignment horizontal="center" vertical="center"/>
    </xf>
    <xf numFmtId="4" fontId="3" fillId="12" borderId="23" xfId="0" applyNumberFormat="1" applyFont="1" applyFill="1" applyBorder="1" applyAlignment="1">
      <alignment horizontal="center" vertical="center"/>
    </xf>
    <xf numFmtId="4" fontId="6" fillId="12" borderId="21" xfId="0" applyNumberFormat="1" applyFont="1" applyFill="1" applyBorder="1" applyAlignment="1">
      <alignment horizontal="center" vertical="center"/>
    </xf>
    <xf numFmtId="4" fontId="6" fillId="12" borderId="2" xfId="0" applyNumberFormat="1" applyFont="1" applyFill="1" applyBorder="1" applyAlignment="1">
      <alignment horizontal="center" vertical="center"/>
    </xf>
    <xf numFmtId="4" fontId="21" fillId="12" borderId="2" xfId="0" applyNumberFormat="1" applyFont="1" applyFill="1" applyBorder="1" applyAlignment="1">
      <alignment horizontal="center" vertical="center"/>
    </xf>
    <xf numFmtId="4" fontId="21" fillId="12" borderId="21" xfId="0" applyNumberFormat="1" applyFont="1" applyFill="1" applyBorder="1" applyAlignment="1">
      <alignment horizontal="center" vertical="center"/>
    </xf>
    <xf numFmtId="4" fontId="6" fillId="12" borderId="8" xfId="0" applyNumberFormat="1" applyFont="1" applyFill="1" applyBorder="1" applyAlignment="1">
      <alignment horizontal="center" vertical="center"/>
    </xf>
    <xf numFmtId="0" fontId="7" fillId="20" borderId="24" xfId="0" applyFont="1" applyFill="1" applyBorder="1" applyAlignment="1">
      <alignment vertical="center"/>
    </xf>
    <xf numFmtId="4" fontId="25" fillId="20" borderId="24" xfId="0" applyNumberFormat="1" applyFont="1" applyFill="1" applyBorder="1" applyAlignment="1">
      <alignment horizontal="center" vertical="center"/>
    </xf>
    <xf numFmtId="44" fontId="25" fillId="20" borderId="24" xfId="3" applyFont="1" applyFill="1" applyBorder="1" applyAlignment="1">
      <alignment horizontal="center" vertical="center"/>
    </xf>
    <xf numFmtId="0" fontId="25" fillId="20" borderId="24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4" fontId="6" fillId="0" borderId="21" xfId="0" applyNumberFormat="1" applyFont="1" applyBorder="1" applyAlignment="1">
      <alignment horizontal="center" vertical="center"/>
    </xf>
    <xf numFmtId="4" fontId="6" fillId="0" borderId="2" xfId="0" applyNumberFormat="1" applyFont="1" applyBorder="1" applyAlignment="1">
      <alignment horizontal="center" vertical="center"/>
    </xf>
    <xf numFmtId="4" fontId="21" fillId="0" borderId="2" xfId="0" applyNumberFormat="1" applyFont="1" applyBorder="1" applyAlignment="1">
      <alignment horizontal="center" vertical="center"/>
    </xf>
    <xf numFmtId="4" fontId="3" fillId="0" borderId="2" xfId="0" applyNumberFormat="1" applyFont="1" applyBorder="1" applyAlignment="1">
      <alignment horizontal="center" vertical="center"/>
    </xf>
    <xf numFmtId="0" fontId="41" fillId="11" borderId="11" xfId="0" applyFont="1" applyFill="1" applyBorder="1" applyAlignment="1">
      <alignment horizontal="center" vertical="center"/>
    </xf>
    <xf numFmtId="0" fontId="41" fillId="11" borderId="26" xfId="0" applyFont="1" applyFill="1" applyBorder="1" applyAlignment="1">
      <alignment horizontal="center" vertical="center"/>
    </xf>
    <xf numFmtId="4" fontId="6" fillId="0" borderId="27" xfId="0" applyNumberFormat="1" applyFont="1" applyBorder="1" applyAlignment="1">
      <alignment horizontal="center" vertical="center"/>
    </xf>
    <xf numFmtId="4" fontId="6" fillId="0" borderId="28" xfId="0" applyNumberFormat="1" applyFont="1" applyBorder="1" applyAlignment="1">
      <alignment horizontal="center" vertical="center"/>
    </xf>
    <xf numFmtId="4" fontId="3" fillId="12" borderId="2" xfId="0" applyNumberFormat="1" applyFont="1" applyFill="1" applyBorder="1" applyAlignment="1">
      <alignment horizontal="center" vertical="center"/>
    </xf>
    <xf numFmtId="4" fontId="6" fillId="12" borderId="21" xfId="0" applyNumberFormat="1" applyFont="1" applyFill="1" applyBorder="1" applyAlignment="1">
      <alignment horizontal="center" vertical="center"/>
    </xf>
    <xf numFmtId="4" fontId="6" fillId="12" borderId="2" xfId="0" applyNumberFormat="1" applyFont="1" applyFill="1" applyBorder="1" applyAlignment="1">
      <alignment horizontal="center" vertical="center"/>
    </xf>
    <xf numFmtId="4" fontId="6" fillId="12" borderId="27" xfId="0" applyNumberFormat="1" applyFont="1" applyFill="1" applyBorder="1" applyAlignment="1">
      <alignment horizontal="center" vertical="center"/>
    </xf>
    <xf numFmtId="4" fontId="6" fillId="12" borderId="28" xfId="0" applyNumberFormat="1" applyFont="1" applyFill="1" applyBorder="1" applyAlignment="1">
      <alignment horizontal="center" vertical="center"/>
    </xf>
    <xf numFmtId="0" fontId="0" fillId="9" borderId="0" xfId="0" applyFill="1" applyAlignment="1">
      <alignment horizontal="left" vertical="center"/>
    </xf>
    <xf numFmtId="0" fontId="10" fillId="9" borderId="0" xfId="0" applyFont="1" applyFill="1" applyAlignment="1">
      <alignment horizontal="left" vertical="center"/>
    </xf>
    <xf numFmtId="0" fontId="0" fillId="0" borderId="16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11" fillId="2" borderId="6" xfId="0" applyFont="1" applyFill="1" applyBorder="1" applyAlignment="1">
      <alignment horizontal="center" vertical="center"/>
    </xf>
    <xf numFmtId="0" fontId="11" fillId="2" borderId="7" xfId="0" applyFont="1" applyFill="1" applyBorder="1" applyAlignment="1">
      <alignment horizontal="center" vertical="center"/>
    </xf>
    <xf numFmtId="0" fontId="11" fillId="2" borderId="8" xfId="0" applyFont="1" applyFill="1" applyBorder="1" applyAlignment="1">
      <alignment horizontal="center" vertical="center"/>
    </xf>
    <xf numFmtId="44" fontId="11" fillId="2" borderId="17" xfId="3" applyFont="1" applyFill="1" applyBorder="1" applyAlignment="1">
      <alignment horizontal="center" vertical="center"/>
    </xf>
    <xf numFmtId="44" fontId="11" fillId="2" borderId="18" xfId="3" applyFont="1" applyFill="1" applyBorder="1" applyAlignment="1">
      <alignment horizontal="center" vertical="center"/>
    </xf>
    <xf numFmtId="44" fontId="11" fillId="2" borderId="19" xfId="3" applyFont="1" applyFill="1" applyBorder="1" applyAlignment="1">
      <alignment horizontal="center" vertical="center"/>
    </xf>
    <xf numFmtId="0" fontId="0" fillId="0" borderId="15" xfId="0" applyBorder="1" applyAlignment="1">
      <alignment horizontal="left" vertical="top"/>
    </xf>
    <xf numFmtId="0" fontId="0" fillId="0" borderId="0" xfId="0" applyAlignment="1">
      <alignment horizontal="left" vertical="center"/>
    </xf>
    <xf numFmtId="0" fontId="10" fillId="0" borderId="0" xfId="0" applyFont="1" applyAlignment="1">
      <alignment horizontal="left" vertical="center"/>
    </xf>
    <xf numFmtId="44" fontId="11" fillId="2" borderId="2" xfId="3" applyFont="1" applyFill="1" applyBorder="1" applyAlignment="1">
      <alignment horizontal="right" vertical="center"/>
    </xf>
    <xf numFmtId="0" fontId="0" fillId="0" borderId="12" xfId="0" applyBorder="1" applyAlignment="1">
      <alignment horizontal="center" vertical="center"/>
    </xf>
    <xf numFmtId="44" fontId="11" fillId="7" borderId="0" xfId="3" applyFont="1" applyFill="1" applyAlignment="1">
      <alignment horizontal="right" vertical="center"/>
    </xf>
    <xf numFmtId="3" fontId="10" fillId="0" borderId="0" xfId="0" applyNumberFormat="1" applyFont="1" applyAlignment="1">
      <alignment horizontal="center" vertical="center"/>
    </xf>
  </cellXfs>
  <cellStyles count="78">
    <cellStyle name="Hipervínculo" xfId="56" builtinId="8" hidden="1"/>
    <cellStyle name="Hipervínculo" xfId="74" builtinId="8" hidden="1"/>
    <cellStyle name="Hipervínculo" xfId="52" builtinId="8" hidden="1"/>
    <cellStyle name="Hipervínculo" xfId="72" builtinId="8" hidden="1"/>
    <cellStyle name="Hipervínculo" xfId="24" builtinId="8" hidden="1"/>
    <cellStyle name="Hipervínculo" xfId="44" builtinId="8" hidden="1"/>
    <cellStyle name="Hipervínculo" xfId="34" builtinId="8" hidden="1"/>
    <cellStyle name="Hipervínculo" xfId="76" builtinId="8" hidden="1"/>
    <cellStyle name="Hipervínculo" xfId="32" builtinId="8" hidden="1"/>
    <cellStyle name="Hipervínculo" xfId="18" builtinId="8" hidden="1"/>
    <cellStyle name="Hipervínculo" xfId="40" builtinId="8" hidden="1"/>
    <cellStyle name="Hipervínculo" xfId="50" builtinId="8" hidden="1"/>
    <cellStyle name="Hipervínculo" xfId="1" builtinId="8" hidden="1"/>
    <cellStyle name="Hipervínculo" xfId="48" builtinId="8" hidden="1"/>
    <cellStyle name="Hipervínculo" xfId="12" builtinId="8" hidden="1"/>
    <cellStyle name="Hipervínculo" xfId="28" builtinId="8" hidden="1"/>
    <cellStyle name="Hipervínculo" xfId="58" builtinId="8" hidden="1"/>
    <cellStyle name="Hipervínculo" xfId="46" builtinId="8" hidden="1"/>
    <cellStyle name="Hipervínculo" xfId="16" builtinId="8" hidden="1"/>
    <cellStyle name="Hipervínculo" xfId="68" builtinId="8" hidden="1"/>
    <cellStyle name="Hipervínculo" xfId="54" builtinId="8" hidden="1"/>
    <cellStyle name="Hipervínculo" xfId="66" builtinId="8" hidden="1"/>
    <cellStyle name="Hipervínculo" xfId="70" builtinId="8" hidden="1"/>
    <cellStyle name="Hipervínculo" xfId="42" builtinId="8" hidden="1"/>
    <cellStyle name="Hipervínculo" xfId="10" builtinId="8" hidden="1"/>
    <cellStyle name="Hipervínculo" xfId="62" builtinId="8" hidden="1"/>
    <cellStyle name="Hipervínculo" xfId="60" builtinId="8" hidden="1"/>
    <cellStyle name="Hipervínculo" xfId="26" builtinId="8" hidden="1"/>
    <cellStyle name="Hipervínculo" xfId="14" builtinId="8" hidden="1"/>
    <cellStyle name="Hipervínculo" xfId="30" builtinId="8" hidden="1"/>
    <cellStyle name="Hipervínculo" xfId="6" builtinId="8" hidden="1"/>
    <cellStyle name="Hipervínculo" xfId="20" builtinId="8" hidden="1"/>
    <cellStyle name="Hipervínculo" xfId="64" builtinId="8" hidden="1"/>
    <cellStyle name="Hipervínculo" xfId="22" builtinId="8" hidden="1"/>
    <cellStyle name="Hipervínculo" xfId="36" builtinId="8" hidden="1"/>
    <cellStyle name="Hipervínculo" xfId="4" builtinId="8" hidden="1"/>
    <cellStyle name="Hipervínculo" xfId="8" builtinId="8" hidden="1"/>
    <cellStyle name="Hipervínculo" xfId="38" builtinId="8" hidden="1"/>
    <cellStyle name="Hipervínculo visitado" xfId="23" builtinId="9" hidden="1"/>
    <cellStyle name="Hipervínculo visitado" xfId="73" builtinId="9" hidden="1"/>
    <cellStyle name="Hipervínculo visitado" xfId="61" builtinId="9" hidden="1"/>
    <cellStyle name="Hipervínculo visitado" xfId="45" builtinId="9" hidden="1"/>
    <cellStyle name="Hipervínculo visitado" xfId="69" builtinId="9" hidden="1"/>
    <cellStyle name="Hipervínculo visitado" xfId="71" builtinId="9" hidden="1"/>
    <cellStyle name="Hipervínculo visitado" xfId="55" builtinId="9" hidden="1"/>
    <cellStyle name="Hipervínculo visitado" xfId="39" builtinId="9" hidden="1"/>
    <cellStyle name="Hipervínculo visitado" xfId="59" builtinId="9" hidden="1"/>
    <cellStyle name="Hipervínculo visitado" xfId="5" builtinId="9" hidden="1"/>
    <cellStyle name="Hipervínculo visitado" xfId="43" builtinId="9" hidden="1"/>
    <cellStyle name="Hipervínculo visitado" xfId="67" builtinId="9" hidden="1"/>
    <cellStyle name="Hipervínculo visitado" xfId="25" builtinId="9" hidden="1"/>
    <cellStyle name="Hipervínculo visitado" xfId="65" builtinId="9" hidden="1"/>
    <cellStyle name="Hipervínculo visitado" xfId="49" builtinId="9" hidden="1"/>
    <cellStyle name="Hipervínculo visitado" xfId="51" builtinId="9" hidden="1"/>
    <cellStyle name="Hipervínculo visitado" xfId="27" builtinId="9" hidden="1"/>
    <cellStyle name="Hipervínculo visitado" xfId="35" builtinId="9" hidden="1"/>
    <cellStyle name="Hipervínculo visitado" xfId="15" builtinId="9" hidden="1"/>
    <cellStyle name="Hipervínculo visitado" xfId="2" builtinId="9" hidden="1"/>
    <cellStyle name="Hipervínculo visitado" xfId="31" builtinId="9" hidden="1"/>
    <cellStyle name="Hipervínculo visitado" xfId="57" builtinId="9" hidden="1"/>
    <cellStyle name="Hipervínculo visitado" xfId="63" builtinId="9" hidden="1"/>
    <cellStyle name="Hipervínculo visitado" xfId="77" builtinId="9" hidden="1"/>
    <cellStyle name="Hipervínculo visitado" xfId="41" builtinId="9" hidden="1"/>
    <cellStyle name="Hipervínculo visitado" xfId="9" builtinId="9" hidden="1"/>
    <cellStyle name="Hipervínculo visitado" xfId="13" builtinId="9" hidden="1"/>
    <cellStyle name="Hipervínculo visitado" xfId="37" builtinId="9" hidden="1"/>
    <cellStyle name="Hipervínculo visitado" xfId="17" builtinId="9" hidden="1"/>
    <cellStyle name="Hipervínculo visitado" xfId="19" builtinId="9" hidden="1"/>
    <cellStyle name="Hipervínculo visitado" xfId="7" builtinId="9" hidden="1"/>
    <cellStyle name="Hipervínculo visitado" xfId="47" builtinId="9" hidden="1"/>
    <cellStyle name="Hipervínculo visitado" xfId="75" builtinId="9" hidden="1"/>
    <cellStyle name="Hipervínculo visitado" xfId="29" builtinId="9" hidden="1"/>
    <cellStyle name="Hipervínculo visitado" xfId="11" builtinId="9" hidden="1"/>
    <cellStyle name="Hipervínculo visitado" xfId="53" builtinId="9" hidden="1"/>
    <cellStyle name="Hipervínculo visitado" xfId="21" builtinId="9" hidden="1"/>
    <cellStyle name="Hipervínculo visitado" xfId="33" builtinId="9" hidden="1"/>
    <cellStyle name="Moneda" xfId="3" builtinId="4"/>
    <cellStyle name="Normal" xfId="0" builtinId="0"/>
  </cellStyles>
  <dxfs count="0"/>
  <tableStyles count="0" defaultTableStyle="TableStyleMedium9" defaultPivotStyle="PivotStyleMedium7"/>
  <colors>
    <mruColors>
      <color rgb="FFFCE5D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7.xml"/><Relationship Id="rId2" Type="http://schemas.openxmlformats.org/officeDocument/2006/relationships/vmlDrawing" Target="../drawings/vmlDrawing7.v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8.xml"/><Relationship Id="rId2" Type="http://schemas.openxmlformats.org/officeDocument/2006/relationships/vmlDrawing" Target="../drawings/vmlDrawing8.v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comments" Target="../comments9.xml"/><Relationship Id="rId1" Type="http://schemas.openxmlformats.org/officeDocument/2006/relationships/vmlDrawing" Target="../drawings/vmlDrawing9.v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comments" Target="../comments10.xml"/><Relationship Id="rId1" Type="http://schemas.openxmlformats.org/officeDocument/2006/relationships/vmlDrawing" Target="../drawings/vmlDrawing10.vml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1.xml"/><Relationship Id="rId2" Type="http://schemas.openxmlformats.org/officeDocument/2006/relationships/vmlDrawing" Target="../drawings/vmlDrawing11.vml"/><Relationship Id="rId1" Type="http://schemas.openxmlformats.org/officeDocument/2006/relationships/printerSettings" Target="../printerSettings/printerSettings9.bin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2.xml"/><Relationship Id="rId2" Type="http://schemas.openxmlformats.org/officeDocument/2006/relationships/vmlDrawing" Target="../drawings/vmlDrawing12.vml"/><Relationship Id="rId1" Type="http://schemas.openxmlformats.org/officeDocument/2006/relationships/printerSettings" Target="../printerSettings/printerSettings10.bin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3.xml"/><Relationship Id="rId2" Type="http://schemas.openxmlformats.org/officeDocument/2006/relationships/vmlDrawing" Target="../drawings/vmlDrawing13.vml"/><Relationship Id="rId1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F0B249-3637-499D-A514-E074C4C1A4B0}">
  <sheetPr>
    <tabColor theme="3" tint="0.79998168889431442"/>
  </sheetPr>
  <dimension ref="A1:V54"/>
  <sheetViews>
    <sheetView tabSelected="1" zoomScale="85" zoomScaleNormal="85" zoomScalePageLayoutView="112" workbookViewId="0">
      <selection activeCell="E8" sqref="E8"/>
    </sheetView>
  </sheetViews>
  <sheetFormatPr baseColWidth="10" defaultColWidth="10.6875" defaultRowHeight="15.75" x14ac:dyDescent="0.5"/>
  <cols>
    <col min="1" max="1" width="26.4375" style="1" bestFit="1" customWidth="1"/>
    <col min="2" max="2" width="11.6875" style="9" bestFit="1" customWidth="1"/>
    <col min="3" max="5" width="10.8125" style="9" bestFit="1" customWidth="1"/>
    <col min="6" max="6" width="12.3125" style="9" customWidth="1"/>
    <col min="7" max="7" width="11.5" style="9" customWidth="1"/>
    <col min="8" max="8" width="11.25" style="9" customWidth="1"/>
    <col min="9" max="9" width="10.8125" style="9" bestFit="1" customWidth="1"/>
    <col min="10" max="10" width="10.9375" style="9" bestFit="1" customWidth="1"/>
    <col min="11" max="13" width="10.8125" style="9" bestFit="1" customWidth="1"/>
    <col min="14" max="14" width="15.0625" style="9" customWidth="1"/>
    <col min="15" max="15" width="14.375" style="9" customWidth="1"/>
    <col min="16" max="16" width="10.8125" style="9" bestFit="1" customWidth="1"/>
    <col min="17" max="17" width="34.4375" style="1" customWidth="1"/>
    <col min="18" max="16384" width="10.6875" style="1"/>
  </cols>
  <sheetData>
    <row r="1" spans="1:22" s="198" customFormat="1" ht="16.899999999999999" customHeight="1" thickBot="1" x14ac:dyDescent="0.55000000000000004">
      <c r="A1" s="213" t="s">
        <v>146</v>
      </c>
      <c r="B1" s="195" t="s">
        <v>1</v>
      </c>
      <c r="C1" s="195" t="s">
        <v>2</v>
      </c>
      <c r="D1" s="195" t="s">
        <v>3</v>
      </c>
      <c r="E1" s="195" t="s">
        <v>4</v>
      </c>
      <c r="F1" s="196" t="s">
        <v>5</v>
      </c>
      <c r="G1" s="195" t="s">
        <v>6</v>
      </c>
      <c r="H1" s="195" t="s">
        <v>7</v>
      </c>
      <c r="I1" s="195" t="s">
        <v>8</v>
      </c>
      <c r="J1" s="195" t="s">
        <v>9</v>
      </c>
      <c r="K1" s="195" t="s">
        <v>10</v>
      </c>
      <c r="L1" s="195" t="s">
        <v>11</v>
      </c>
      <c r="M1" s="195" t="s">
        <v>12</v>
      </c>
      <c r="N1" s="195" t="s">
        <v>13</v>
      </c>
      <c r="O1" s="195" t="s">
        <v>14</v>
      </c>
      <c r="P1" s="195" t="s">
        <v>15</v>
      </c>
      <c r="Q1" s="197"/>
      <c r="R1" s="197"/>
    </row>
    <row r="2" spans="1:22" s="198" customFormat="1" ht="16.899999999999999" customHeight="1" thickBot="1" x14ac:dyDescent="0.55000000000000004">
      <c r="A2" s="213" t="s">
        <v>136</v>
      </c>
      <c r="B2" s="215"/>
      <c r="C2" s="215"/>
      <c r="D2" s="215"/>
      <c r="E2" s="215"/>
      <c r="F2" s="216"/>
      <c r="G2" s="215"/>
      <c r="H2" s="215"/>
      <c r="I2" s="215"/>
      <c r="J2" s="215"/>
      <c r="K2" s="215"/>
      <c r="L2" s="215"/>
      <c r="M2" s="215"/>
      <c r="N2" s="215">
        <f t="shared" ref="N2" si="0">SUM(B2:M2)</f>
        <v>0</v>
      </c>
      <c r="O2" s="217">
        <f>N2/5</f>
        <v>0</v>
      </c>
      <c r="P2" s="195"/>
      <c r="Q2" s="197"/>
      <c r="R2" s="197"/>
    </row>
    <row r="3" spans="1:22" s="198" customFormat="1" ht="16.899999999999999" customHeight="1" thickBot="1" x14ac:dyDescent="0.55000000000000004">
      <c r="A3" s="213" t="s">
        <v>137</v>
      </c>
      <c r="B3" s="215">
        <f>B2/1.21</f>
        <v>0</v>
      </c>
      <c r="C3" s="215">
        <f t="shared" ref="C3:M3" si="1">C2/1.21</f>
        <v>0</v>
      </c>
      <c r="D3" s="215">
        <f t="shared" si="1"/>
        <v>0</v>
      </c>
      <c r="E3" s="215">
        <f t="shared" si="1"/>
        <v>0</v>
      </c>
      <c r="F3" s="215">
        <f t="shared" si="1"/>
        <v>0</v>
      </c>
      <c r="G3" s="215">
        <f t="shared" si="1"/>
        <v>0</v>
      </c>
      <c r="H3" s="215">
        <f t="shared" si="1"/>
        <v>0</v>
      </c>
      <c r="I3" s="215">
        <f t="shared" si="1"/>
        <v>0</v>
      </c>
      <c r="J3" s="215">
        <f t="shared" si="1"/>
        <v>0</v>
      </c>
      <c r="K3" s="215">
        <f t="shared" si="1"/>
        <v>0</v>
      </c>
      <c r="L3" s="215">
        <f t="shared" si="1"/>
        <v>0</v>
      </c>
      <c r="M3" s="215">
        <f t="shared" si="1"/>
        <v>0</v>
      </c>
      <c r="N3" s="215">
        <f t="shared" ref="N3" si="2">SUM(B3:M3)</f>
        <v>0</v>
      </c>
      <c r="O3" s="217">
        <f>N3/5</f>
        <v>0</v>
      </c>
      <c r="P3" s="195"/>
      <c r="Q3" s="197"/>
      <c r="R3" s="197"/>
    </row>
    <row r="4" spans="1:22" ht="20.75" customHeight="1" thickBot="1" x14ac:dyDescent="0.55000000000000004">
      <c r="A4" s="225" t="s">
        <v>138</v>
      </c>
      <c r="B4" s="226">
        <f t="shared" ref="B4:M4" si="3">B13+B5</f>
        <v>61891.56</v>
      </c>
      <c r="C4" s="226">
        <f t="shared" si="3"/>
        <v>68349.8</v>
      </c>
      <c r="D4" s="226">
        <f t="shared" si="3"/>
        <v>86338.45</v>
      </c>
      <c r="E4" s="226">
        <f t="shared" si="3"/>
        <v>63401.4</v>
      </c>
      <c r="F4" s="226">
        <f t="shared" si="3"/>
        <v>0</v>
      </c>
      <c r="G4" s="226">
        <f t="shared" si="3"/>
        <v>0</v>
      </c>
      <c r="H4" s="226">
        <f t="shared" si="3"/>
        <v>0</v>
      </c>
      <c r="I4" s="226">
        <f t="shared" si="3"/>
        <v>0</v>
      </c>
      <c r="J4" s="226">
        <f t="shared" si="3"/>
        <v>0</v>
      </c>
      <c r="K4" s="226">
        <f t="shared" si="3"/>
        <v>0</v>
      </c>
      <c r="L4" s="226">
        <f t="shared" si="3"/>
        <v>0</v>
      </c>
      <c r="M4" s="226">
        <f t="shared" si="3"/>
        <v>0</v>
      </c>
      <c r="N4" s="226">
        <f t="shared" ref="N4:N10" si="4">SUM(B4:M4)</f>
        <v>279981.21000000002</v>
      </c>
      <c r="O4" s="227">
        <f>N4/8</f>
        <v>34997.651250000003</v>
      </c>
      <c r="P4" s="228"/>
      <c r="Q4" s="55"/>
      <c r="R4" s="55"/>
    </row>
    <row r="5" spans="1:22" ht="20.75" customHeight="1" thickBot="1" x14ac:dyDescent="0.55000000000000004">
      <c r="A5" s="148" t="s">
        <v>16</v>
      </c>
      <c r="B5" s="149">
        <f>SUM(B6:B8)</f>
        <v>36049</v>
      </c>
      <c r="C5" s="149">
        <f t="shared" ref="C5:M5" si="5">SUM(C6:C8)</f>
        <v>36108</v>
      </c>
      <c r="D5" s="149">
        <f>SUM(D6:D8)</f>
        <v>53135.85</v>
      </c>
      <c r="E5" s="149">
        <f t="shared" si="5"/>
        <v>36719.5</v>
      </c>
      <c r="F5" s="149">
        <f t="shared" si="5"/>
        <v>0</v>
      </c>
      <c r="G5" s="149">
        <f t="shared" si="5"/>
        <v>0</v>
      </c>
      <c r="H5" s="149">
        <f t="shared" si="5"/>
        <v>0</v>
      </c>
      <c r="I5" s="149">
        <f t="shared" si="5"/>
        <v>0</v>
      </c>
      <c r="J5" s="149">
        <f>SUM(J6:J8)</f>
        <v>0</v>
      </c>
      <c r="K5" s="149">
        <f t="shared" si="5"/>
        <v>0</v>
      </c>
      <c r="L5" s="149">
        <f t="shared" si="5"/>
        <v>0</v>
      </c>
      <c r="M5" s="149">
        <f t="shared" si="5"/>
        <v>0</v>
      </c>
      <c r="N5" s="150">
        <f t="shared" si="4"/>
        <v>162012.35</v>
      </c>
      <c r="O5" s="150">
        <f>N5/8</f>
        <v>20251.543750000001</v>
      </c>
      <c r="P5" s="150">
        <f>O5</f>
        <v>20251.543750000001</v>
      </c>
      <c r="Q5" s="55"/>
      <c r="R5" s="55"/>
    </row>
    <row r="6" spans="1:22" ht="20.75" customHeight="1" x14ac:dyDescent="0.5">
      <c r="A6" s="140" t="s">
        <v>17</v>
      </c>
      <c r="B6" s="176">
        <v>16000</v>
      </c>
      <c r="C6" s="142">
        <v>15219</v>
      </c>
      <c r="D6" s="142">
        <v>21733.85</v>
      </c>
      <c r="E6" s="142">
        <v>17210.5</v>
      </c>
      <c r="F6" s="142"/>
      <c r="G6" s="142"/>
      <c r="H6" s="142"/>
      <c r="I6" s="142"/>
      <c r="J6" s="142"/>
      <c r="K6" s="142"/>
      <c r="L6" s="142"/>
      <c r="M6" s="142"/>
      <c r="N6" s="144">
        <f t="shared" si="4"/>
        <v>70163.350000000006</v>
      </c>
      <c r="O6" s="144">
        <f t="shared" ref="O6:O20" si="6">N6/5</f>
        <v>14032.670000000002</v>
      </c>
      <c r="P6" s="230">
        <f>SUM(O6:O8)</f>
        <v>32402.470000000005</v>
      </c>
      <c r="Q6" s="55"/>
      <c r="R6" s="55"/>
    </row>
    <row r="7" spans="1:22" ht="20.75" customHeight="1" x14ac:dyDescent="0.5">
      <c r="A7" s="107" t="s">
        <v>18</v>
      </c>
      <c r="B7" s="64">
        <v>2390</v>
      </c>
      <c r="C7" s="64">
        <v>3230</v>
      </c>
      <c r="D7" s="64">
        <v>13743</v>
      </c>
      <c r="E7" s="64">
        <v>1850</v>
      </c>
      <c r="F7" s="64"/>
      <c r="G7" s="64"/>
      <c r="H7" s="64"/>
      <c r="I7" s="64"/>
      <c r="J7" s="64"/>
      <c r="K7" s="64"/>
      <c r="L7" s="64"/>
      <c r="M7" s="64"/>
      <c r="N7" s="130">
        <f t="shared" si="4"/>
        <v>21213</v>
      </c>
      <c r="O7" s="130">
        <f t="shared" si="6"/>
        <v>4242.6000000000004</v>
      </c>
      <c r="P7" s="231"/>
      <c r="Q7" s="55"/>
      <c r="R7" s="55"/>
    </row>
    <row r="8" spans="1:22" ht="20.75" customHeight="1" x14ac:dyDescent="0.5">
      <c r="A8" s="74" t="s">
        <v>19</v>
      </c>
      <c r="B8" s="64">
        <v>17659</v>
      </c>
      <c r="C8" s="64">
        <v>17659</v>
      </c>
      <c r="D8" s="64">
        <v>17659</v>
      </c>
      <c r="E8" s="64">
        <v>17659</v>
      </c>
      <c r="F8" s="64"/>
      <c r="G8" s="64"/>
      <c r="H8" s="64"/>
      <c r="I8" s="64"/>
      <c r="J8" s="64"/>
      <c r="K8" s="64"/>
      <c r="L8" s="64"/>
      <c r="M8" s="64"/>
      <c r="N8" s="130">
        <f t="shared" si="4"/>
        <v>70636</v>
      </c>
      <c r="O8" s="130">
        <f t="shared" si="6"/>
        <v>14127.2</v>
      </c>
      <c r="P8" s="231"/>
      <c r="Q8" s="55"/>
      <c r="R8" s="55"/>
    </row>
    <row r="9" spans="1:22" ht="20.75" customHeight="1" x14ac:dyDescent="0.5">
      <c r="A9" s="35" t="s">
        <v>22</v>
      </c>
      <c r="B9" s="160">
        <v>35900</v>
      </c>
      <c r="C9" s="160">
        <v>35900</v>
      </c>
      <c r="D9" s="36">
        <v>35900</v>
      </c>
      <c r="E9" s="36">
        <v>35900</v>
      </c>
      <c r="F9" s="36"/>
      <c r="G9" s="36"/>
      <c r="H9" s="36"/>
      <c r="I9" s="36"/>
      <c r="J9" s="36"/>
      <c r="K9" s="36"/>
      <c r="L9" s="36"/>
      <c r="M9" s="3"/>
      <c r="N9" s="132">
        <f t="shared" si="4"/>
        <v>143600</v>
      </c>
      <c r="O9" s="132">
        <f t="shared" si="6"/>
        <v>28720</v>
      </c>
      <c r="P9" s="233">
        <f>-O9-O10</f>
        <v>-28800</v>
      </c>
      <c r="Q9" s="55"/>
      <c r="R9" s="55"/>
      <c r="T9" s="1">
        <v>2420</v>
      </c>
      <c r="U9" s="1" t="s">
        <v>143</v>
      </c>
      <c r="V9" s="1">
        <v>2420</v>
      </c>
    </row>
    <row r="10" spans="1:22" ht="20.75" customHeight="1" thickBot="1" x14ac:dyDescent="0.55000000000000004">
      <c r="A10" s="158" t="s">
        <v>23</v>
      </c>
      <c r="B10" s="160">
        <v>100</v>
      </c>
      <c r="C10" s="160">
        <v>100</v>
      </c>
      <c r="D10" s="160">
        <v>100</v>
      </c>
      <c r="E10" s="160">
        <v>100</v>
      </c>
      <c r="F10" s="160"/>
      <c r="G10" s="160"/>
      <c r="H10" s="160"/>
      <c r="I10" s="160"/>
      <c r="J10" s="160"/>
      <c r="K10" s="160"/>
      <c r="L10" s="160"/>
      <c r="M10" s="160"/>
      <c r="N10" s="161">
        <f t="shared" si="4"/>
        <v>400</v>
      </c>
      <c r="O10" s="161">
        <f t="shared" si="6"/>
        <v>80</v>
      </c>
      <c r="P10" s="233"/>
      <c r="Q10" s="55"/>
      <c r="R10" s="55"/>
      <c r="T10" s="1">
        <v>2720</v>
      </c>
      <c r="U10" s="1" t="s">
        <v>144</v>
      </c>
      <c r="V10" s="1">
        <f>T10*5</f>
        <v>13600</v>
      </c>
    </row>
    <row r="11" spans="1:22" ht="20.75" customHeight="1" thickBot="1" x14ac:dyDescent="0.55000000000000004">
      <c r="A11" s="204" t="s">
        <v>26</v>
      </c>
      <c r="B11" s="154">
        <f>B5-B9-B10</f>
        <v>49</v>
      </c>
      <c r="C11" s="154">
        <f t="shared" ref="C11:M11" si="7">C5-C9-C10</f>
        <v>108</v>
      </c>
      <c r="D11" s="154">
        <f t="shared" si="7"/>
        <v>17135.849999999999</v>
      </c>
      <c r="E11" s="154">
        <f t="shared" si="7"/>
        <v>719.5</v>
      </c>
      <c r="F11" s="154">
        <f t="shared" si="7"/>
        <v>0</v>
      </c>
      <c r="G11" s="154">
        <f t="shared" si="7"/>
        <v>0</v>
      </c>
      <c r="H11" s="154">
        <f t="shared" si="7"/>
        <v>0</v>
      </c>
      <c r="I11" s="154">
        <f t="shared" si="7"/>
        <v>0</v>
      </c>
      <c r="J11" s="154">
        <f t="shared" si="7"/>
        <v>0</v>
      </c>
      <c r="K11" s="154">
        <f t="shared" si="7"/>
        <v>0</v>
      </c>
      <c r="L11" s="154">
        <f t="shared" si="7"/>
        <v>0</v>
      </c>
      <c r="M11" s="154">
        <f t="shared" si="7"/>
        <v>0</v>
      </c>
      <c r="N11" s="155">
        <f>N5-N9-N10</f>
        <v>18012.350000000006</v>
      </c>
      <c r="O11" s="155">
        <f t="shared" si="6"/>
        <v>3602.4700000000012</v>
      </c>
      <c r="P11" s="101"/>
      <c r="Q11" s="55"/>
      <c r="R11" s="55"/>
    </row>
    <row r="12" spans="1:22" ht="13.15" customHeight="1" thickBot="1" x14ac:dyDescent="0.55000000000000004">
      <c r="A12" s="47"/>
      <c r="B12" s="42"/>
      <c r="C12" s="42"/>
      <c r="D12" s="42"/>
      <c r="E12" s="42"/>
      <c r="F12" s="42"/>
      <c r="G12" s="42"/>
      <c r="H12" s="77"/>
      <c r="I12" s="42"/>
      <c r="J12" s="42"/>
      <c r="K12" s="42"/>
      <c r="L12" s="42"/>
      <c r="M12" s="42"/>
      <c r="N12" s="46"/>
      <c r="O12" s="46"/>
      <c r="P12" s="46"/>
      <c r="Q12" s="55"/>
      <c r="R12" s="55"/>
    </row>
    <row r="13" spans="1:22" ht="20.75" customHeight="1" thickBot="1" x14ac:dyDescent="0.55000000000000004">
      <c r="A13" s="148" t="s">
        <v>27</v>
      </c>
      <c r="B13" s="149">
        <f t="shared" ref="B13:D13" si="8">SUM(B14:B17)</f>
        <v>25842.559999999998</v>
      </c>
      <c r="C13" s="149">
        <f t="shared" si="8"/>
        <v>32241.8</v>
      </c>
      <c r="D13" s="149">
        <f t="shared" si="8"/>
        <v>33202.6</v>
      </c>
      <c r="E13" s="149">
        <f>SUM(E14:E17)</f>
        <v>26681.9</v>
      </c>
      <c r="F13" s="149">
        <f t="shared" ref="F13:M13" si="9">SUM(F14:F17)</f>
        <v>0</v>
      </c>
      <c r="G13" s="149">
        <f t="shared" si="9"/>
        <v>0</v>
      </c>
      <c r="H13" s="149">
        <f t="shared" si="9"/>
        <v>0</v>
      </c>
      <c r="I13" s="149">
        <f t="shared" si="9"/>
        <v>0</v>
      </c>
      <c r="J13" s="149">
        <f t="shared" si="9"/>
        <v>0</v>
      </c>
      <c r="K13" s="149">
        <f t="shared" si="9"/>
        <v>0</v>
      </c>
      <c r="L13" s="149">
        <f t="shared" si="9"/>
        <v>0</v>
      </c>
      <c r="M13" s="149">
        <f t="shared" si="9"/>
        <v>0</v>
      </c>
      <c r="N13" s="150">
        <f t="shared" ref="N13:N16" si="10">SUM(B13:M13)</f>
        <v>117968.85999999999</v>
      </c>
      <c r="O13" s="150">
        <f t="shared" si="6"/>
        <v>23593.771999999997</v>
      </c>
      <c r="P13" s="150">
        <f>O13</f>
        <v>23593.771999999997</v>
      </c>
      <c r="Q13" s="55"/>
      <c r="R13" s="55"/>
      <c r="T13" s="1">
        <v>2650</v>
      </c>
      <c r="V13" s="1">
        <f>T13*5</f>
        <v>13250</v>
      </c>
    </row>
    <row r="14" spans="1:22" ht="20.75" customHeight="1" x14ac:dyDescent="0.5">
      <c r="A14" s="140" t="s">
        <v>28</v>
      </c>
      <c r="B14" s="176">
        <v>4276</v>
      </c>
      <c r="C14" s="176">
        <v>5614</v>
      </c>
      <c r="D14" s="176">
        <v>5628</v>
      </c>
      <c r="E14" s="142">
        <v>10661.9</v>
      </c>
      <c r="F14" s="142"/>
      <c r="G14" s="142"/>
      <c r="H14" s="142"/>
      <c r="I14" s="142"/>
      <c r="J14" s="142"/>
      <c r="K14" s="142"/>
      <c r="L14" s="142"/>
      <c r="M14" s="142"/>
      <c r="N14" s="144">
        <f t="shared" si="10"/>
        <v>26179.9</v>
      </c>
      <c r="O14" s="144">
        <f t="shared" si="6"/>
        <v>5235.9800000000005</v>
      </c>
      <c r="P14" s="236">
        <f>SUM(O14:O17)</f>
        <v>23593.771999999997</v>
      </c>
      <c r="Q14" s="55"/>
      <c r="R14" s="55"/>
    </row>
    <row r="15" spans="1:22" ht="20.75" customHeight="1" x14ac:dyDescent="0.5">
      <c r="A15" s="107" t="s">
        <v>131</v>
      </c>
      <c r="B15" s="75">
        <v>2127.25</v>
      </c>
      <c r="C15" s="180">
        <v>7025.8</v>
      </c>
      <c r="D15" s="180">
        <v>8939</v>
      </c>
      <c r="E15" s="64">
        <v>0</v>
      </c>
      <c r="F15" s="64"/>
      <c r="G15" s="64"/>
      <c r="H15" s="64"/>
      <c r="I15" s="64"/>
      <c r="J15" s="64"/>
      <c r="K15" s="64"/>
      <c r="L15" s="64"/>
      <c r="M15" s="64"/>
      <c r="N15" s="135">
        <f t="shared" si="10"/>
        <v>18092.05</v>
      </c>
      <c r="O15" s="130">
        <f t="shared" si="6"/>
        <v>3618.41</v>
      </c>
      <c r="P15" s="237"/>
      <c r="Q15" s="55"/>
      <c r="R15" s="55"/>
    </row>
    <row r="16" spans="1:22" ht="20.75" customHeight="1" x14ac:dyDescent="0.5">
      <c r="A16" s="107" t="s">
        <v>130</v>
      </c>
      <c r="B16" s="75">
        <v>3419.31</v>
      </c>
      <c r="C16" s="180">
        <v>3582</v>
      </c>
      <c r="D16" s="180">
        <v>2615.6</v>
      </c>
      <c r="E16" s="64">
        <v>0</v>
      </c>
      <c r="F16" s="64"/>
      <c r="G16" s="64"/>
      <c r="H16" s="64"/>
      <c r="I16" s="64"/>
      <c r="J16" s="64"/>
      <c r="K16" s="64"/>
      <c r="L16" s="64"/>
      <c r="M16" s="64"/>
      <c r="N16" s="135">
        <f t="shared" si="10"/>
        <v>9616.91</v>
      </c>
      <c r="O16" s="130">
        <f t="shared" si="6"/>
        <v>1923.3820000000001</v>
      </c>
      <c r="P16" s="237"/>
      <c r="Q16" s="55"/>
      <c r="R16" s="55"/>
    </row>
    <row r="17" spans="1:18" ht="20.75" customHeight="1" x14ac:dyDescent="0.5">
      <c r="A17" s="100" t="s">
        <v>19</v>
      </c>
      <c r="B17" s="64">
        <v>16020</v>
      </c>
      <c r="C17" s="64">
        <v>16020</v>
      </c>
      <c r="D17" s="64">
        <v>16020</v>
      </c>
      <c r="E17" s="64">
        <v>16020</v>
      </c>
      <c r="F17" s="64"/>
      <c r="G17" s="64"/>
      <c r="H17" s="64"/>
      <c r="I17" s="64"/>
      <c r="J17" s="177"/>
      <c r="K17" s="177"/>
      <c r="L17" s="177"/>
      <c r="M17" s="177"/>
      <c r="N17" s="130">
        <f>SUM(B17:M17)</f>
        <v>64080</v>
      </c>
      <c r="O17" s="130">
        <f t="shared" si="6"/>
        <v>12816</v>
      </c>
      <c r="P17" s="230"/>
      <c r="Q17" s="55"/>
      <c r="R17" s="55"/>
    </row>
    <row r="18" spans="1:18" ht="20.75" customHeight="1" thickBot="1" x14ac:dyDescent="0.55000000000000004">
      <c r="A18" s="35" t="s">
        <v>33</v>
      </c>
      <c r="B18" s="36">
        <v>23463.39</v>
      </c>
      <c r="C18" s="36">
        <v>23500</v>
      </c>
      <c r="D18" s="36">
        <v>23500</v>
      </c>
      <c r="E18" s="36">
        <v>23500</v>
      </c>
      <c r="F18" s="36"/>
      <c r="G18" s="36"/>
      <c r="H18" s="36"/>
      <c r="I18" s="36"/>
      <c r="J18" s="36"/>
      <c r="K18" s="36"/>
      <c r="L18" s="36"/>
      <c r="M18" s="3"/>
      <c r="N18" s="132">
        <f t="shared" ref="N18" si="11">SUM(B18:M18)</f>
        <v>93963.39</v>
      </c>
      <c r="O18" s="132">
        <f t="shared" si="6"/>
        <v>18792.678</v>
      </c>
      <c r="P18" s="132">
        <f>-O18-19</f>
        <v>-18811.678</v>
      </c>
      <c r="Q18" s="55"/>
      <c r="R18" s="55"/>
    </row>
    <row r="19" spans="1:18" ht="20.75" customHeight="1" thickBot="1" x14ac:dyDescent="0.55000000000000004">
      <c r="A19" s="153" t="s">
        <v>35</v>
      </c>
      <c r="B19" s="154">
        <f>B13-B18</f>
        <v>2379.1699999999983</v>
      </c>
      <c r="C19" s="154">
        <f t="shared" ref="C19:M19" si="12">C13-C18</f>
        <v>8741.7999999999993</v>
      </c>
      <c r="D19" s="154">
        <f t="shared" si="12"/>
        <v>9702.5999999999985</v>
      </c>
      <c r="E19" s="154">
        <f t="shared" si="12"/>
        <v>3181.9000000000015</v>
      </c>
      <c r="F19" s="154">
        <f t="shared" si="12"/>
        <v>0</v>
      </c>
      <c r="G19" s="154">
        <f t="shared" si="12"/>
        <v>0</v>
      </c>
      <c r="H19" s="154">
        <f t="shared" si="12"/>
        <v>0</v>
      </c>
      <c r="I19" s="154">
        <f t="shared" si="12"/>
        <v>0</v>
      </c>
      <c r="J19" s="154">
        <f t="shared" si="12"/>
        <v>0</v>
      </c>
      <c r="K19" s="154">
        <f t="shared" si="12"/>
        <v>0</v>
      </c>
      <c r="L19" s="154">
        <f t="shared" si="12"/>
        <v>0</v>
      </c>
      <c r="M19" s="154">
        <f t="shared" si="12"/>
        <v>0</v>
      </c>
      <c r="N19" s="155">
        <f>N13-N18</f>
        <v>24005.469999999987</v>
      </c>
      <c r="O19" s="155">
        <f t="shared" si="6"/>
        <v>4801.0939999999973</v>
      </c>
      <c r="P19" s="101"/>
      <c r="Q19" s="55"/>
      <c r="R19" s="55"/>
    </row>
    <row r="20" spans="1:18" ht="20.75" customHeight="1" thickBot="1" x14ac:dyDescent="0.55000000000000004">
      <c r="A20" s="156" t="s">
        <v>36</v>
      </c>
      <c r="B20" s="157">
        <f>B11+B19</f>
        <v>2428.1699999999983</v>
      </c>
      <c r="C20" s="157">
        <f t="shared" ref="C20:M20" si="13">C11+C19</f>
        <v>8849.7999999999993</v>
      </c>
      <c r="D20" s="157">
        <f t="shared" si="13"/>
        <v>26838.449999999997</v>
      </c>
      <c r="E20" s="157">
        <f t="shared" si="13"/>
        <v>3901.4000000000015</v>
      </c>
      <c r="F20" s="157">
        <f t="shared" si="13"/>
        <v>0</v>
      </c>
      <c r="G20" s="157">
        <f t="shared" si="13"/>
        <v>0</v>
      </c>
      <c r="H20" s="157">
        <f t="shared" si="13"/>
        <v>0</v>
      </c>
      <c r="I20" s="157">
        <f t="shared" si="13"/>
        <v>0</v>
      </c>
      <c r="J20" s="157">
        <f t="shared" si="13"/>
        <v>0</v>
      </c>
      <c r="K20" s="157">
        <f t="shared" si="13"/>
        <v>0</v>
      </c>
      <c r="L20" s="157">
        <f t="shared" si="13"/>
        <v>0</v>
      </c>
      <c r="M20" s="157">
        <f t="shared" si="13"/>
        <v>0</v>
      </c>
      <c r="N20" s="157">
        <f>N11+N19</f>
        <v>42017.819999999992</v>
      </c>
      <c r="O20" s="157">
        <f t="shared" si="6"/>
        <v>8403.5639999999985</v>
      </c>
      <c r="P20" s="104"/>
      <c r="Q20" s="55"/>
      <c r="R20" s="55"/>
    </row>
    <row r="21" spans="1:18" ht="14.75" customHeight="1" x14ac:dyDescent="0.5">
      <c r="A21" s="235">
        <v>2026</v>
      </c>
      <c r="B21" s="235"/>
      <c r="C21" s="235"/>
      <c r="D21" s="235"/>
      <c r="E21" s="235"/>
      <c r="F21" s="235"/>
      <c r="G21" s="235"/>
      <c r="H21" s="235"/>
      <c r="I21" s="235"/>
      <c r="J21" s="235"/>
      <c r="K21" s="235"/>
      <c r="L21" s="235"/>
      <c r="M21" s="235"/>
      <c r="N21" s="181"/>
      <c r="O21" s="182"/>
      <c r="P21" s="104"/>
      <c r="Q21" s="55"/>
      <c r="R21" s="55"/>
    </row>
    <row r="22" spans="1:18" ht="14.75" customHeight="1" x14ac:dyDescent="0.5">
      <c r="A22" s="110" t="s">
        <v>37</v>
      </c>
      <c r="B22" s="111">
        <f>B13/6</f>
        <v>4307.0933333333332</v>
      </c>
      <c r="C22" s="111">
        <f t="shared" ref="C22:M22" si="14">C13/6</f>
        <v>5373.6333333333332</v>
      </c>
      <c r="D22" s="111">
        <f t="shared" si="14"/>
        <v>5533.7666666666664</v>
      </c>
      <c r="E22" s="111">
        <f t="shared" si="14"/>
        <v>4446.9833333333336</v>
      </c>
      <c r="F22" s="111">
        <f t="shared" si="14"/>
        <v>0</v>
      </c>
      <c r="G22" s="111">
        <f t="shared" si="14"/>
        <v>0</v>
      </c>
      <c r="H22" s="111">
        <f t="shared" si="14"/>
        <v>0</v>
      </c>
      <c r="I22" s="111">
        <f t="shared" si="14"/>
        <v>0</v>
      </c>
      <c r="J22" s="111">
        <f t="shared" si="14"/>
        <v>0</v>
      </c>
      <c r="K22" s="111">
        <f t="shared" si="14"/>
        <v>0</v>
      </c>
      <c r="L22" s="111">
        <f t="shared" si="14"/>
        <v>0</v>
      </c>
      <c r="M22" s="111">
        <f t="shared" si="14"/>
        <v>0</v>
      </c>
      <c r="N22" s="183">
        <f>AVERAGE(B22:M22)</f>
        <v>1638.4563888888888</v>
      </c>
      <c r="O22" s="182"/>
      <c r="P22" s="104"/>
      <c r="Q22" s="55"/>
      <c r="R22" s="55"/>
    </row>
    <row r="23" spans="1:18" ht="14.75" customHeight="1" thickBot="1" x14ac:dyDescent="0.55000000000000004">
      <c r="A23" s="174" t="s">
        <v>147</v>
      </c>
      <c r="B23" s="175">
        <f>B13/6</f>
        <v>4307.0933333333332</v>
      </c>
      <c r="C23" s="175">
        <f t="shared" ref="C23:M23" si="15">C13/6</f>
        <v>5373.6333333333332</v>
      </c>
      <c r="D23" s="175">
        <f t="shared" si="15"/>
        <v>5533.7666666666664</v>
      </c>
      <c r="E23" s="175">
        <f t="shared" si="15"/>
        <v>4446.9833333333336</v>
      </c>
      <c r="F23" s="175">
        <f t="shared" si="15"/>
        <v>0</v>
      </c>
      <c r="G23" s="175">
        <f t="shared" si="15"/>
        <v>0</v>
      </c>
      <c r="H23" s="175">
        <f t="shared" si="15"/>
        <v>0</v>
      </c>
      <c r="I23" s="175">
        <f t="shared" si="15"/>
        <v>0</v>
      </c>
      <c r="J23" s="175">
        <f t="shared" si="15"/>
        <v>0</v>
      </c>
      <c r="K23" s="175">
        <f t="shared" si="15"/>
        <v>0</v>
      </c>
      <c r="L23" s="175">
        <f t="shared" si="15"/>
        <v>0</v>
      </c>
      <c r="M23" s="175">
        <f t="shared" si="15"/>
        <v>0</v>
      </c>
      <c r="N23" s="183">
        <f>AVERAGE(B23:M23)</f>
        <v>1638.4563888888888</v>
      </c>
      <c r="O23" s="182"/>
      <c r="P23" s="104"/>
      <c r="Q23" s="55"/>
      <c r="R23" s="55"/>
    </row>
    <row r="24" spans="1:18" ht="12.7" customHeight="1" x14ac:dyDescent="0.5">
      <c r="A24" s="235">
        <v>2025</v>
      </c>
      <c r="B24" s="235"/>
      <c r="C24" s="235"/>
      <c r="D24" s="235"/>
      <c r="E24" s="235"/>
      <c r="F24" s="235"/>
      <c r="G24" s="235"/>
      <c r="H24" s="235"/>
      <c r="I24" s="235"/>
      <c r="J24" s="235"/>
      <c r="K24" s="235"/>
      <c r="L24" s="235"/>
      <c r="M24" s="235"/>
      <c r="N24" s="181"/>
      <c r="O24" s="182"/>
      <c r="P24" s="104"/>
      <c r="Q24" s="55"/>
      <c r="R24" s="55"/>
    </row>
    <row r="25" spans="1:18" ht="12.7" customHeight="1" x14ac:dyDescent="0.5">
      <c r="A25" s="110" t="s">
        <v>37</v>
      </c>
      <c r="B25" s="111">
        <v>5368.3233333333337</v>
      </c>
      <c r="C25" s="111">
        <v>4899.8666666666659</v>
      </c>
      <c r="D25" s="111">
        <v>5020.4233333333332</v>
      </c>
      <c r="E25" s="111">
        <v>5740.293333333334</v>
      </c>
      <c r="F25" s="111">
        <v>5753.2583333333341</v>
      </c>
      <c r="G25" s="111">
        <v>4913.336666666667</v>
      </c>
      <c r="H25" s="111">
        <v>4301.7783333333327</v>
      </c>
      <c r="I25" s="111">
        <v>3703.5416666666665</v>
      </c>
      <c r="J25" s="111">
        <v>4545.8466666666673</v>
      </c>
      <c r="K25" s="111">
        <v>5245.8433333333332</v>
      </c>
      <c r="L25" s="111">
        <v>4644.5516666666663</v>
      </c>
      <c r="M25" s="111">
        <v>4846.0150000000003</v>
      </c>
      <c r="N25" s="183">
        <f>AVERAGE(B25:M25)</f>
        <v>4915.2565277777767</v>
      </c>
      <c r="O25" s="182"/>
      <c r="P25" s="104"/>
      <c r="Q25" s="55"/>
      <c r="R25" s="55"/>
    </row>
    <row r="26" spans="1:18" ht="12.7" customHeight="1" thickBot="1" x14ac:dyDescent="0.55000000000000004">
      <c r="A26" s="174" t="s">
        <v>38</v>
      </c>
      <c r="B26" s="175">
        <v>4601.42</v>
      </c>
      <c r="C26" s="175">
        <v>4199.8857142857141</v>
      </c>
      <c r="D26" s="175">
        <v>4303.22</v>
      </c>
      <c r="E26" s="175">
        <v>5740.293333333334</v>
      </c>
      <c r="F26" s="175">
        <v>5753.2583333333341</v>
      </c>
      <c r="G26" s="175">
        <v>4211.431428571429</v>
      </c>
      <c r="H26" s="175">
        <v>3687.238571428571</v>
      </c>
      <c r="I26" s="175">
        <v>3703.5416666666665</v>
      </c>
      <c r="J26" s="175">
        <v>4545.8466666666673</v>
      </c>
      <c r="K26" s="175">
        <v>5245.8433333333332</v>
      </c>
      <c r="L26" s="175">
        <v>4644.5516666666663</v>
      </c>
      <c r="M26" s="175">
        <v>4846.0150000000003</v>
      </c>
      <c r="N26" s="183">
        <f>AVERAGE(B26:M26)</f>
        <v>4623.5454761904757</v>
      </c>
      <c r="O26" s="182"/>
      <c r="P26" s="104"/>
      <c r="Q26" s="55"/>
      <c r="R26" s="55"/>
    </row>
    <row r="27" spans="1:18" ht="11.55" customHeight="1" x14ac:dyDescent="0.5">
      <c r="A27" s="235">
        <v>2024</v>
      </c>
      <c r="B27" s="235"/>
      <c r="C27" s="235"/>
      <c r="D27" s="235"/>
      <c r="E27" s="235"/>
      <c r="F27" s="235"/>
      <c r="G27" s="235"/>
      <c r="H27" s="235"/>
      <c r="I27" s="235"/>
      <c r="J27" s="235"/>
      <c r="K27" s="235"/>
      <c r="L27" s="235"/>
      <c r="M27" s="235"/>
      <c r="N27" s="181"/>
      <c r="O27" s="182"/>
      <c r="P27" s="104"/>
      <c r="Q27" s="55"/>
      <c r="R27" s="55"/>
    </row>
    <row r="28" spans="1:18" ht="11.55" customHeight="1" x14ac:dyDescent="0.5">
      <c r="A28" s="110" t="s">
        <v>37</v>
      </c>
      <c r="B28" s="111">
        <v>4237.0199999999995</v>
      </c>
      <c r="C28" s="111">
        <v>5684.7366666666667</v>
      </c>
      <c r="D28" s="111">
        <v>6372.7483333333339</v>
      </c>
      <c r="E28" s="111">
        <v>5638.7599999999993</v>
      </c>
      <c r="F28" s="111">
        <v>4955.78</v>
      </c>
      <c r="G28" s="111">
        <v>4682.4383333333335</v>
      </c>
      <c r="H28" s="111">
        <v>4997.3483333333334</v>
      </c>
      <c r="I28" s="111">
        <v>4840.5233333333335</v>
      </c>
      <c r="J28" s="111">
        <v>4739.793333333334</v>
      </c>
      <c r="K28" s="111">
        <v>5702.375</v>
      </c>
      <c r="L28" s="111">
        <v>5308.7033333333338</v>
      </c>
      <c r="M28" s="111">
        <v>4544.8433333333332</v>
      </c>
      <c r="N28" s="183">
        <f>AVERAGE(B28:M28)</f>
        <v>5142.0891666666657</v>
      </c>
      <c r="O28" s="182"/>
      <c r="P28" s="104"/>
      <c r="Q28" s="55"/>
      <c r="R28" s="55"/>
    </row>
    <row r="29" spans="1:18" ht="13.05" customHeight="1" thickBot="1" x14ac:dyDescent="0.55000000000000004">
      <c r="A29" s="174" t="s">
        <v>38</v>
      </c>
      <c r="B29" s="175">
        <v>3631.7314285714283</v>
      </c>
      <c r="C29" s="175">
        <v>4872.6314285714279</v>
      </c>
      <c r="D29" s="175">
        <v>5462.3557142857153</v>
      </c>
      <c r="E29" s="175">
        <v>5638.7599999999993</v>
      </c>
      <c r="F29" s="175">
        <v>4955.78</v>
      </c>
      <c r="G29" s="175">
        <v>4013.5185714285717</v>
      </c>
      <c r="H29" s="175">
        <v>4283.4414285714283</v>
      </c>
      <c r="I29" s="175">
        <v>4149.0199999999995</v>
      </c>
      <c r="J29" s="175">
        <v>4062.6800000000003</v>
      </c>
      <c r="K29" s="175">
        <v>4887.75</v>
      </c>
      <c r="L29" s="175">
        <v>4550.3171428571432</v>
      </c>
      <c r="M29" s="175">
        <v>3895.5800000000004</v>
      </c>
      <c r="N29" s="183">
        <f>AVERAGE(B29:M29)</f>
        <v>4533.6304761904767</v>
      </c>
      <c r="O29" s="182"/>
      <c r="P29" s="104"/>
      <c r="Q29" s="55"/>
      <c r="R29" s="55"/>
    </row>
    <row r="30" spans="1:18" ht="12.95" customHeight="1" x14ac:dyDescent="0.5">
      <c r="A30" s="235">
        <v>2023</v>
      </c>
      <c r="B30" s="235"/>
      <c r="C30" s="235"/>
      <c r="D30" s="235"/>
      <c r="E30" s="235"/>
      <c r="F30" s="235"/>
      <c r="G30" s="235"/>
      <c r="H30" s="235"/>
      <c r="I30" s="235"/>
      <c r="J30" s="235"/>
      <c r="K30" s="235"/>
      <c r="L30" s="235"/>
      <c r="M30" s="235"/>
      <c r="N30" s="181"/>
      <c r="O30" s="182"/>
      <c r="P30" s="104"/>
      <c r="Q30" s="55"/>
      <c r="R30" s="55"/>
    </row>
    <row r="31" spans="1:18" ht="12.95" customHeight="1" x14ac:dyDescent="0.5">
      <c r="A31" s="110" t="s">
        <v>37</v>
      </c>
      <c r="B31" s="111">
        <v>4415.4666666666672</v>
      </c>
      <c r="C31" s="111">
        <v>5987.4500000000007</v>
      </c>
      <c r="D31" s="111">
        <v>5629.835</v>
      </c>
      <c r="E31" s="111">
        <v>5408.2433333333338</v>
      </c>
      <c r="F31" s="111">
        <v>5454.4866666666667</v>
      </c>
      <c r="G31" s="111">
        <v>6282.9949999999999</v>
      </c>
      <c r="H31" s="111">
        <v>4504.0583333333334</v>
      </c>
      <c r="I31" s="111">
        <v>3949.6516666666666</v>
      </c>
      <c r="J31" s="111">
        <v>3389.2916666666665</v>
      </c>
      <c r="K31" s="111">
        <v>4614.1400000000003</v>
      </c>
      <c r="L31" s="111">
        <v>4708.166666666667</v>
      </c>
      <c r="M31" s="111">
        <v>3404.41</v>
      </c>
      <c r="N31" s="183">
        <f>AVERAGE(B31:M31)</f>
        <v>4812.3495833333327</v>
      </c>
      <c r="O31" s="182"/>
      <c r="P31" s="104"/>
      <c r="Q31" s="55"/>
      <c r="R31" s="55"/>
    </row>
    <row r="32" spans="1:18" ht="12.95" customHeight="1" x14ac:dyDescent="0.5">
      <c r="A32" s="234">
        <v>2022</v>
      </c>
      <c r="B32" s="234"/>
      <c r="C32" s="234"/>
      <c r="D32" s="234"/>
      <c r="E32" s="234"/>
      <c r="F32" s="234"/>
      <c r="G32" s="234"/>
      <c r="H32" s="234"/>
      <c r="I32" s="234"/>
      <c r="J32" s="234"/>
      <c r="K32" s="234"/>
      <c r="L32" s="234"/>
      <c r="M32" s="234"/>
      <c r="N32" s="181"/>
      <c r="O32" s="182"/>
      <c r="P32" s="104"/>
      <c r="Q32" s="55"/>
      <c r="R32" s="55"/>
    </row>
    <row r="33" spans="1:18" ht="12.95" customHeight="1" x14ac:dyDescent="0.5">
      <c r="A33" s="110" t="s">
        <v>37</v>
      </c>
      <c r="B33" s="111">
        <v>3528.86</v>
      </c>
      <c r="C33" s="111">
        <v>4743.8683333333329</v>
      </c>
      <c r="D33" s="111">
        <v>4278.9733333333334</v>
      </c>
      <c r="E33" s="111">
        <v>4425.2599999999993</v>
      </c>
      <c r="F33" s="111">
        <v>3711.8016666666667</v>
      </c>
      <c r="G33" s="111">
        <v>4317.1283333333331</v>
      </c>
      <c r="H33" s="111">
        <v>4388.46</v>
      </c>
      <c r="I33" s="111">
        <v>4257.1083333333327</v>
      </c>
      <c r="J33" s="111">
        <v>4399</v>
      </c>
      <c r="K33" s="111">
        <v>5504.7650000000003</v>
      </c>
      <c r="L33" s="111">
        <v>5053.2599999999993</v>
      </c>
      <c r="M33" s="111">
        <v>4629.6283333333331</v>
      </c>
      <c r="N33" s="183">
        <f>AVERAGE(B33:M33)</f>
        <v>4436.5094444444449</v>
      </c>
      <c r="O33" s="182"/>
      <c r="P33" s="104"/>
      <c r="Q33" s="55"/>
      <c r="R33" s="55"/>
    </row>
    <row r="34" spans="1:18" ht="12.95" customHeight="1" x14ac:dyDescent="0.5">
      <c r="A34" s="174" t="s">
        <v>38</v>
      </c>
      <c r="B34" s="175">
        <v>2646.645</v>
      </c>
      <c r="C34" s="175">
        <v>4066.1728571428571</v>
      </c>
      <c r="D34" s="175">
        <v>3667.6914285714288</v>
      </c>
      <c r="E34" s="175">
        <v>3793.0799999999995</v>
      </c>
      <c r="F34" s="175">
        <v>3181.5442857142857</v>
      </c>
      <c r="G34" s="175">
        <v>3700.3957142857143</v>
      </c>
      <c r="H34" s="175">
        <v>3761.5371428571425</v>
      </c>
      <c r="I34" s="175">
        <v>3648.95</v>
      </c>
      <c r="J34" s="175">
        <v>3770.5714285714284</v>
      </c>
      <c r="K34" s="175">
        <v>4718.3700000000008</v>
      </c>
      <c r="L34" s="175">
        <v>5053.2599999999993</v>
      </c>
      <c r="M34" s="175">
        <v>4629.6283333333331</v>
      </c>
      <c r="N34" s="183">
        <f>AVERAGE(B34:M34)</f>
        <v>3886.4871825396826</v>
      </c>
      <c r="O34" s="182"/>
      <c r="P34" s="104"/>
      <c r="Q34" s="55"/>
      <c r="R34" s="55"/>
    </row>
    <row r="35" spans="1:18" ht="12.95" customHeight="1" x14ac:dyDescent="0.5">
      <c r="A35" s="234">
        <v>2021</v>
      </c>
      <c r="B35" s="234"/>
      <c r="C35" s="234"/>
      <c r="D35" s="234"/>
      <c r="E35" s="234"/>
      <c r="F35" s="234"/>
      <c r="G35" s="234"/>
      <c r="H35" s="234"/>
      <c r="I35" s="234"/>
      <c r="J35" s="234"/>
      <c r="K35" s="234"/>
      <c r="L35" s="234"/>
      <c r="M35" s="234"/>
      <c r="N35" s="181"/>
      <c r="O35" s="182"/>
      <c r="P35" s="104"/>
      <c r="Q35" s="55"/>
      <c r="R35" s="55"/>
    </row>
    <row r="36" spans="1:18" ht="12.95" customHeight="1" x14ac:dyDescent="0.5">
      <c r="A36" s="110" t="s">
        <v>37</v>
      </c>
      <c r="B36" s="111">
        <v>4029.0116666666672</v>
      </c>
      <c r="C36" s="111">
        <v>4296.8783333333331</v>
      </c>
      <c r="D36" s="111">
        <v>4763.7883333333339</v>
      </c>
      <c r="E36" s="111">
        <v>3588.3616666666662</v>
      </c>
      <c r="F36" s="111">
        <v>3609.6149999999998</v>
      </c>
      <c r="G36" s="111">
        <v>4665.8866666666663</v>
      </c>
      <c r="H36" s="111">
        <v>4321.2616666666663</v>
      </c>
      <c r="I36" s="111">
        <v>3657.5416666666665</v>
      </c>
      <c r="J36" s="111">
        <v>4442.6883333333326</v>
      </c>
      <c r="K36" s="111">
        <v>5294.7616666666672</v>
      </c>
      <c r="L36" s="111">
        <v>4674.8283333333338</v>
      </c>
      <c r="M36" s="111">
        <v>3984.1666666666665</v>
      </c>
      <c r="N36" s="183">
        <f>AVERAGE(B36:M36)</f>
        <v>4277.3991666666652</v>
      </c>
      <c r="O36" s="182"/>
      <c r="P36" s="104"/>
      <c r="Q36" s="55"/>
      <c r="R36" s="55"/>
    </row>
    <row r="37" spans="1:18" ht="12.95" customHeight="1" x14ac:dyDescent="0.5">
      <c r="A37" s="174" t="s">
        <v>39</v>
      </c>
      <c r="B37" s="175">
        <v>3581.3437037037043</v>
      </c>
      <c r="C37" s="175">
        <v>3966.3492307692309</v>
      </c>
      <c r="D37" s="175">
        <v>4763.7883333333339</v>
      </c>
      <c r="E37" s="175">
        <v>3189.6548148148145</v>
      </c>
      <c r="F37" s="175">
        <v>2707.2112499999998</v>
      </c>
      <c r="G37" s="175">
        <v>3499.415</v>
      </c>
      <c r="H37" s="175">
        <v>3240.94625</v>
      </c>
      <c r="I37" s="175">
        <v>2743.15625</v>
      </c>
      <c r="J37" s="175">
        <v>3332.0162499999997</v>
      </c>
      <c r="K37" s="175">
        <v>3971.0712500000004</v>
      </c>
      <c r="L37" s="175">
        <v>3506.1212500000001</v>
      </c>
      <c r="M37" s="175">
        <v>2988.125</v>
      </c>
      <c r="N37" s="183">
        <f>AVERAGE(B37:M37)</f>
        <v>3457.4332152184238</v>
      </c>
      <c r="O37" s="182"/>
      <c r="P37" s="104"/>
      <c r="Q37" s="55"/>
      <c r="R37" s="55"/>
    </row>
    <row r="38" spans="1:18" ht="16.25" customHeight="1" x14ac:dyDescent="0.5">
      <c r="A38" s="234">
        <v>2020</v>
      </c>
      <c r="B38" s="234"/>
      <c r="C38" s="234"/>
      <c r="D38" s="234"/>
      <c r="E38" s="234"/>
      <c r="F38" s="234"/>
      <c r="G38" s="234"/>
      <c r="H38" s="234"/>
      <c r="I38" s="234"/>
      <c r="J38" s="234"/>
      <c r="K38" s="234"/>
      <c r="L38" s="234"/>
      <c r="M38" s="234"/>
      <c r="N38" s="181"/>
      <c r="O38" s="182"/>
      <c r="P38" s="104"/>
      <c r="Q38" s="55"/>
      <c r="R38" s="55"/>
    </row>
    <row r="39" spans="1:18" x14ac:dyDescent="0.5">
      <c r="A39" s="110" t="s">
        <v>37</v>
      </c>
      <c r="B39" s="111">
        <v>4631.4066666666668</v>
      </c>
      <c r="C39" s="111">
        <v>5038.166666666667</v>
      </c>
      <c r="D39" s="111">
        <v>4851.1966666666667</v>
      </c>
      <c r="E39" s="111">
        <v>4096.0749999999998</v>
      </c>
      <c r="F39" s="111">
        <v>4196.666666666667</v>
      </c>
      <c r="G39" s="111">
        <v>4920.833333333333</v>
      </c>
      <c r="H39" s="111">
        <v>4191.628333333334</v>
      </c>
      <c r="I39" s="111">
        <v>4652.2483333333339</v>
      </c>
      <c r="J39" s="111">
        <v>4234.166666666667</v>
      </c>
      <c r="K39" s="111">
        <v>5310.5316666666668</v>
      </c>
      <c r="L39" s="111">
        <v>5319.0783333333338</v>
      </c>
      <c r="M39" s="111">
        <v>4989.7950000000001</v>
      </c>
      <c r="N39" s="183">
        <f>AVERAGE(B39:M39)</f>
        <v>4702.6494444444443</v>
      </c>
      <c r="O39" s="67"/>
      <c r="P39" s="67"/>
      <c r="Q39" s="55"/>
      <c r="R39" s="55"/>
    </row>
    <row r="40" spans="1:18" x14ac:dyDescent="0.5">
      <c r="A40" s="174" t="s">
        <v>40</v>
      </c>
      <c r="B40" s="175">
        <v>3473.5549999999998</v>
      </c>
      <c r="C40" s="175">
        <v>3778.625</v>
      </c>
      <c r="D40" s="175">
        <v>4851.1966666666667</v>
      </c>
      <c r="E40" s="175">
        <v>4915.29</v>
      </c>
      <c r="F40" s="175">
        <v>5036</v>
      </c>
      <c r="G40" s="175">
        <v>4920.833333333333</v>
      </c>
      <c r="H40" s="175">
        <v>4191.628333333334</v>
      </c>
      <c r="I40" s="175">
        <v>4652.2483333333339</v>
      </c>
      <c r="J40" s="175">
        <v>3629.2857142857142</v>
      </c>
      <c r="K40" s="175">
        <v>4551.8842857142863</v>
      </c>
      <c r="L40" s="175">
        <v>4559.21</v>
      </c>
      <c r="M40" s="175">
        <v>4276.9671428571428</v>
      </c>
      <c r="N40" s="183">
        <f>AVERAGE(B40:M40)</f>
        <v>4403.0603174603184</v>
      </c>
      <c r="O40" s="67"/>
      <c r="P40" s="67"/>
      <c r="Q40" s="55"/>
      <c r="R40" s="55"/>
    </row>
    <row r="41" spans="1:18" ht="18" x14ac:dyDescent="0.5">
      <c r="A41" s="234">
        <v>2019</v>
      </c>
      <c r="B41" s="234"/>
      <c r="C41" s="234"/>
      <c r="D41" s="234"/>
      <c r="E41" s="234"/>
      <c r="F41" s="234"/>
      <c r="G41" s="234"/>
      <c r="H41" s="234"/>
      <c r="I41" s="234"/>
      <c r="J41" s="234"/>
      <c r="K41" s="234"/>
      <c r="L41" s="234"/>
      <c r="M41" s="234"/>
      <c r="N41" s="67"/>
      <c r="O41" s="67"/>
      <c r="P41" s="67"/>
      <c r="Q41" s="55"/>
      <c r="R41" s="55"/>
    </row>
    <row r="42" spans="1:18" x14ac:dyDescent="0.5">
      <c r="A42" s="113" t="s">
        <v>41</v>
      </c>
      <c r="B42" s="114">
        <v>4166.5157142857142</v>
      </c>
      <c r="C42" s="114">
        <v>4603.8571428571431</v>
      </c>
      <c r="D42" s="114">
        <v>4838.2857142857147</v>
      </c>
      <c r="E42" s="114">
        <v>4961.9185714285713</v>
      </c>
      <c r="F42" s="114">
        <v>5924.5714285714284</v>
      </c>
      <c r="G42" s="114">
        <v>4501.2857142857147</v>
      </c>
      <c r="H42" s="114">
        <v>5658.0333333333328</v>
      </c>
      <c r="I42" s="114">
        <v>4578.7333333333336</v>
      </c>
      <c r="J42" s="114">
        <v>4839.333333333333</v>
      </c>
      <c r="K42" s="114">
        <v>5226.2866666666669</v>
      </c>
      <c r="L42" s="114">
        <v>5469.333333333333</v>
      </c>
      <c r="M42" s="114">
        <v>5184.916666666667</v>
      </c>
      <c r="N42" s="183">
        <f>AVERAGE(B42:M42)</f>
        <v>4996.0892460317464</v>
      </c>
      <c r="O42" s="67"/>
      <c r="P42" s="67"/>
      <c r="Q42" s="55"/>
      <c r="R42" s="55"/>
    </row>
    <row r="43" spans="1:18" x14ac:dyDescent="0.5">
      <c r="A43" s="174" t="s">
        <v>42</v>
      </c>
      <c r="B43" s="175">
        <v>2916.5610000000001</v>
      </c>
      <c r="C43" s="175">
        <v>3222.7</v>
      </c>
      <c r="D43" s="175">
        <v>3386.8</v>
      </c>
      <c r="E43" s="175">
        <v>3859.27</v>
      </c>
      <c r="F43" s="175">
        <v>4608</v>
      </c>
      <c r="G43" s="175">
        <v>3501</v>
      </c>
      <c r="H43" s="175">
        <v>4243.5249999999996</v>
      </c>
      <c r="I43" s="175">
        <v>3434.05</v>
      </c>
      <c r="J43" s="175">
        <v>3629.5</v>
      </c>
      <c r="K43" s="175">
        <v>3919.7150000000001</v>
      </c>
      <c r="L43" s="175">
        <v>4102</v>
      </c>
      <c r="M43" s="175">
        <v>3888.6875</v>
      </c>
      <c r="N43" s="183">
        <f>AVERAGE(B43:M43)</f>
        <v>3725.9840416666666</v>
      </c>
      <c r="O43" s="67"/>
      <c r="P43" s="67"/>
      <c r="Q43" s="55"/>
      <c r="R43" s="55"/>
    </row>
    <row r="44" spans="1:18" ht="14.1" customHeight="1" x14ac:dyDescent="0.5">
      <c r="A44" s="234">
        <v>2018</v>
      </c>
      <c r="B44" s="234"/>
      <c r="C44" s="234"/>
      <c r="D44" s="234"/>
      <c r="E44" s="234"/>
      <c r="F44" s="234"/>
      <c r="G44" s="234"/>
      <c r="H44" s="234"/>
      <c r="I44" s="234"/>
      <c r="J44" s="234"/>
      <c r="K44" s="234"/>
      <c r="L44" s="234"/>
      <c r="M44" s="234"/>
      <c r="N44" s="67"/>
      <c r="O44" s="67"/>
      <c r="P44" s="67"/>
      <c r="Q44" s="55"/>
      <c r="R44" s="55"/>
    </row>
    <row r="45" spans="1:18" x14ac:dyDescent="0.5">
      <c r="A45" s="113" t="s">
        <v>43</v>
      </c>
      <c r="B45" s="114">
        <v>4758.3285714285721</v>
      </c>
      <c r="C45" s="114">
        <v>5051.5714285714284</v>
      </c>
      <c r="D45" s="114">
        <v>6206.8571428571431</v>
      </c>
      <c r="E45" s="114">
        <v>5050.1428571428569</v>
      </c>
      <c r="F45" s="114">
        <v>4891.8571428571431</v>
      </c>
      <c r="G45" s="114">
        <v>6049</v>
      </c>
      <c r="H45" s="114">
        <v>5937.1642857142861</v>
      </c>
      <c r="I45" s="114">
        <v>4201.7142857142853</v>
      </c>
      <c r="J45" s="114">
        <v>4655</v>
      </c>
      <c r="K45" s="114">
        <v>4756</v>
      </c>
      <c r="L45" s="114">
        <v>4744.5714285714284</v>
      </c>
      <c r="M45" s="114">
        <v>4506.1428571428569</v>
      </c>
      <c r="N45" s="183">
        <f>AVERAGE(B45:M45)</f>
        <v>5067.3625000000002</v>
      </c>
      <c r="O45" s="67"/>
      <c r="P45" s="67"/>
    </row>
    <row r="46" spans="1:18" x14ac:dyDescent="0.5">
      <c r="A46" s="174" t="s">
        <v>44</v>
      </c>
      <c r="B46" s="175">
        <v>3330.8300000000004</v>
      </c>
      <c r="C46" s="175">
        <v>3536.1</v>
      </c>
      <c r="D46" s="175">
        <v>4344.8</v>
      </c>
      <c r="E46" s="175">
        <v>3927.8888888888887</v>
      </c>
      <c r="F46" s="175">
        <v>3804.7777777777778</v>
      </c>
      <c r="G46" s="175">
        <v>4234.3</v>
      </c>
      <c r="H46" s="175">
        <v>4156.0150000000003</v>
      </c>
      <c r="I46" s="175">
        <v>2941.2</v>
      </c>
      <c r="J46" s="175">
        <v>3258.5</v>
      </c>
      <c r="K46" s="175">
        <v>3329.2</v>
      </c>
      <c r="L46" s="175">
        <v>3321.2</v>
      </c>
      <c r="M46" s="175">
        <v>3154.3</v>
      </c>
      <c r="N46" s="183">
        <f>AVERAGE(B46:M46)</f>
        <v>3611.5926388888888</v>
      </c>
      <c r="O46" s="67"/>
      <c r="P46" s="67"/>
    </row>
    <row r="48" spans="1:18" x14ac:dyDescent="0.5">
      <c r="B48" s="188"/>
      <c r="C48" s="188"/>
      <c r="D48" s="188"/>
      <c r="E48" s="188"/>
      <c r="F48" s="188"/>
      <c r="G48" s="188"/>
      <c r="H48" s="188"/>
      <c r="I48" s="188"/>
      <c r="J48" s="188"/>
      <c r="K48" s="188"/>
      <c r="L48" s="188"/>
      <c r="M48" s="188"/>
    </row>
    <row r="49" spans="1:18" x14ac:dyDescent="0.5">
      <c r="E49" s="119"/>
      <c r="F49" s="1"/>
      <c r="G49" s="1"/>
      <c r="H49" s="1"/>
    </row>
    <row r="50" spans="1:18" x14ac:dyDescent="0.5">
      <c r="E50" s="120"/>
      <c r="F50" s="121"/>
      <c r="G50" s="122"/>
      <c r="H50" s="122"/>
    </row>
    <row r="51" spans="1:18" x14ac:dyDescent="0.5">
      <c r="E51" s="119"/>
      <c r="F51" s="1"/>
      <c r="G51" s="1"/>
      <c r="H51" s="1"/>
    </row>
    <row r="52" spans="1:18" x14ac:dyDescent="0.5">
      <c r="E52" s="120"/>
      <c r="F52" s="121"/>
      <c r="G52" s="122"/>
      <c r="H52" s="122"/>
    </row>
    <row r="53" spans="1:18" x14ac:dyDescent="0.5">
      <c r="E53" s="119"/>
      <c r="F53" s="1"/>
      <c r="G53" s="1"/>
      <c r="H53" s="1"/>
    </row>
    <row r="54" spans="1:18" s="9" customFormat="1" x14ac:dyDescent="0.5">
      <c r="A54" s="1"/>
      <c r="E54" s="120"/>
      <c r="F54" s="121"/>
      <c r="G54" s="122"/>
      <c r="H54" s="122"/>
      <c r="Q54" s="1"/>
      <c r="R54" s="1"/>
    </row>
  </sheetData>
  <mergeCells count="12">
    <mergeCell ref="A27:M27"/>
    <mergeCell ref="A30:M30"/>
    <mergeCell ref="A24:M24"/>
    <mergeCell ref="P6:P8"/>
    <mergeCell ref="P9:P10"/>
    <mergeCell ref="P14:P17"/>
    <mergeCell ref="A21:M21"/>
    <mergeCell ref="A32:M32"/>
    <mergeCell ref="A35:M35"/>
    <mergeCell ref="A38:M38"/>
    <mergeCell ref="A41:M41"/>
    <mergeCell ref="A44:M44"/>
  </mergeCells>
  <pageMargins left="0.7" right="0.7" top="0.75" bottom="0.75" header="0.3" footer="0.3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E36516-8C66-4B75-893D-D955AFEEFF9A}">
  <sheetPr>
    <tabColor theme="3" tint="0.79998168889431442"/>
  </sheetPr>
  <dimension ref="A1:V51"/>
  <sheetViews>
    <sheetView zoomScale="88" zoomScaleNormal="88" zoomScalePageLayoutView="112" workbookViewId="0">
      <selection activeCell="C20" sqref="C20"/>
    </sheetView>
  </sheetViews>
  <sheetFormatPr baseColWidth="10" defaultColWidth="10.6875" defaultRowHeight="15.75" x14ac:dyDescent="0.5"/>
  <cols>
    <col min="1" max="1" width="26.4375" style="1" bestFit="1" customWidth="1"/>
    <col min="2" max="5" width="10.8125" style="9" bestFit="1" customWidth="1"/>
    <col min="6" max="6" width="12.3125" style="9" customWidth="1"/>
    <col min="7" max="7" width="11.5" style="9" customWidth="1"/>
    <col min="8" max="8" width="11.25" style="9" customWidth="1"/>
    <col min="9" max="9" width="10.8125" style="9" bestFit="1" customWidth="1"/>
    <col min="10" max="10" width="10.9375" style="9" bestFit="1" customWidth="1"/>
    <col min="11" max="13" width="10.8125" style="9" bestFit="1" customWidth="1"/>
    <col min="14" max="14" width="12.875" style="9" bestFit="1" customWidth="1"/>
    <col min="15" max="15" width="14.375" style="9" customWidth="1"/>
    <col min="16" max="16" width="10.8125" style="9" bestFit="1" customWidth="1"/>
    <col min="17" max="17" width="34.4375" style="1" customWidth="1"/>
    <col min="18" max="16384" width="10.6875" style="1"/>
  </cols>
  <sheetData>
    <row r="1" spans="1:22" s="198" customFormat="1" ht="16.899999999999999" customHeight="1" thickBot="1" x14ac:dyDescent="0.55000000000000004">
      <c r="A1" s="213" t="s">
        <v>145</v>
      </c>
      <c r="B1" s="195" t="s">
        <v>1</v>
      </c>
      <c r="C1" s="195" t="s">
        <v>2</v>
      </c>
      <c r="D1" s="195" t="s">
        <v>3</v>
      </c>
      <c r="E1" s="195" t="s">
        <v>4</v>
      </c>
      <c r="F1" s="196" t="s">
        <v>5</v>
      </c>
      <c r="G1" s="195" t="s">
        <v>6</v>
      </c>
      <c r="H1" s="195" t="s">
        <v>7</v>
      </c>
      <c r="I1" s="195" t="s">
        <v>8</v>
      </c>
      <c r="J1" s="195" t="s">
        <v>9</v>
      </c>
      <c r="K1" s="195" t="s">
        <v>10</v>
      </c>
      <c r="L1" s="195" t="s">
        <v>11</v>
      </c>
      <c r="M1" s="195" t="s">
        <v>12</v>
      </c>
      <c r="N1" s="195" t="s">
        <v>13</v>
      </c>
      <c r="O1" s="195" t="s">
        <v>14</v>
      </c>
      <c r="P1" s="195" t="s">
        <v>15</v>
      </c>
      <c r="Q1" s="197"/>
      <c r="R1" s="197"/>
    </row>
    <row r="2" spans="1:22" s="198" customFormat="1" ht="16.899999999999999" customHeight="1" thickBot="1" x14ac:dyDescent="0.55000000000000004">
      <c r="A2" s="213" t="s">
        <v>136</v>
      </c>
      <c r="B2" s="215">
        <v>83742</v>
      </c>
      <c r="C2" s="215">
        <v>83928</v>
      </c>
      <c r="D2" s="215">
        <v>86462</v>
      </c>
      <c r="E2" s="215">
        <v>82848</v>
      </c>
      <c r="F2" s="216">
        <v>95364</v>
      </c>
      <c r="G2" s="215">
        <v>102736</v>
      </c>
      <c r="H2" s="215">
        <v>78755</v>
      </c>
      <c r="I2" s="215">
        <v>99705</v>
      </c>
      <c r="J2" s="215">
        <v>91486</v>
      </c>
      <c r="K2" s="215">
        <v>91190</v>
      </c>
      <c r="L2" s="215">
        <v>93195</v>
      </c>
      <c r="M2" s="215"/>
      <c r="N2" s="215">
        <f t="shared" ref="N2" si="0">SUM(B2:M2)</f>
        <v>989411</v>
      </c>
      <c r="O2" s="217">
        <f>N2/5</f>
        <v>197882.2</v>
      </c>
      <c r="P2" s="195"/>
      <c r="Q2" s="197"/>
      <c r="R2" s="197"/>
    </row>
    <row r="3" spans="1:22" s="198" customFormat="1" ht="16.899999999999999" customHeight="1" thickBot="1" x14ac:dyDescent="0.55000000000000004">
      <c r="A3" s="213" t="s">
        <v>137</v>
      </c>
      <c r="B3" s="215">
        <f>B2/1.21</f>
        <v>69208.264462809922</v>
      </c>
      <c r="C3" s="215">
        <f t="shared" ref="C3:M3" si="1">C2/1.21</f>
        <v>69361.983471074389</v>
      </c>
      <c r="D3" s="215">
        <f t="shared" si="1"/>
        <v>71456.198347107435</v>
      </c>
      <c r="E3" s="215">
        <f t="shared" si="1"/>
        <v>68469.421487603307</v>
      </c>
      <c r="F3" s="215">
        <f t="shared" si="1"/>
        <v>78813.223140495873</v>
      </c>
      <c r="G3" s="215">
        <f t="shared" si="1"/>
        <v>84905.78512396694</v>
      </c>
      <c r="H3" s="215">
        <f t="shared" si="1"/>
        <v>65086.776859504134</v>
      </c>
      <c r="I3" s="215">
        <f t="shared" si="1"/>
        <v>82400.826446280989</v>
      </c>
      <c r="J3" s="215">
        <f t="shared" si="1"/>
        <v>75608.264462809922</v>
      </c>
      <c r="K3" s="215">
        <f t="shared" si="1"/>
        <v>75363.636363636368</v>
      </c>
      <c r="L3" s="215">
        <f t="shared" si="1"/>
        <v>77020.661157024791</v>
      </c>
      <c r="M3" s="215">
        <f t="shared" si="1"/>
        <v>0</v>
      </c>
      <c r="N3" s="215">
        <f t="shared" ref="N3" si="2">SUM(B3:M3)</f>
        <v>817695.04132231406</v>
      </c>
      <c r="O3" s="217">
        <f>N3/5</f>
        <v>163539.00826446281</v>
      </c>
      <c r="P3" s="195"/>
      <c r="Q3" s="197"/>
      <c r="R3" s="197"/>
    </row>
    <row r="4" spans="1:22" ht="20.75" customHeight="1" thickBot="1" x14ac:dyDescent="0.55000000000000004">
      <c r="A4" s="214" t="s">
        <v>138</v>
      </c>
      <c r="B4" s="210">
        <f t="shared" ref="B4:M4" si="3">B13+B5</f>
        <v>68675.44</v>
      </c>
      <c r="C4" s="210">
        <f t="shared" si="3"/>
        <v>63861.299999999996</v>
      </c>
      <c r="D4" s="210">
        <f t="shared" si="3"/>
        <v>69820.739999999991</v>
      </c>
      <c r="E4" s="210">
        <f t="shared" si="3"/>
        <v>68775.66</v>
      </c>
      <c r="F4" s="210">
        <f t="shared" si="3"/>
        <v>82625.850000000006</v>
      </c>
      <c r="G4" s="210">
        <f t="shared" si="3"/>
        <v>81455.92</v>
      </c>
      <c r="H4" s="210">
        <f t="shared" si="3"/>
        <v>66386.070000000007</v>
      </c>
      <c r="I4" s="210">
        <f t="shared" si="3"/>
        <v>77686.350000000006</v>
      </c>
      <c r="J4" s="210">
        <f t="shared" si="3"/>
        <v>78564.179999999993</v>
      </c>
      <c r="K4" s="210">
        <f t="shared" si="3"/>
        <v>79751.179999999993</v>
      </c>
      <c r="L4" s="210">
        <f t="shared" si="3"/>
        <v>71690.01999999999</v>
      </c>
      <c r="M4" s="210">
        <f t="shared" si="3"/>
        <v>64302.069999999992</v>
      </c>
      <c r="N4" s="210">
        <f t="shared" ref="N4:N10" si="4">SUM(B4:M4)</f>
        <v>873594.77999999991</v>
      </c>
      <c r="O4" s="211">
        <f>N4/8</f>
        <v>109199.34749999999</v>
      </c>
      <c r="P4" s="212"/>
      <c r="Q4" s="55"/>
      <c r="R4" s="55"/>
    </row>
    <row r="5" spans="1:22" ht="20.75" customHeight="1" thickBot="1" x14ac:dyDescent="0.55000000000000004">
      <c r="A5" s="148" t="s">
        <v>16</v>
      </c>
      <c r="B5" s="149">
        <f>SUM(B6:B8)</f>
        <v>36465.5</v>
      </c>
      <c r="C5" s="149">
        <f t="shared" ref="C5:M5" si="5">SUM(C6:C8)</f>
        <v>34462.1</v>
      </c>
      <c r="D5" s="149">
        <f>SUM(D6:D8)</f>
        <v>39698.199999999997</v>
      </c>
      <c r="E5" s="149">
        <f t="shared" si="5"/>
        <v>34333.9</v>
      </c>
      <c r="F5" s="149">
        <f t="shared" si="5"/>
        <v>48106.3</v>
      </c>
      <c r="G5" s="149">
        <f t="shared" si="5"/>
        <v>51975.9</v>
      </c>
      <c r="H5" s="149">
        <f t="shared" si="5"/>
        <v>40575.4</v>
      </c>
      <c r="I5" s="149">
        <f t="shared" si="5"/>
        <v>55465.1</v>
      </c>
      <c r="J5" s="149">
        <f>SUM(J6:J8)</f>
        <v>51289.1</v>
      </c>
      <c r="K5" s="149">
        <f t="shared" si="5"/>
        <v>48877.06</v>
      </c>
      <c r="L5" s="149">
        <f t="shared" si="5"/>
        <v>43822.71</v>
      </c>
      <c r="M5" s="149">
        <f t="shared" si="5"/>
        <v>35225.979999999996</v>
      </c>
      <c r="N5" s="150">
        <f t="shared" si="4"/>
        <v>520297.24999999994</v>
      </c>
      <c r="O5" s="150">
        <f>N5/8</f>
        <v>65037.156249999993</v>
      </c>
      <c r="P5" s="150">
        <f>O5</f>
        <v>65037.156249999993</v>
      </c>
      <c r="Q5" s="55"/>
      <c r="R5" s="55"/>
    </row>
    <row r="6" spans="1:22" ht="20.75" customHeight="1" x14ac:dyDescent="0.5">
      <c r="A6" s="140" t="s">
        <v>17</v>
      </c>
      <c r="B6" s="141">
        <v>18476.5</v>
      </c>
      <c r="C6" s="143">
        <v>16463.099999999999</v>
      </c>
      <c r="D6" s="143">
        <v>21419.200000000001</v>
      </c>
      <c r="E6" s="143">
        <v>16389.900000000001</v>
      </c>
      <c r="F6" s="143">
        <v>22342.3</v>
      </c>
      <c r="G6" s="143">
        <v>24141.9</v>
      </c>
      <c r="H6" s="143">
        <v>20116.400000000001</v>
      </c>
      <c r="I6" s="143">
        <v>35726.1</v>
      </c>
      <c r="J6" s="143">
        <v>30960.1</v>
      </c>
      <c r="K6" s="143">
        <v>22773.06</v>
      </c>
      <c r="L6" s="142">
        <v>18084.71</v>
      </c>
      <c r="M6" s="142">
        <v>15636.98</v>
      </c>
      <c r="N6" s="144">
        <f t="shared" si="4"/>
        <v>262530.25</v>
      </c>
      <c r="O6" s="144">
        <f t="shared" ref="O6:O20" si="6">N6/5</f>
        <v>52506.05</v>
      </c>
      <c r="P6" s="230">
        <f>SUM(O6:O8)</f>
        <v>104059.45000000001</v>
      </c>
      <c r="Q6" s="55"/>
      <c r="R6" s="55"/>
    </row>
    <row r="7" spans="1:22" ht="20.75" customHeight="1" x14ac:dyDescent="0.5">
      <c r="A7" s="107" t="s">
        <v>18</v>
      </c>
      <c r="B7" s="124">
        <v>330</v>
      </c>
      <c r="C7" s="124">
        <v>340</v>
      </c>
      <c r="D7" s="124">
        <v>620</v>
      </c>
      <c r="E7" s="124">
        <v>285</v>
      </c>
      <c r="F7" s="124">
        <v>8105</v>
      </c>
      <c r="G7" s="124">
        <v>10175</v>
      </c>
      <c r="H7" s="124">
        <v>2800</v>
      </c>
      <c r="I7" s="124">
        <v>2080</v>
      </c>
      <c r="J7" s="124">
        <v>2670</v>
      </c>
      <c r="K7" s="124">
        <v>8445</v>
      </c>
      <c r="L7" s="64">
        <v>8079</v>
      </c>
      <c r="M7" s="64">
        <v>1930</v>
      </c>
      <c r="N7" s="130">
        <f t="shared" si="4"/>
        <v>45859</v>
      </c>
      <c r="O7" s="130">
        <f t="shared" si="6"/>
        <v>9171.7999999999993</v>
      </c>
      <c r="P7" s="231"/>
      <c r="Q7" s="55"/>
      <c r="R7" s="55"/>
    </row>
    <row r="8" spans="1:22" ht="20.75" customHeight="1" x14ac:dyDescent="0.5">
      <c r="A8" s="74" t="s">
        <v>19</v>
      </c>
      <c r="B8" s="124">
        <v>17659</v>
      </c>
      <c r="C8" s="124">
        <v>17659</v>
      </c>
      <c r="D8" s="124">
        <v>17659</v>
      </c>
      <c r="E8" s="124">
        <v>17659</v>
      </c>
      <c r="F8" s="124">
        <v>17659</v>
      </c>
      <c r="G8" s="124">
        <v>17659</v>
      </c>
      <c r="H8" s="124">
        <v>17659</v>
      </c>
      <c r="I8" s="124">
        <v>17659</v>
      </c>
      <c r="J8" s="124">
        <v>17659</v>
      </c>
      <c r="K8" s="124">
        <v>17659</v>
      </c>
      <c r="L8" s="64">
        <v>17659</v>
      </c>
      <c r="M8" s="64">
        <v>17659</v>
      </c>
      <c r="N8" s="130">
        <f t="shared" si="4"/>
        <v>211908</v>
      </c>
      <c r="O8" s="130">
        <f t="shared" si="6"/>
        <v>42381.599999999999</v>
      </c>
      <c r="P8" s="231"/>
      <c r="Q8" s="55"/>
      <c r="R8" s="55"/>
    </row>
    <row r="9" spans="1:22" ht="20.75" customHeight="1" x14ac:dyDescent="0.5">
      <c r="A9" s="35" t="s">
        <v>22</v>
      </c>
      <c r="B9" s="127">
        <v>37538.019999999997</v>
      </c>
      <c r="C9" s="127">
        <v>37015.120000000003</v>
      </c>
      <c r="D9" s="127">
        <v>35816.53</v>
      </c>
      <c r="E9" s="127">
        <v>39784.79</v>
      </c>
      <c r="F9" s="127">
        <v>35107.58</v>
      </c>
      <c r="G9" s="127">
        <v>37758.33</v>
      </c>
      <c r="H9" s="127">
        <v>50357.58</v>
      </c>
      <c r="I9" s="127">
        <v>36156.28</v>
      </c>
      <c r="J9" s="127">
        <v>37043.5</v>
      </c>
      <c r="K9" s="127">
        <v>35762.879999999997</v>
      </c>
      <c r="L9" s="127">
        <v>37893.71</v>
      </c>
      <c r="M9" s="134">
        <v>52791.39</v>
      </c>
      <c r="N9" s="218">
        <f t="shared" si="4"/>
        <v>473025.71</v>
      </c>
      <c r="O9" s="218">
        <f t="shared" si="6"/>
        <v>94605.142000000007</v>
      </c>
      <c r="P9" s="238">
        <f>-O9-O10</f>
        <v>-94845.142000000007</v>
      </c>
      <c r="Q9" s="55"/>
      <c r="R9" s="55"/>
      <c r="T9" s="1">
        <v>2420</v>
      </c>
      <c r="U9" s="1" t="s">
        <v>143</v>
      </c>
      <c r="V9" s="1">
        <v>2420</v>
      </c>
    </row>
    <row r="10" spans="1:22" ht="20.75" customHeight="1" thickBot="1" x14ac:dyDescent="0.55000000000000004">
      <c r="A10" s="158" t="s">
        <v>23</v>
      </c>
      <c r="B10" s="159">
        <v>100</v>
      </c>
      <c r="C10" s="159">
        <v>100</v>
      </c>
      <c r="D10" s="159">
        <v>100</v>
      </c>
      <c r="E10" s="159">
        <v>100</v>
      </c>
      <c r="F10" s="159">
        <v>100</v>
      </c>
      <c r="G10" s="159">
        <v>100</v>
      </c>
      <c r="H10" s="159">
        <v>100</v>
      </c>
      <c r="I10" s="159">
        <v>100</v>
      </c>
      <c r="J10" s="159">
        <v>100</v>
      </c>
      <c r="K10" s="159">
        <v>100</v>
      </c>
      <c r="L10" s="159">
        <v>100</v>
      </c>
      <c r="M10" s="159">
        <v>100</v>
      </c>
      <c r="N10" s="219">
        <f t="shared" si="4"/>
        <v>1200</v>
      </c>
      <c r="O10" s="219">
        <f t="shared" si="6"/>
        <v>240</v>
      </c>
      <c r="P10" s="238"/>
      <c r="Q10" s="55"/>
      <c r="R10" s="55"/>
      <c r="T10" s="1">
        <v>2720</v>
      </c>
      <c r="U10" s="1" t="s">
        <v>144</v>
      </c>
      <c r="V10" s="1">
        <f>T10*5</f>
        <v>13600</v>
      </c>
    </row>
    <row r="11" spans="1:22" ht="20.75" customHeight="1" thickBot="1" x14ac:dyDescent="0.55000000000000004">
      <c r="A11" s="204" t="s">
        <v>26</v>
      </c>
      <c r="B11" s="154">
        <f>B5-B9-B10</f>
        <v>-1172.5199999999968</v>
      </c>
      <c r="C11" s="154">
        <f t="shared" ref="C11:M11" si="7">C5-C9-C10</f>
        <v>-2653.0200000000041</v>
      </c>
      <c r="D11" s="154">
        <f t="shared" si="7"/>
        <v>3781.6699999999983</v>
      </c>
      <c r="E11" s="154">
        <f t="shared" si="7"/>
        <v>-5550.8899999999994</v>
      </c>
      <c r="F11" s="154">
        <f t="shared" si="7"/>
        <v>12898.720000000001</v>
      </c>
      <c r="G11" s="154">
        <f t="shared" si="7"/>
        <v>14117.57</v>
      </c>
      <c r="H11" s="154">
        <f t="shared" si="7"/>
        <v>-9882.18</v>
      </c>
      <c r="I11" s="154">
        <f t="shared" si="7"/>
        <v>19208.82</v>
      </c>
      <c r="J11" s="154">
        <f t="shared" si="7"/>
        <v>14145.599999999999</v>
      </c>
      <c r="K11" s="154">
        <f t="shared" si="7"/>
        <v>13014.18</v>
      </c>
      <c r="L11" s="154">
        <f t="shared" si="7"/>
        <v>5829</v>
      </c>
      <c r="M11" s="154">
        <f t="shared" si="7"/>
        <v>-17665.410000000003</v>
      </c>
      <c r="N11" s="155">
        <f>N5-N9-N10</f>
        <v>46071.539999999921</v>
      </c>
      <c r="O11" s="155">
        <f t="shared" si="6"/>
        <v>9214.3079999999845</v>
      </c>
      <c r="P11" s="101"/>
      <c r="Q11" s="55"/>
      <c r="R11" s="55"/>
    </row>
    <row r="12" spans="1:22" ht="13.15" customHeight="1" thickBot="1" x14ac:dyDescent="0.55000000000000004">
      <c r="A12" s="47"/>
      <c r="B12" s="42"/>
      <c r="C12" s="42"/>
      <c r="D12" s="42"/>
      <c r="E12" s="42"/>
      <c r="F12" s="42"/>
      <c r="G12" s="42"/>
      <c r="H12" s="77"/>
      <c r="I12" s="42"/>
      <c r="J12" s="42"/>
      <c r="K12" s="42"/>
      <c r="L12" s="42"/>
      <c r="M12" s="42"/>
      <c r="N12" s="46"/>
      <c r="O12" s="46"/>
      <c r="P12" s="46"/>
      <c r="Q12" s="55"/>
      <c r="R12" s="55"/>
    </row>
    <row r="13" spans="1:22" ht="20.75" customHeight="1" thickBot="1" x14ac:dyDescent="0.55000000000000004">
      <c r="A13" s="148" t="s">
        <v>27</v>
      </c>
      <c r="B13" s="149">
        <f t="shared" ref="B13:D13" si="8">SUM(B14:B17)</f>
        <v>32209.940000000002</v>
      </c>
      <c r="C13" s="149">
        <f t="shared" si="8"/>
        <v>29399.199999999997</v>
      </c>
      <c r="D13" s="149">
        <f t="shared" si="8"/>
        <v>30122.54</v>
      </c>
      <c r="E13" s="149">
        <f>SUM(E14:E17)</f>
        <v>34441.760000000002</v>
      </c>
      <c r="F13" s="149">
        <f t="shared" ref="F13:M13" si="9">SUM(F14:F17)</f>
        <v>34519.550000000003</v>
      </c>
      <c r="G13" s="149">
        <f t="shared" si="9"/>
        <v>29480.02</v>
      </c>
      <c r="H13" s="149">
        <f t="shared" si="9"/>
        <v>25810.67</v>
      </c>
      <c r="I13" s="149">
        <f t="shared" si="9"/>
        <v>22221.25</v>
      </c>
      <c r="J13" s="149">
        <f t="shared" si="9"/>
        <v>27275.08</v>
      </c>
      <c r="K13" s="149">
        <f t="shared" si="9"/>
        <v>30874.12</v>
      </c>
      <c r="L13" s="149">
        <f t="shared" si="9"/>
        <v>27867.309999999998</v>
      </c>
      <c r="M13" s="149">
        <f t="shared" si="9"/>
        <v>29076.09</v>
      </c>
      <c r="N13" s="150">
        <f t="shared" ref="N13:N18" si="10">SUM(B13:M13)</f>
        <v>353297.53</v>
      </c>
      <c r="O13" s="150">
        <f t="shared" si="6"/>
        <v>70659.506000000008</v>
      </c>
      <c r="P13" s="150">
        <f>O13</f>
        <v>70659.506000000008</v>
      </c>
      <c r="Q13" s="55"/>
      <c r="R13" s="55"/>
      <c r="T13" s="1">
        <v>2650</v>
      </c>
      <c r="V13" s="1">
        <f>T13*5</f>
        <v>13250</v>
      </c>
    </row>
    <row r="14" spans="1:22" ht="20.75" customHeight="1" x14ac:dyDescent="0.5">
      <c r="A14" s="140" t="s">
        <v>28</v>
      </c>
      <c r="B14" s="141">
        <v>10548</v>
      </c>
      <c r="C14" s="141">
        <v>7432</v>
      </c>
      <c r="D14" s="141">
        <v>8623</v>
      </c>
      <c r="E14" s="143">
        <v>7206</v>
      </c>
      <c r="F14" s="143">
        <v>12500</v>
      </c>
      <c r="G14" s="143">
        <v>9650</v>
      </c>
      <c r="H14" s="143">
        <v>7691</v>
      </c>
      <c r="I14" s="143">
        <v>3804</v>
      </c>
      <c r="J14" s="143">
        <v>6167</v>
      </c>
      <c r="K14" s="143">
        <v>7952.74</v>
      </c>
      <c r="L14" s="142">
        <v>7086</v>
      </c>
      <c r="M14" s="142">
        <v>5886</v>
      </c>
      <c r="N14" s="144">
        <f>SUM(B14:M14)</f>
        <v>94545.74</v>
      </c>
      <c r="O14" s="144">
        <f t="shared" si="6"/>
        <v>18909.148000000001</v>
      </c>
      <c r="P14" s="236">
        <f>SUM(O14:O17)</f>
        <v>70659.506000000008</v>
      </c>
      <c r="Q14" s="55"/>
      <c r="R14" s="55"/>
    </row>
    <row r="15" spans="1:22" ht="20.75" customHeight="1" x14ac:dyDescent="0.5">
      <c r="A15" s="107" t="s">
        <v>131</v>
      </c>
      <c r="B15" s="123">
        <v>5373.9</v>
      </c>
      <c r="C15" s="168">
        <v>4650.12</v>
      </c>
      <c r="D15" s="168">
        <v>3101.16</v>
      </c>
      <c r="E15" s="139">
        <v>9250.36</v>
      </c>
      <c r="F15" s="139">
        <v>4035.01</v>
      </c>
      <c r="G15" s="187">
        <v>2657.28</v>
      </c>
      <c r="H15" s="124">
        <v>0</v>
      </c>
      <c r="I15" s="124">
        <v>1116.8399999999999</v>
      </c>
      <c r="J15" s="124">
        <v>2498.8200000000002</v>
      </c>
      <c r="K15" s="124">
        <v>3278.39</v>
      </c>
      <c r="L15" s="64">
        <v>3076.96</v>
      </c>
      <c r="M15" s="64">
        <v>4989.08</v>
      </c>
      <c r="N15" s="135">
        <f t="shared" si="10"/>
        <v>44027.920000000006</v>
      </c>
      <c r="O15" s="130">
        <f t="shared" si="6"/>
        <v>8805.5840000000007</v>
      </c>
      <c r="P15" s="237"/>
      <c r="Q15" s="55"/>
      <c r="R15" s="55"/>
    </row>
    <row r="16" spans="1:22" ht="20.75" customHeight="1" x14ac:dyDescent="0.5">
      <c r="A16" s="107" t="s">
        <v>130</v>
      </c>
      <c r="B16" s="123">
        <v>268.04000000000002</v>
      </c>
      <c r="C16" s="168">
        <v>1297.08</v>
      </c>
      <c r="D16" s="168">
        <v>2378.38</v>
      </c>
      <c r="E16" s="193">
        <v>1965.4</v>
      </c>
      <c r="F16" s="139">
        <v>1964.54</v>
      </c>
      <c r="G16" s="187">
        <v>1152.74</v>
      </c>
      <c r="H16" s="124">
        <v>2099.67</v>
      </c>
      <c r="I16" s="124">
        <v>1280.4100000000001</v>
      </c>
      <c r="J16" s="124">
        <v>2589.2600000000002</v>
      </c>
      <c r="K16" s="124">
        <v>3622.99</v>
      </c>
      <c r="L16" s="64">
        <v>1684.35</v>
      </c>
      <c r="M16" s="64">
        <v>2181.0100000000002</v>
      </c>
      <c r="N16" s="135">
        <f t="shared" si="10"/>
        <v>22483.870000000003</v>
      </c>
      <c r="O16" s="130">
        <f t="shared" si="6"/>
        <v>4496.7740000000003</v>
      </c>
      <c r="P16" s="237"/>
      <c r="Q16" s="55"/>
      <c r="R16" s="55"/>
    </row>
    <row r="17" spans="1:18" ht="20.75" customHeight="1" x14ac:dyDescent="0.5">
      <c r="A17" s="100" t="s">
        <v>19</v>
      </c>
      <c r="B17" s="124">
        <v>16020</v>
      </c>
      <c r="C17" s="124">
        <v>16020</v>
      </c>
      <c r="D17" s="124">
        <v>16020</v>
      </c>
      <c r="E17" s="124">
        <v>16020</v>
      </c>
      <c r="F17" s="124">
        <v>16020</v>
      </c>
      <c r="G17" s="124">
        <v>16020</v>
      </c>
      <c r="H17" s="124">
        <v>16020</v>
      </c>
      <c r="I17" s="124">
        <v>16020</v>
      </c>
      <c r="J17" s="136">
        <v>16020</v>
      </c>
      <c r="K17" s="136">
        <v>16020</v>
      </c>
      <c r="L17" s="177">
        <v>16020</v>
      </c>
      <c r="M17" s="177">
        <v>16020</v>
      </c>
      <c r="N17" s="130">
        <f>SUM(B17:M17)</f>
        <v>192240</v>
      </c>
      <c r="O17" s="130">
        <f t="shared" si="6"/>
        <v>38448</v>
      </c>
      <c r="P17" s="230"/>
      <c r="Q17" s="55"/>
      <c r="R17" s="55"/>
    </row>
    <row r="18" spans="1:18" ht="20.75" customHeight="1" thickBot="1" x14ac:dyDescent="0.55000000000000004">
      <c r="A18" s="35" t="s">
        <v>33</v>
      </c>
      <c r="B18" s="127">
        <v>23769.62</v>
      </c>
      <c r="C18" s="127">
        <v>22294.69</v>
      </c>
      <c r="D18" s="127">
        <v>25148.42</v>
      </c>
      <c r="E18" s="127">
        <v>23345.5</v>
      </c>
      <c r="F18" s="127">
        <v>23506.23</v>
      </c>
      <c r="G18" s="127">
        <v>23612.46</v>
      </c>
      <c r="H18" s="127">
        <v>38960.71</v>
      </c>
      <c r="I18" s="127">
        <v>32389.42</v>
      </c>
      <c r="J18" s="127">
        <v>23151.52</v>
      </c>
      <c r="K18" s="127">
        <v>22691.62</v>
      </c>
      <c r="L18" s="127">
        <v>20455.400000000001</v>
      </c>
      <c r="M18" s="134">
        <v>39799.47</v>
      </c>
      <c r="N18" s="218">
        <f t="shared" si="10"/>
        <v>319125.05999999994</v>
      </c>
      <c r="O18" s="218">
        <f t="shared" si="6"/>
        <v>63825.011999999988</v>
      </c>
      <c r="P18" s="218">
        <f>-O18-19</f>
        <v>-63844.011999999988</v>
      </c>
      <c r="Q18" s="55"/>
      <c r="R18" s="55"/>
    </row>
    <row r="19" spans="1:18" ht="20.75" customHeight="1" thickBot="1" x14ac:dyDescent="0.55000000000000004">
      <c r="A19" s="153" t="s">
        <v>35</v>
      </c>
      <c r="B19" s="154">
        <f>B13-B18</f>
        <v>8440.3200000000033</v>
      </c>
      <c r="C19" s="154">
        <f t="shared" ref="C19:M19" si="11">C13-C18</f>
        <v>7104.5099999999984</v>
      </c>
      <c r="D19" s="154">
        <f t="shared" si="11"/>
        <v>4974.1200000000026</v>
      </c>
      <c r="E19" s="154">
        <f t="shared" si="11"/>
        <v>11096.260000000002</v>
      </c>
      <c r="F19" s="154">
        <f t="shared" si="11"/>
        <v>11013.320000000003</v>
      </c>
      <c r="G19" s="154">
        <f t="shared" si="11"/>
        <v>5867.5600000000013</v>
      </c>
      <c r="H19" s="154">
        <f t="shared" si="11"/>
        <v>-13150.04</v>
      </c>
      <c r="I19" s="154">
        <f t="shared" si="11"/>
        <v>-10168.169999999998</v>
      </c>
      <c r="J19" s="154">
        <f t="shared" si="11"/>
        <v>4123.5600000000013</v>
      </c>
      <c r="K19" s="154">
        <f t="shared" si="11"/>
        <v>8182.5</v>
      </c>
      <c r="L19" s="154">
        <f t="shared" si="11"/>
        <v>7411.9099999999962</v>
      </c>
      <c r="M19" s="154">
        <f t="shared" si="11"/>
        <v>-10723.380000000001</v>
      </c>
      <c r="N19" s="155">
        <f>N13-N18</f>
        <v>34172.470000000088</v>
      </c>
      <c r="O19" s="155">
        <f t="shared" si="6"/>
        <v>6834.4940000000179</v>
      </c>
      <c r="P19" s="101"/>
      <c r="Q19" s="55"/>
      <c r="R19" s="55"/>
    </row>
    <row r="20" spans="1:18" ht="20.75" customHeight="1" thickBot="1" x14ac:dyDescent="0.55000000000000004">
      <c r="A20" s="156" t="s">
        <v>36</v>
      </c>
      <c r="B20" s="157">
        <f>B11+B19</f>
        <v>7267.8000000000065</v>
      </c>
      <c r="C20" s="157">
        <f t="shared" ref="C20:M20" si="12">C11+C19</f>
        <v>4451.4899999999943</v>
      </c>
      <c r="D20" s="157">
        <f t="shared" si="12"/>
        <v>8755.7900000000009</v>
      </c>
      <c r="E20" s="157">
        <f t="shared" si="12"/>
        <v>5545.3700000000026</v>
      </c>
      <c r="F20" s="157">
        <f t="shared" si="12"/>
        <v>23912.040000000005</v>
      </c>
      <c r="G20" s="157">
        <f t="shared" si="12"/>
        <v>19985.13</v>
      </c>
      <c r="H20" s="157">
        <f t="shared" si="12"/>
        <v>-23032.22</v>
      </c>
      <c r="I20" s="157">
        <f t="shared" si="12"/>
        <v>9040.6500000000015</v>
      </c>
      <c r="J20" s="157">
        <f t="shared" si="12"/>
        <v>18269.16</v>
      </c>
      <c r="K20" s="157">
        <f t="shared" si="12"/>
        <v>21196.68</v>
      </c>
      <c r="L20" s="157">
        <f t="shared" si="12"/>
        <v>13240.909999999996</v>
      </c>
      <c r="M20" s="157">
        <f t="shared" si="12"/>
        <v>-28388.790000000005</v>
      </c>
      <c r="N20" s="157">
        <f>N11+N19</f>
        <v>80244.010000000009</v>
      </c>
      <c r="O20" s="157">
        <f t="shared" si="6"/>
        <v>16048.802000000001</v>
      </c>
      <c r="P20" s="104"/>
      <c r="Q20" s="55"/>
      <c r="R20" s="55"/>
    </row>
    <row r="21" spans="1:18" ht="12.7" customHeight="1" x14ac:dyDescent="0.5">
      <c r="A21" s="235">
        <v>2025</v>
      </c>
      <c r="B21" s="235"/>
      <c r="C21" s="235"/>
      <c r="D21" s="235"/>
      <c r="E21" s="235"/>
      <c r="F21" s="235"/>
      <c r="G21" s="235"/>
      <c r="H21" s="235"/>
      <c r="I21" s="235"/>
      <c r="J21" s="235"/>
      <c r="K21" s="235"/>
      <c r="L21" s="235"/>
      <c r="M21" s="235"/>
      <c r="N21" s="181"/>
      <c r="O21" s="182"/>
      <c r="P21" s="104"/>
      <c r="Q21" s="55"/>
      <c r="R21" s="55"/>
    </row>
    <row r="22" spans="1:18" ht="12.7" customHeight="1" x14ac:dyDescent="0.5">
      <c r="A22" s="110" t="s">
        <v>37</v>
      </c>
      <c r="B22" s="111">
        <f>B13/6</f>
        <v>5368.3233333333337</v>
      </c>
      <c r="C22" s="111">
        <f>C13/6</f>
        <v>4899.8666666666659</v>
      </c>
      <c r="D22" s="111">
        <f t="shared" ref="D22:M22" si="13">D13/6</f>
        <v>5020.4233333333332</v>
      </c>
      <c r="E22" s="111">
        <f t="shared" si="13"/>
        <v>5740.293333333334</v>
      </c>
      <c r="F22" s="111">
        <f t="shared" si="13"/>
        <v>5753.2583333333341</v>
      </c>
      <c r="G22" s="111">
        <f t="shared" si="13"/>
        <v>4913.336666666667</v>
      </c>
      <c r="H22" s="111">
        <f t="shared" si="13"/>
        <v>4301.7783333333327</v>
      </c>
      <c r="I22" s="111">
        <f t="shared" si="13"/>
        <v>3703.5416666666665</v>
      </c>
      <c r="J22" s="111">
        <f t="shared" si="13"/>
        <v>4545.8466666666673</v>
      </c>
      <c r="K22" s="111">
        <f t="shared" si="13"/>
        <v>5145.6866666666665</v>
      </c>
      <c r="L22" s="111">
        <f t="shared" si="13"/>
        <v>4644.5516666666663</v>
      </c>
      <c r="M22" s="111">
        <f t="shared" si="13"/>
        <v>4846.0150000000003</v>
      </c>
      <c r="N22" s="183">
        <f>AVERAGE(B22:M22)</f>
        <v>4906.9101388888885</v>
      </c>
      <c r="O22" s="182"/>
      <c r="P22" s="104"/>
      <c r="Q22" s="55"/>
      <c r="R22" s="55"/>
    </row>
    <row r="23" spans="1:18" ht="12.7" customHeight="1" thickBot="1" x14ac:dyDescent="0.55000000000000004">
      <c r="A23" s="174" t="s">
        <v>38</v>
      </c>
      <c r="B23" s="175">
        <f>B13/7</f>
        <v>4601.42</v>
      </c>
      <c r="C23" s="175">
        <f>C13/7</f>
        <v>4199.8857142857141</v>
      </c>
      <c r="D23" s="175">
        <f>D13/7</f>
        <v>4303.22</v>
      </c>
      <c r="E23" s="175">
        <f>E13/6</f>
        <v>5740.293333333334</v>
      </c>
      <c r="F23" s="175">
        <f>F13/6</f>
        <v>5753.2583333333341</v>
      </c>
      <c r="G23" s="175">
        <f t="shared" ref="G23:H23" si="14">G13/7</f>
        <v>4211.431428571429</v>
      </c>
      <c r="H23" s="175">
        <f t="shared" si="14"/>
        <v>3687.238571428571</v>
      </c>
      <c r="I23" s="175">
        <f>I13/6</f>
        <v>3703.5416666666665</v>
      </c>
      <c r="J23" s="175">
        <f>J13/6</f>
        <v>4545.8466666666673</v>
      </c>
      <c r="K23" s="175">
        <f>K13/6</f>
        <v>5145.6866666666665</v>
      </c>
      <c r="L23" s="175">
        <f>L13/6</f>
        <v>4644.5516666666663</v>
      </c>
      <c r="M23" s="175">
        <f>M13/6</f>
        <v>4846.0150000000003</v>
      </c>
      <c r="N23" s="183">
        <f>AVERAGE(B23:M23)</f>
        <v>4615.1990873015875</v>
      </c>
      <c r="O23" s="182"/>
      <c r="P23" s="104"/>
      <c r="Q23" s="55"/>
      <c r="R23" s="55"/>
    </row>
    <row r="24" spans="1:18" ht="11.55" customHeight="1" x14ac:dyDescent="0.5">
      <c r="A24" s="235">
        <v>2024</v>
      </c>
      <c r="B24" s="235"/>
      <c r="C24" s="235"/>
      <c r="D24" s="235"/>
      <c r="E24" s="235"/>
      <c r="F24" s="235"/>
      <c r="G24" s="235"/>
      <c r="H24" s="235"/>
      <c r="I24" s="235"/>
      <c r="J24" s="235"/>
      <c r="K24" s="235"/>
      <c r="L24" s="235"/>
      <c r="M24" s="235"/>
      <c r="N24" s="181"/>
      <c r="O24" s="182"/>
      <c r="P24" s="104"/>
      <c r="Q24" s="55"/>
      <c r="R24" s="55"/>
    </row>
    <row r="25" spans="1:18" ht="11.55" customHeight="1" x14ac:dyDescent="0.5">
      <c r="A25" s="110" t="s">
        <v>37</v>
      </c>
      <c r="B25" s="111">
        <v>4237.0199999999995</v>
      </c>
      <c r="C25" s="111">
        <v>5684.7366666666667</v>
      </c>
      <c r="D25" s="111">
        <v>6372.7483333333339</v>
      </c>
      <c r="E25" s="111">
        <v>5638.7599999999993</v>
      </c>
      <c r="F25" s="111">
        <v>4955.78</v>
      </c>
      <c r="G25" s="111">
        <v>4682.4383333333335</v>
      </c>
      <c r="H25" s="111">
        <v>4997.3483333333334</v>
      </c>
      <c r="I25" s="111">
        <v>4840.5233333333335</v>
      </c>
      <c r="J25" s="111">
        <v>4739.793333333334</v>
      </c>
      <c r="K25" s="111">
        <v>5702.375</v>
      </c>
      <c r="L25" s="111">
        <v>5308.7033333333338</v>
      </c>
      <c r="M25" s="111">
        <v>4544.8433333333332</v>
      </c>
      <c r="N25" s="183">
        <f>AVERAGE(B25:M25)</f>
        <v>5142.0891666666657</v>
      </c>
      <c r="O25" s="182"/>
      <c r="P25" s="104"/>
      <c r="Q25" s="55"/>
      <c r="R25" s="55"/>
    </row>
    <row r="26" spans="1:18" ht="13.05" customHeight="1" thickBot="1" x14ac:dyDescent="0.55000000000000004">
      <c r="A26" s="174" t="s">
        <v>38</v>
      </c>
      <c r="B26" s="175">
        <v>3631.7314285714283</v>
      </c>
      <c r="C26" s="175">
        <v>4872.6314285714279</v>
      </c>
      <c r="D26" s="175">
        <v>5462.3557142857153</v>
      </c>
      <c r="E26" s="175">
        <v>5638.7599999999993</v>
      </c>
      <c r="F26" s="175">
        <v>4955.78</v>
      </c>
      <c r="G26" s="175">
        <v>4013.5185714285717</v>
      </c>
      <c r="H26" s="175">
        <v>4283.4414285714283</v>
      </c>
      <c r="I26" s="175">
        <v>4149.0199999999995</v>
      </c>
      <c r="J26" s="175">
        <v>4062.6800000000003</v>
      </c>
      <c r="K26" s="175">
        <v>4887.75</v>
      </c>
      <c r="L26" s="175">
        <v>4550.3171428571432</v>
      </c>
      <c r="M26" s="175">
        <v>3895.5800000000004</v>
      </c>
      <c r="N26" s="183">
        <f>AVERAGE(B26:M26)</f>
        <v>4533.6304761904767</v>
      </c>
      <c r="O26" s="182"/>
      <c r="P26" s="104"/>
      <c r="Q26" s="55"/>
      <c r="R26" s="55"/>
    </row>
    <row r="27" spans="1:18" ht="12.95" customHeight="1" x14ac:dyDescent="0.5">
      <c r="A27" s="235">
        <v>2023</v>
      </c>
      <c r="B27" s="235"/>
      <c r="C27" s="235"/>
      <c r="D27" s="235"/>
      <c r="E27" s="235"/>
      <c r="F27" s="235"/>
      <c r="G27" s="235"/>
      <c r="H27" s="235"/>
      <c r="I27" s="235"/>
      <c r="J27" s="235"/>
      <c r="K27" s="235"/>
      <c r="L27" s="235"/>
      <c r="M27" s="235"/>
      <c r="N27" s="181"/>
      <c r="O27" s="182"/>
      <c r="P27" s="104"/>
      <c r="Q27" s="55"/>
      <c r="R27" s="55"/>
    </row>
    <row r="28" spans="1:18" ht="12.95" customHeight="1" x14ac:dyDescent="0.5">
      <c r="A28" s="110" t="s">
        <v>37</v>
      </c>
      <c r="B28" s="111">
        <v>4415.4666666666672</v>
      </c>
      <c r="C28" s="111">
        <v>5987.4500000000007</v>
      </c>
      <c r="D28" s="111">
        <v>5629.835</v>
      </c>
      <c r="E28" s="111">
        <v>5408.2433333333338</v>
      </c>
      <c r="F28" s="111">
        <v>5454.4866666666667</v>
      </c>
      <c r="G28" s="111">
        <v>6282.9949999999999</v>
      </c>
      <c r="H28" s="111">
        <v>4504.0583333333334</v>
      </c>
      <c r="I28" s="111">
        <v>3949.6516666666666</v>
      </c>
      <c r="J28" s="111">
        <v>3389.2916666666665</v>
      </c>
      <c r="K28" s="111">
        <v>4614.1400000000003</v>
      </c>
      <c r="L28" s="111">
        <v>4708.166666666667</v>
      </c>
      <c r="M28" s="111">
        <v>3404.41</v>
      </c>
      <c r="N28" s="183">
        <f>AVERAGE(B28:M28)</f>
        <v>4812.3495833333327</v>
      </c>
      <c r="O28" s="182"/>
      <c r="P28" s="104"/>
      <c r="Q28" s="55"/>
      <c r="R28" s="55"/>
    </row>
    <row r="29" spans="1:18" ht="12.95" customHeight="1" x14ac:dyDescent="0.5">
      <c r="A29" s="234">
        <v>2022</v>
      </c>
      <c r="B29" s="234"/>
      <c r="C29" s="234"/>
      <c r="D29" s="234"/>
      <c r="E29" s="234"/>
      <c r="F29" s="234"/>
      <c r="G29" s="234"/>
      <c r="H29" s="234"/>
      <c r="I29" s="234"/>
      <c r="J29" s="234"/>
      <c r="K29" s="234"/>
      <c r="L29" s="234"/>
      <c r="M29" s="234"/>
      <c r="N29" s="181"/>
      <c r="O29" s="182"/>
      <c r="P29" s="104"/>
      <c r="Q29" s="55"/>
      <c r="R29" s="55"/>
    </row>
    <row r="30" spans="1:18" ht="12.95" customHeight="1" x14ac:dyDescent="0.5">
      <c r="A30" s="110" t="s">
        <v>37</v>
      </c>
      <c r="B30" s="111">
        <v>3528.86</v>
      </c>
      <c r="C30" s="111">
        <v>4743.8683333333329</v>
      </c>
      <c r="D30" s="111">
        <v>4278.9733333333334</v>
      </c>
      <c r="E30" s="111">
        <v>4425.2599999999993</v>
      </c>
      <c r="F30" s="111">
        <v>3711.8016666666667</v>
      </c>
      <c r="G30" s="111">
        <v>4317.1283333333331</v>
      </c>
      <c r="H30" s="111">
        <v>4388.46</v>
      </c>
      <c r="I30" s="111">
        <v>4257.1083333333327</v>
      </c>
      <c r="J30" s="111">
        <v>4399</v>
      </c>
      <c r="K30" s="111">
        <v>5504.7650000000003</v>
      </c>
      <c r="L30" s="111">
        <v>5053.2599999999993</v>
      </c>
      <c r="M30" s="111">
        <v>4629.6283333333331</v>
      </c>
      <c r="N30" s="183">
        <f>AVERAGE(B30:M30)</f>
        <v>4436.5094444444449</v>
      </c>
      <c r="O30" s="182"/>
      <c r="P30" s="104"/>
      <c r="Q30" s="55"/>
      <c r="R30" s="55"/>
    </row>
    <row r="31" spans="1:18" ht="12.95" customHeight="1" x14ac:dyDescent="0.5">
      <c r="A31" s="174" t="s">
        <v>38</v>
      </c>
      <c r="B31" s="175">
        <v>2646.645</v>
      </c>
      <c r="C31" s="175">
        <v>4066.1728571428571</v>
      </c>
      <c r="D31" s="175">
        <v>3667.6914285714288</v>
      </c>
      <c r="E31" s="175">
        <v>3793.0799999999995</v>
      </c>
      <c r="F31" s="175">
        <v>3181.5442857142857</v>
      </c>
      <c r="G31" s="175">
        <v>3700.3957142857143</v>
      </c>
      <c r="H31" s="175">
        <v>3761.5371428571425</v>
      </c>
      <c r="I31" s="175">
        <v>3648.95</v>
      </c>
      <c r="J31" s="175">
        <v>3770.5714285714284</v>
      </c>
      <c r="K31" s="175">
        <v>4718.3700000000008</v>
      </c>
      <c r="L31" s="175">
        <v>5053.2599999999993</v>
      </c>
      <c r="M31" s="175">
        <v>4629.6283333333331</v>
      </c>
      <c r="N31" s="183">
        <f>AVERAGE(B31:M31)</f>
        <v>3886.4871825396826</v>
      </c>
      <c r="O31" s="182"/>
      <c r="P31" s="104"/>
      <c r="Q31" s="55"/>
      <c r="R31" s="55"/>
    </row>
    <row r="32" spans="1:18" ht="12.95" customHeight="1" x14ac:dyDescent="0.5">
      <c r="A32" s="234">
        <v>2021</v>
      </c>
      <c r="B32" s="234"/>
      <c r="C32" s="234"/>
      <c r="D32" s="234"/>
      <c r="E32" s="234"/>
      <c r="F32" s="234"/>
      <c r="G32" s="234"/>
      <c r="H32" s="234"/>
      <c r="I32" s="234"/>
      <c r="J32" s="234"/>
      <c r="K32" s="234"/>
      <c r="L32" s="234"/>
      <c r="M32" s="234"/>
      <c r="N32" s="181"/>
      <c r="O32" s="182"/>
      <c r="P32" s="104"/>
      <c r="Q32" s="55"/>
      <c r="R32" s="55"/>
    </row>
    <row r="33" spans="1:18" ht="12.95" customHeight="1" x14ac:dyDescent="0.5">
      <c r="A33" s="110" t="s">
        <v>37</v>
      </c>
      <c r="B33" s="111">
        <v>4029.0116666666672</v>
      </c>
      <c r="C33" s="111">
        <v>4296.8783333333331</v>
      </c>
      <c r="D33" s="111">
        <v>4763.7883333333339</v>
      </c>
      <c r="E33" s="111">
        <v>3588.3616666666662</v>
      </c>
      <c r="F33" s="111">
        <v>3609.6149999999998</v>
      </c>
      <c r="G33" s="111">
        <v>4665.8866666666663</v>
      </c>
      <c r="H33" s="111">
        <v>4321.2616666666663</v>
      </c>
      <c r="I33" s="111">
        <v>3657.5416666666665</v>
      </c>
      <c r="J33" s="111">
        <v>4442.6883333333326</v>
      </c>
      <c r="K33" s="111">
        <v>5294.7616666666672</v>
      </c>
      <c r="L33" s="111">
        <v>4674.8283333333338</v>
      </c>
      <c r="M33" s="111">
        <v>3984.1666666666665</v>
      </c>
      <c r="N33" s="183">
        <f>AVERAGE(B33:M33)</f>
        <v>4277.3991666666652</v>
      </c>
      <c r="O33" s="182"/>
      <c r="P33" s="104"/>
      <c r="Q33" s="55"/>
      <c r="R33" s="55"/>
    </row>
    <row r="34" spans="1:18" ht="12.95" customHeight="1" x14ac:dyDescent="0.5">
      <c r="A34" s="174" t="s">
        <v>39</v>
      </c>
      <c r="B34" s="175">
        <v>3581.3437037037043</v>
      </c>
      <c r="C34" s="175">
        <v>3966.3492307692309</v>
      </c>
      <c r="D34" s="175">
        <v>4763.7883333333339</v>
      </c>
      <c r="E34" s="175">
        <v>3189.6548148148145</v>
      </c>
      <c r="F34" s="175">
        <v>2707.2112499999998</v>
      </c>
      <c r="G34" s="175">
        <v>3499.415</v>
      </c>
      <c r="H34" s="175">
        <v>3240.94625</v>
      </c>
      <c r="I34" s="175">
        <v>2743.15625</v>
      </c>
      <c r="J34" s="175">
        <v>3332.0162499999997</v>
      </c>
      <c r="K34" s="175">
        <v>3971.0712500000004</v>
      </c>
      <c r="L34" s="175">
        <v>3506.1212500000001</v>
      </c>
      <c r="M34" s="175">
        <v>2988.125</v>
      </c>
      <c r="N34" s="183">
        <f>AVERAGE(B34:M34)</f>
        <v>3457.4332152184238</v>
      </c>
      <c r="O34" s="182"/>
      <c r="P34" s="104"/>
      <c r="Q34" s="55"/>
      <c r="R34" s="55"/>
    </row>
    <row r="35" spans="1:18" ht="16.25" customHeight="1" x14ac:dyDescent="0.5">
      <c r="A35" s="234">
        <v>2020</v>
      </c>
      <c r="B35" s="234"/>
      <c r="C35" s="234"/>
      <c r="D35" s="234"/>
      <c r="E35" s="234"/>
      <c r="F35" s="234"/>
      <c r="G35" s="234"/>
      <c r="H35" s="234"/>
      <c r="I35" s="234"/>
      <c r="J35" s="234"/>
      <c r="K35" s="234"/>
      <c r="L35" s="234"/>
      <c r="M35" s="234"/>
      <c r="N35" s="181"/>
      <c r="O35" s="182"/>
      <c r="P35" s="104"/>
      <c r="Q35" s="55"/>
      <c r="R35" s="55"/>
    </row>
    <row r="36" spans="1:18" x14ac:dyDescent="0.5">
      <c r="A36" s="110" t="s">
        <v>37</v>
      </c>
      <c r="B36" s="111">
        <v>4631.4066666666668</v>
      </c>
      <c r="C36" s="111">
        <v>5038.166666666667</v>
      </c>
      <c r="D36" s="111">
        <v>4851.1966666666667</v>
      </c>
      <c r="E36" s="111">
        <v>4096.0749999999998</v>
      </c>
      <c r="F36" s="111">
        <v>4196.666666666667</v>
      </c>
      <c r="G36" s="111">
        <v>4920.833333333333</v>
      </c>
      <c r="H36" s="111">
        <v>4191.628333333334</v>
      </c>
      <c r="I36" s="111">
        <v>4652.2483333333339</v>
      </c>
      <c r="J36" s="111">
        <v>4234.166666666667</v>
      </c>
      <c r="K36" s="111">
        <v>5310.5316666666668</v>
      </c>
      <c r="L36" s="111">
        <v>5319.0783333333338</v>
      </c>
      <c r="M36" s="111">
        <v>4989.7950000000001</v>
      </c>
      <c r="N36" s="183">
        <f>AVERAGE(B36:M36)</f>
        <v>4702.6494444444443</v>
      </c>
      <c r="O36" s="67"/>
      <c r="P36" s="67"/>
      <c r="Q36" s="55"/>
      <c r="R36" s="55"/>
    </row>
    <row r="37" spans="1:18" x14ac:dyDescent="0.5">
      <c r="A37" s="174" t="s">
        <v>40</v>
      </c>
      <c r="B37" s="175">
        <v>3473.5549999999998</v>
      </c>
      <c r="C37" s="175">
        <v>3778.625</v>
      </c>
      <c r="D37" s="175">
        <v>4851.1966666666667</v>
      </c>
      <c r="E37" s="175">
        <v>4915.29</v>
      </c>
      <c r="F37" s="175">
        <v>5036</v>
      </c>
      <c r="G37" s="175">
        <v>4920.833333333333</v>
      </c>
      <c r="H37" s="175">
        <v>4191.628333333334</v>
      </c>
      <c r="I37" s="175">
        <v>4652.2483333333339</v>
      </c>
      <c r="J37" s="175">
        <v>3629.2857142857142</v>
      </c>
      <c r="K37" s="175">
        <v>4551.8842857142863</v>
      </c>
      <c r="L37" s="175">
        <v>4559.21</v>
      </c>
      <c r="M37" s="175">
        <v>4276.9671428571428</v>
      </c>
      <c r="N37" s="183">
        <f>AVERAGE(B37:M37)</f>
        <v>4403.0603174603184</v>
      </c>
      <c r="O37" s="67"/>
      <c r="P37" s="67"/>
      <c r="Q37" s="55"/>
      <c r="R37" s="55"/>
    </row>
    <row r="38" spans="1:18" ht="18" x14ac:dyDescent="0.5">
      <c r="A38" s="234">
        <v>2019</v>
      </c>
      <c r="B38" s="234"/>
      <c r="C38" s="234"/>
      <c r="D38" s="234"/>
      <c r="E38" s="234"/>
      <c r="F38" s="234"/>
      <c r="G38" s="234"/>
      <c r="H38" s="234"/>
      <c r="I38" s="234"/>
      <c r="J38" s="234"/>
      <c r="K38" s="234"/>
      <c r="L38" s="234"/>
      <c r="M38" s="234"/>
      <c r="N38" s="67"/>
      <c r="O38" s="67"/>
      <c r="P38" s="67"/>
      <c r="Q38" s="55"/>
      <c r="R38" s="55"/>
    </row>
    <row r="39" spans="1:18" x14ac:dyDescent="0.5">
      <c r="A39" s="113" t="s">
        <v>41</v>
      </c>
      <c r="B39" s="114">
        <v>4166.5157142857142</v>
      </c>
      <c r="C39" s="114">
        <v>4603.8571428571431</v>
      </c>
      <c r="D39" s="114">
        <v>4838.2857142857147</v>
      </c>
      <c r="E39" s="114">
        <v>4961.9185714285713</v>
      </c>
      <c r="F39" s="114">
        <v>5924.5714285714284</v>
      </c>
      <c r="G39" s="114">
        <v>4501.2857142857147</v>
      </c>
      <c r="H39" s="114">
        <v>5658.0333333333328</v>
      </c>
      <c r="I39" s="114">
        <v>4578.7333333333336</v>
      </c>
      <c r="J39" s="114">
        <v>4839.333333333333</v>
      </c>
      <c r="K39" s="114">
        <v>5226.2866666666669</v>
      </c>
      <c r="L39" s="114">
        <v>5469.333333333333</v>
      </c>
      <c r="M39" s="114">
        <v>5184.916666666667</v>
      </c>
      <c r="N39" s="183">
        <f>AVERAGE(B39:M39)</f>
        <v>4996.0892460317464</v>
      </c>
      <c r="O39" s="67"/>
      <c r="P39" s="67"/>
      <c r="Q39" s="55"/>
      <c r="R39" s="55"/>
    </row>
    <row r="40" spans="1:18" x14ac:dyDescent="0.5">
      <c r="A40" s="174" t="s">
        <v>42</v>
      </c>
      <c r="B40" s="175">
        <v>2916.5610000000001</v>
      </c>
      <c r="C40" s="175">
        <v>3222.7</v>
      </c>
      <c r="D40" s="175">
        <v>3386.8</v>
      </c>
      <c r="E40" s="175">
        <v>3859.27</v>
      </c>
      <c r="F40" s="175">
        <v>4608</v>
      </c>
      <c r="G40" s="175">
        <v>3501</v>
      </c>
      <c r="H40" s="175">
        <v>4243.5249999999996</v>
      </c>
      <c r="I40" s="175">
        <v>3434.05</v>
      </c>
      <c r="J40" s="175">
        <v>3629.5</v>
      </c>
      <c r="K40" s="175">
        <v>3919.7150000000001</v>
      </c>
      <c r="L40" s="175">
        <v>4102</v>
      </c>
      <c r="M40" s="175">
        <v>3888.6875</v>
      </c>
      <c r="N40" s="183">
        <f>AVERAGE(B40:M40)</f>
        <v>3725.9840416666666</v>
      </c>
      <c r="O40" s="67"/>
      <c r="P40" s="67"/>
      <c r="Q40" s="55"/>
      <c r="R40" s="55"/>
    </row>
    <row r="41" spans="1:18" ht="14.1" customHeight="1" x14ac:dyDescent="0.5">
      <c r="A41" s="234">
        <v>2018</v>
      </c>
      <c r="B41" s="234"/>
      <c r="C41" s="234"/>
      <c r="D41" s="234"/>
      <c r="E41" s="234"/>
      <c r="F41" s="234"/>
      <c r="G41" s="234"/>
      <c r="H41" s="234"/>
      <c r="I41" s="234"/>
      <c r="J41" s="234"/>
      <c r="K41" s="234"/>
      <c r="L41" s="234"/>
      <c r="M41" s="234"/>
      <c r="N41" s="67"/>
      <c r="O41" s="67"/>
      <c r="P41" s="67"/>
      <c r="Q41" s="55"/>
      <c r="R41" s="55"/>
    </row>
    <row r="42" spans="1:18" x14ac:dyDescent="0.5">
      <c r="A42" s="113" t="s">
        <v>43</v>
      </c>
      <c r="B42" s="114">
        <v>4758.3285714285721</v>
      </c>
      <c r="C42" s="114">
        <v>5051.5714285714284</v>
      </c>
      <c r="D42" s="114">
        <v>6206.8571428571431</v>
      </c>
      <c r="E42" s="114">
        <v>5050.1428571428569</v>
      </c>
      <c r="F42" s="114">
        <v>4891.8571428571431</v>
      </c>
      <c r="G42" s="114">
        <v>6049</v>
      </c>
      <c r="H42" s="114">
        <v>5937.1642857142861</v>
      </c>
      <c r="I42" s="114">
        <v>4201.7142857142853</v>
      </c>
      <c r="J42" s="114">
        <v>4655</v>
      </c>
      <c r="K42" s="114">
        <v>4756</v>
      </c>
      <c r="L42" s="114">
        <v>4744.5714285714284</v>
      </c>
      <c r="M42" s="114">
        <v>4506.1428571428569</v>
      </c>
      <c r="N42" s="183">
        <f>AVERAGE(B42:M42)</f>
        <v>5067.3625000000002</v>
      </c>
      <c r="O42" s="67"/>
      <c r="P42" s="67"/>
    </row>
    <row r="43" spans="1:18" x14ac:dyDescent="0.5">
      <c r="A43" s="174" t="s">
        <v>44</v>
      </c>
      <c r="B43" s="175">
        <v>3330.8300000000004</v>
      </c>
      <c r="C43" s="175">
        <v>3536.1</v>
      </c>
      <c r="D43" s="175">
        <v>4344.8</v>
      </c>
      <c r="E43" s="175">
        <v>3927.8888888888887</v>
      </c>
      <c r="F43" s="175">
        <v>3804.7777777777778</v>
      </c>
      <c r="G43" s="175">
        <v>4234.3</v>
      </c>
      <c r="H43" s="175">
        <v>4156.0150000000003</v>
      </c>
      <c r="I43" s="175">
        <v>2941.2</v>
      </c>
      <c r="J43" s="175">
        <v>3258.5</v>
      </c>
      <c r="K43" s="175">
        <v>3329.2</v>
      </c>
      <c r="L43" s="175">
        <v>3321.2</v>
      </c>
      <c r="M43" s="175">
        <v>3154.3</v>
      </c>
      <c r="N43" s="183">
        <f>AVERAGE(B43:M43)</f>
        <v>3611.5926388888888</v>
      </c>
      <c r="O43" s="67"/>
      <c r="P43" s="67"/>
    </row>
    <row r="45" spans="1:18" x14ac:dyDescent="0.5">
      <c r="B45" s="188"/>
      <c r="C45" s="188"/>
      <c r="D45" s="188"/>
      <c r="E45" s="188"/>
      <c r="F45" s="188"/>
      <c r="G45" s="188"/>
      <c r="H45" s="188"/>
      <c r="I45" s="188"/>
      <c r="J45" s="188"/>
      <c r="K45" s="188"/>
      <c r="L45" s="188"/>
      <c r="M45" s="188"/>
    </row>
    <row r="46" spans="1:18" x14ac:dyDescent="0.5">
      <c r="E46" s="119"/>
      <c r="F46" s="1"/>
      <c r="G46" s="1"/>
      <c r="H46" s="1"/>
    </row>
    <row r="47" spans="1:18" x14ac:dyDescent="0.5">
      <c r="E47" s="120"/>
      <c r="F47" s="121"/>
      <c r="G47" s="122"/>
      <c r="H47" s="122"/>
    </row>
    <row r="48" spans="1:18" x14ac:dyDescent="0.5">
      <c r="E48" s="119"/>
      <c r="F48" s="1"/>
      <c r="G48" s="1"/>
      <c r="H48" s="1"/>
    </row>
    <row r="49" spans="1:18" x14ac:dyDescent="0.5">
      <c r="E49" s="120"/>
      <c r="F49" s="121"/>
      <c r="G49" s="122"/>
      <c r="H49" s="122"/>
    </row>
    <row r="50" spans="1:18" x14ac:dyDescent="0.5">
      <c r="E50" s="119"/>
      <c r="F50" s="1"/>
      <c r="G50" s="1"/>
      <c r="H50" s="1"/>
    </row>
    <row r="51" spans="1:18" s="9" customFormat="1" x14ac:dyDescent="0.5">
      <c r="A51" s="1"/>
      <c r="E51" s="120"/>
      <c r="F51" s="121"/>
      <c r="G51" s="122"/>
      <c r="H51" s="122"/>
      <c r="Q51" s="1"/>
      <c r="R51" s="1"/>
    </row>
  </sheetData>
  <mergeCells count="11">
    <mergeCell ref="A29:M29"/>
    <mergeCell ref="A32:M32"/>
    <mergeCell ref="A35:M35"/>
    <mergeCell ref="A38:M38"/>
    <mergeCell ref="A41:M41"/>
    <mergeCell ref="A27:M27"/>
    <mergeCell ref="P6:P8"/>
    <mergeCell ref="P9:P10"/>
    <mergeCell ref="P14:P17"/>
    <mergeCell ref="A21:M21"/>
    <mergeCell ref="A24:M24"/>
  </mergeCells>
  <pageMargins left="0.7" right="0.7" top="0.75" bottom="0.75" header="0.3" footer="0.3"/>
  <pageSetup paperSize="9"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A8D267-BBE2-4035-A845-29696339C5A6}">
  <sheetPr>
    <tabColor theme="3" tint="0.79998168889431442"/>
  </sheetPr>
  <dimension ref="A1:R55"/>
  <sheetViews>
    <sheetView zoomScale="86" zoomScaleNormal="70" zoomScalePageLayoutView="112" workbookViewId="0">
      <selection activeCell="M17" sqref="M17:P23"/>
    </sheetView>
  </sheetViews>
  <sheetFormatPr baseColWidth="10" defaultColWidth="10.6875" defaultRowHeight="15.75" x14ac:dyDescent="0.5"/>
  <cols>
    <col min="1" max="1" width="23.875" style="1" customWidth="1"/>
    <col min="2" max="5" width="10.75" style="9" bestFit="1" customWidth="1"/>
    <col min="6" max="8" width="10.75" style="9" customWidth="1"/>
    <col min="9" max="13" width="10.75" style="9" bestFit="1" customWidth="1"/>
    <col min="14" max="14" width="14.375" style="9" bestFit="1" customWidth="1"/>
    <col min="15" max="15" width="13.25" style="9" bestFit="1" customWidth="1"/>
    <col min="16" max="16" width="10.75" style="9" bestFit="1" customWidth="1"/>
    <col min="17" max="17" width="34.4375" style="1" customWidth="1"/>
    <col min="18" max="16384" width="10.6875" style="1"/>
  </cols>
  <sheetData>
    <row r="1" spans="1:18" s="198" customFormat="1" ht="16.8" customHeight="1" thickBot="1" x14ac:dyDescent="0.55000000000000004">
      <c r="A1" s="194" t="s">
        <v>139</v>
      </c>
      <c r="B1" s="195" t="s">
        <v>1</v>
      </c>
      <c r="C1" s="195" t="s">
        <v>2</v>
      </c>
      <c r="D1" s="195" t="s">
        <v>3</v>
      </c>
      <c r="E1" s="195" t="s">
        <v>4</v>
      </c>
      <c r="F1" s="196" t="s">
        <v>5</v>
      </c>
      <c r="G1" s="195" t="s">
        <v>6</v>
      </c>
      <c r="H1" s="195" t="s">
        <v>7</v>
      </c>
      <c r="I1" s="195" t="s">
        <v>8</v>
      </c>
      <c r="J1" s="195" t="s">
        <v>9</v>
      </c>
      <c r="K1" s="195" t="s">
        <v>10</v>
      </c>
      <c r="L1" s="195" t="s">
        <v>11</v>
      </c>
      <c r="M1" s="195" t="s">
        <v>12</v>
      </c>
      <c r="N1" s="195" t="s">
        <v>13</v>
      </c>
      <c r="O1" s="195" t="s">
        <v>14</v>
      </c>
      <c r="P1" s="195" t="s">
        <v>15</v>
      </c>
      <c r="Q1" s="197"/>
      <c r="R1" s="197"/>
    </row>
    <row r="2" spans="1:18" s="198" customFormat="1" ht="16.8" customHeight="1" thickBot="1" x14ac:dyDescent="0.55000000000000004">
      <c r="A2" s="194" t="s">
        <v>136</v>
      </c>
      <c r="B2" s="199">
        <v>82380</v>
      </c>
      <c r="C2" s="199">
        <v>72545.34</v>
      </c>
      <c r="D2" s="199">
        <v>85556</v>
      </c>
      <c r="E2" s="199">
        <v>77252</v>
      </c>
      <c r="F2" s="200">
        <v>86342</v>
      </c>
      <c r="G2" s="199">
        <v>95128</v>
      </c>
      <c r="H2" s="199">
        <v>86537</v>
      </c>
      <c r="I2" s="199">
        <v>119527</v>
      </c>
      <c r="J2" s="199">
        <v>105429</v>
      </c>
      <c r="K2" s="199">
        <v>77775</v>
      </c>
      <c r="L2" s="199">
        <v>84980</v>
      </c>
      <c r="M2" s="199">
        <v>84996</v>
      </c>
      <c r="N2" s="199">
        <f t="shared" ref="N2" si="0">SUM(B2:M2)</f>
        <v>1058447.3399999999</v>
      </c>
      <c r="O2" s="201">
        <f t="shared" ref="O2:O14" si="1">N2/12</f>
        <v>88203.944999999992</v>
      </c>
      <c r="P2" s="195"/>
      <c r="Q2" s="197"/>
      <c r="R2" s="197"/>
    </row>
    <row r="3" spans="1:18" s="198" customFormat="1" ht="16.8" customHeight="1" thickBot="1" x14ac:dyDescent="0.55000000000000004">
      <c r="A3" s="194" t="s">
        <v>137</v>
      </c>
      <c r="B3" s="199">
        <f>B2/1.21</f>
        <v>68082.64462809918</v>
      </c>
      <c r="C3" s="199">
        <f t="shared" ref="C3:M3" si="2">C2/1.21</f>
        <v>59954.826446280989</v>
      </c>
      <c r="D3" s="199">
        <f t="shared" si="2"/>
        <v>70707.438016528933</v>
      </c>
      <c r="E3" s="199">
        <f t="shared" si="2"/>
        <v>63844.628099173555</v>
      </c>
      <c r="F3" s="199">
        <f t="shared" si="2"/>
        <v>71357.024793388438</v>
      </c>
      <c r="G3" s="199">
        <f t="shared" si="2"/>
        <v>78618.181818181823</v>
      </c>
      <c r="H3" s="199">
        <f t="shared" si="2"/>
        <v>71518.181818181823</v>
      </c>
      <c r="I3" s="199">
        <f t="shared" si="2"/>
        <v>98782.64462809918</v>
      </c>
      <c r="J3" s="199">
        <f t="shared" si="2"/>
        <v>87131.404958677682</v>
      </c>
      <c r="K3" s="199">
        <f t="shared" si="2"/>
        <v>64276.859504132233</v>
      </c>
      <c r="L3" s="199">
        <f t="shared" si="2"/>
        <v>70231.404958677682</v>
      </c>
      <c r="M3" s="199">
        <f t="shared" si="2"/>
        <v>70244.628099173555</v>
      </c>
      <c r="N3" s="199">
        <f t="shared" ref="N3" si="3">SUM(B3:M3)</f>
        <v>874749.86776859511</v>
      </c>
      <c r="O3" s="201">
        <f t="shared" si="1"/>
        <v>72895.822314049597</v>
      </c>
      <c r="P3" s="195"/>
      <c r="Q3" s="197"/>
      <c r="R3" s="197"/>
    </row>
    <row r="4" spans="1:18" s="198" customFormat="1" ht="16.8" customHeight="1" thickBot="1" x14ac:dyDescent="0.55000000000000004">
      <c r="A4" s="208" t="s">
        <v>138</v>
      </c>
      <c r="B4" s="205">
        <f>B16+B5</f>
        <v>64169.22</v>
      </c>
      <c r="C4" s="205">
        <f t="shared" ref="C4:M4" si="4">C16+C5</f>
        <v>78799.42</v>
      </c>
      <c r="D4" s="205">
        <f t="shared" si="4"/>
        <v>92096.49</v>
      </c>
      <c r="E4" s="205">
        <f t="shared" si="4"/>
        <v>79159.539999999994</v>
      </c>
      <c r="F4" s="205">
        <f t="shared" si="4"/>
        <v>65986.78</v>
      </c>
      <c r="G4" s="205">
        <f t="shared" si="4"/>
        <v>73749.930000000008</v>
      </c>
      <c r="H4" s="205">
        <f t="shared" si="4"/>
        <v>72547.59</v>
      </c>
      <c r="I4" s="205">
        <f t="shared" si="4"/>
        <v>96827.34</v>
      </c>
      <c r="J4" s="205">
        <f t="shared" si="4"/>
        <v>90731.36</v>
      </c>
      <c r="K4" s="205">
        <f t="shared" si="4"/>
        <v>75211.25</v>
      </c>
      <c r="L4" s="205">
        <f t="shared" si="4"/>
        <v>72815.22</v>
      </c>
      <c r="M4" s="205">
        <f t="shared" si="4"/>
        <v>60903.3</v>
      </c>
      <c r="N4" s="205">
        <f t="shared" ref="N4:N11" si="5">SUM(B4:M4)</f>
        <v>922997.44</v>
      </c>
      <c r="O4" s="206">
        <f t="shared" si="1"/>
        <v>76916.453333333324</v>
      </c>
      <c r="P4" s="207"/>
      <c r="Q4" s="197"/>
      <c r="R4" s="197"/>
    </row>
    <row r="5" spans="1:18" ht="14.55" customHeight="1" thickBot="1" x14ac:dyDescent="0.55000000000000004">
      <c r="A5" s="148" t="s">
        <v>16</v>
      </c>
      <c r="B5" s="149">
        <f>SUM(B6:B8)</f>
        <v>38747.1</v>
      </c>
      <c r="C5" s="149">
        <f t="shared" ref="C5:M5" si="6">SUM(C6:C8)</f>
        <v>44691</v>
      </c>
      <c r="D5" s="149">
        <f>SUM(D6:D8)</f>
        <v>53860</v>
      </c>
      <c r="E5" s="149">
        <f t="shared" si="6"/>
        <v>45326.979999999996</v>
      </c>
      <c r="F5" s="149">
        <f t="shared" si="6"/>
        <v>36252.1</v>
      </c>
      <c r="G5" s="149">
        <f t="shared" si="6"/>
        <v>45655.3</v>
      </c>
      <c r="H5" s="149">
        <f t="shared" si="6"/>
        <v>42563.5</v>
      </c>
      <c r="I5" s="149">
        <f t="shared" si="6"/>
        <v>67784.2</v>
      </c>
      <c r="J5" s="149">
        <f>SUM(J6:J8)</f>
        <v>62292.6</v>
      </c>
      <c r="K5" s="149">
        <f t="shared" si="6"/>
        <v>42745.8</v>
      </c>
      <c r="L5" s="149">
        <f t="shared" si="6"/>
        <v>40665.699999999997</v>
      </c>
      <c r="M5" s="149">
        <f t="shared" si="6"/>
        <v>33653.1</v>
      </c>
      <c r="N5" s="150">
        <f t="shared" si="5"/>
        <v>554237.38</v>
      </c>
      <c r="O5" s="150">
        <f t="shared" si="1"/>
        <v>46186.448333333334</v>
      </c>
      <c r="P5" s="150">
        <f>O5</f>
        <v>46186.448333333334</v>
      </c>
      <c r="Q5" s="55"/>
      <c r="R5" s="55"/>
    </row>
    <row r="6" spans="1:18" ht="14.55" customHeight="1" x14ac:dyDescent="0.5">
      <c r="A6" s="140" t="s">
        <v>17</v>
      </c>
      <c r="B6" s="141">
        <v>20608.099999999999</v>
      </c>
      <c r="C6" s="143">
        <v>24432</v>
      </c>
      <c r="D6" s="143">
        <v>22321</v>
      </c>
      <c r="E6" s="143">
        <v>20707.98</v>
      </c>
      <c r="F6" s="143">
        <v>17193.099999999999</v>
      </c>
      <c r="G6" s="143">
        <v>20496.3</v>
      </c>
      <c r="H6" s="143">
        <v>19514.5</v>
      </c>
      <c r="I6" s="143">
        <v>32235.200000000001</v>
      </c>
      <c r="J6" s="143">
        <v>31353.599999999999</v>
      </c>
      <c r="K6" s="143">
        <v>23986.799999999999</v>
      </c>
      <c r="L6" s="143">
        <v>22056.7</v>
      </c>
      <c r="M6" s="143">
        <v>15524.1</v>
      </c>
      <c r="N6" s="220">
        <f t="shared" si="5"/>
        <v>270429.38</v>
      </c>
      <c r="O6" s="220">
        <f t="shared" si="1"/>
        <v>22535.781666666666</v>
      </c>
      <c r="P6" s="239">
        <f>SUM(O6:O8)</f>
        <v>46186.448333333334</v>
      </c>
      <c r="Q6" s="55"/>
      <c r="R6" s="55"/>
    </row>
    <row r="7" spans="1:18" ht="14.55" customHeight="1" x14ac:dyDescent="0.5">
      <c r="A7" s="107" t="s">
        <v>18</v>
      </c>
      <c r="B7" s="124">
        <v>480</v>
      </c>
      <c r="C7" s="124">
        <v>2600</v>
      </c>
      <c r="D7" s="124">
        <v>13880</v>
      </c>
      <c r="E7" s="124">
        <v>6960</v>
      </c>
      <c r="F7" s="124">
        <v>1400</v>
      </c>
      <c r="G7" s="124">
        <v>7500</v>
      </c>
      <c r="H7" s="124">
        <v>5390</v>
      </c>
      <c r="I7" s="124">
        <v>17890</v>
      </c>
      <c r="J7" s="124">
        <v>13280</v>
      </c>
      <c r="K7" s="124">
        <v>1100</v>
      </c>
      <c r="L7" s="124">
        <v>950</v>
      </c>
      <c r="M7" s="124">
        <v>470</v>
      </c>
      <c r="N7" s="221">
        <f t="shared" si="5"/>
        <v>71900</v>
      </c>
      <c r="O7" s="221">
        <f t="shared" si="1"/>
        <v>5991.666666666667</v>
      </c>
      <c r="P7" s="240"/>
      <c r="Q7" s="55"/>
      <c r="R7" s="55"/>
    </row>
    <row r="8" spans="1:18" ht="14.55" customHeight="1" x14ac:dyDescent="0.5">
      <c r="A8" s="74" t="s">
        <v>19</v>
      </c>
      <c r="B8" s="124">
        <v>17659</v>
      </c>
      <c r="C8" s="124">
        <v>17659</v>
      </c>
      <c r="D8" s="124">
        <v>17659</v>
      </c>
      <c r="E8" s="124">
        <v>17659</v>
      </c>
      <c r="F8" s="124">
        <v>17659</v>
      </c>
      <c r="G8" s="124">
        <v>17659</v>
      </c>
      <c r="H8" s="124">
        <v>17659</v>
      </c>
      <c r="I8" s="124">
        <v>17659</v>
      </c>
      <c r="J8" s="124">
        <v>17659</v>
      </c>
      <c r="K8" s="124">
        <v>17659</v>
      </c>
      <c r="L8" s="124">
        <v>17659</v>
      </c>
      <c r="M8" s="124">
        <v>17659</v>
      </c>
      <c r="N8" s="221">
        <f t="shared" si="5"/>
        <v>211908</v>
      </c>
      <c r="O8" s="221">
        <f t="shared" si="1"/>
        <v>17659</v>
      </c>
      <c r="P8" s="240"/>
      <c r="Q8" s="55"/>
      <c r="R8" s="55"/>
    </row>
    <row r="9" spans="1:18" ht="14.55" customHeight="1" x14ac:dyDescent="0.5">
      <c r="A9" s="32" t="s">
        <v>133</v>
      </c>
      <c r="B9" s="126">
        <v>109.91</v>
      </c>
      <c r="C9" s="126">
        <v>109.91</v>
      </c>
      <c r="D9" s="126">
        <v>109.91</v>
      </c>
      <c r="E9" s="126">
        <v>109.91</v>
      </c>
      <c r="F9" s="126">
        <v>109.91</v>
      </c>
      <c r="G9" s="126">
        <v>109.91</v>
      </c>
      <c r="H9" s="126">
        <v>109.91</v>
      </c>
      <c r="I9" s="126">
        <v>109.91</v>
      </c>
      <c r="J9" s="126">
        <v>109.91</v>
      </c>
      <c r="K9" s="126">
        <v>109.91</v>
      </c>
      <c r="L9" s="126">
        <v>109.91</v>
      </c>
      <c r="M9" s="126">
        <v>109.91</v>
      </c>
      <c r="N9" s="222">
        <f t="shared" si="5"/>
        <v>1318.92</v>
      </c>
      <c r="O9" s="222">
        <f t="shared" si="1"/>
        <v>109.91000000000001</v>
      </c>
      <c r="P9" s="223"/>
      <c r="Q9" s="55"/>
      <c r="R9" s="55"/>
    </row>
    <row r="10" spans="1:18" ht="14.55" customHeight="1" x14ac:dyDescent="0.5">
      <c r="A10" s="35" t="s">
        <v>22</v>
      </c>
      <c r="B10" s="127">
        <v>36846.050000000003</v>
      </c>
      <c r="C10" s="127">
        <v>36245.919999999998</v>
      </c>
      <c r="D10" s="127">
        <v>36481.440000000002</v>
      </c>
      <c r="E10" s="127">
        <v>39237.07</v>
      </c>
      <c r="F10" s="127">
        <v>36093.19</v>
      </c>
      <c r="G10" s="127">
        <v>38833.33</v>
      </c>
      <c r="H10" s="127">
        <v>53780.11</v>
      </c>
      <c r="I10" s="127">
        <v>36114.410000000003</v>
      </c>
      <c r="J10" s="127">
        <v>38891.71</v>
      </c>
      <c r="K10" s="127">
        <v>35685.57</v>
      </c>
      <c r="L10" s="127">
        <v>35805.82</v>
      </c>
      <c r="M10" s="134">
        <v>54626.74</v>
      </c>
      <c r="N10" s="218">
        <f t="shared" si="5"/>
        <v>478641.36000000004</v>
      </c>
      <c r="O10" s="218">
        <f t="shared" si="1"/>
        <v>39886.780000000006</v>
      </c>
      <c r="P10" s="238">
        <f>-O10-O11</f>
        <v>-39986.780000000006</v>
      </c>
      <c r="Q10" s="55"/>
      <c r="R10" s="55"/>
    </row>
    <row r="11" spans="1:18" ht="14.55" customHeight="1" thickBot="1" x14ac:dyDescent="0.55000000000000004">
      <c r="A11" s="158" t="s">
        <v>23</v>
      </c>
      <c r="B11" s="159">
        <v>100</v>
      </c>
      <c r="C11" s="159">
        <v>100</v>
      </c>
      <c r="D11" s="159">
        <v>100</v>
      </c>
      <c r="E11" s="159">
        <v>100</v>
      </c>
      <c r="F11" s="159">
        <v>100</v>
      </c>
      <c r="G11" s="159">
        <v>100</v>
      </c>
      <c r="H11" s="159">
        <v>100</v>
      </c>
      <c r="I11" s="159">
        <v>100</v>
      </c>
      <c r="J11" s="159">
        <v>100</v>
      </c>
      <c r="K11" s="159">
        <v>100</v>
      </c>
      <c r="L11" s="159">
        <v>100</v>
      </c>
      <c r="M11" s="159">
        <v>100</v>
      </c>
      <c r="N11" s="219">
        <f t="shared" si="5"/>
        <v>1200</v>
      </c>
      <c r="O11" s="219">
        <f t="shared" si="1"/>
        <v>100</v>
      </c>
      <c r="P11" s="238"/>
      <c r="Q11" s="55"/>
      <c r="R11" s="55"/>
    </row>
    <row r="12" spans="1:18" ht="12.5" customHeight="1" thickBot="1" x14ac:dyDescent="0.55000000000000004">
      <c r="A12" s="164" t="s">
        <v>24</v>
      </c>
      <c r="B12" s="165">
        <f>B5-B9-B10-B11</f>
        <v>1691.1399999999921</v>
      </c>
      <c r="C12" s="165">
        <f t="shared" ref="C12:M12" si="7">C5-C9-C10-C11</f>
        <v>8235.1699999999983</v>
      </c>
      <c r="D12" s="165">
        <f t="shared" si="7"/>
        <v>17168.649999999994</v>
      </c>
      <c r="E12" s="165">
        <f t="shared" si="7"/>
        <v>5879.9999999999927</v>
      </c>
      <c r="F12" s="165">
        <f t="shared" si="7"/>
        <v>-51.000000000007276</v>
      </c>
      <c r="G12" s="165">
        <f t="shared" si="7"/>
        <v>6612.0599999999977</v>
      </c>
      <c r="H12" s="165">
        <f t="shared" si="7"/>
        <v>-11426.520000000004</v>
      </c>
      <c r="I12" s="165">
        <f t="shared" si="7"/>
        <v>31459.87999999999</v>
      </c>
      <c r="J12" s="165">
        <f t="shared" si="7"/>
        <v>23190.979999999996</v>
      </c>
      <c r="K12" s="165">
        <f t="shared" si="7"/>
        <v>6850.32</v>
      </c>
      <c r="L12" s="165">
        <f t="shared" si="7"/>
        <v>4649.9699999999939</v>
      </c>
      <c r="M12" s="165">
        <f t="shared" si="7"/>
        <v>-21183.550000000003</v>
      </c>
      <c r="N12" s="165">
        <f>N5-N9-N10-N11</f>
        <v>73077.099999999919</v>
      </c>
      <c r="O12" s="165">
        <f t="shared" si="1"/>
        <v>6089.7583333333268</v>
      </c>
      <c r="P12" s="101"/>
      <c r="Q12" s="55"/>
      <c r="R12" s="55"/>
    </row>
    <row r="13" spans="1:18" ht="15.1" customHeight="1" thickBot="1" x14ac:dyDescent="0.55000000000000004">
      <c r="A13" s="203" t="s">
        <v>25</v>
      </c>
      <c r="B13" s="152">
        <f t="shared" ref="B13:M13" si="8">B9</f>
        <v>109.91</v>
      </c>
      <c r="C13" s="152">
        <f t="shared" si="8"/>
        <v>109.91</v>
      </c>
      <c r="D13" s="152">
        <f t="shared" si="8"/>
        <v>109.91</v>
      </c>
      <c r="E13" s="152">
        <f t="shared" si="8"/>
        <v>109.91</v>
      </c>
      <c r="F13" s="152">
        <f t="shared" si="8"/>
        <v>109.91</v>
      </c>
      <c r="G13" s="152">
        <f t="shared" si="8"/>
        <v>109.91</v>
      </c>
      <c r="H13" s="152">
        <f t="shared" si="8"/>
        <v>109.91</v>
      </c>
      <c r="I13" s="152">
        <f t="shared" si="8"/>
        <v>109.91</v>
      </c>
      <c r="J13" s="152">
        <f t="shared" si="8"/>
        <v>109.91</v>
      </c>
      <c r="K13" s="152">
        <f t="shared" si="8"/>
        <v>109.91</v>
      </c>
      <c r="L13" s="152">
        <f t="shared" si="8"/>
        <v>109.91</v>
      </c>
      <c r="M13" s="152">
        <f t="shared" si="8"/>
        <v>109.91</v>
      </c>
      <c r="N13" s="152">
        <f>SUM(B13:M13)</f>
        <v>1318.92</v>
      </c>
      <c r="O13" s="152">
        <f t="shared" si="1"/>
        <v>109.91000000000001</v>
      </c>
      <c r="P13" s="102"/>
      <c r="Q13" s="55"/>
      <c r="R13" s="55"/>
    </row>
    <row r="14" spans="1:18" ht="17.100000000000001" customHeight="1" thickBot="1" x14ac:dyDescent="0.55000000000000004">
      <c r="A14" s="204" t="s">
        <v>26</v>
      </c>
      <c r="B14" s="154">
        <f>B12+B13</f>
        <v>1801.0499999999922</v>
      </c>
      <c r="C14" s="154">
        <f t="shared" ref="C14:M14" si="9">C12+C13</f>
        <v>8345.0799999999981</v>
      </c>
      <c r="D14" s="154">
        <f t="shared" si="9"/>
        <v>17278.559999999994</v>
      </c>
      <c r="E14" s="154">
        <f t="shared" si="9"/>
        <v>5989.9099999999926</v>
      </c>
      <c r="F14" s="154">
        <f t="shared" si="9"/>
        <v>58.909999999992721</v>
      </c>
      <c r="G14" s="154">
        <f t="shared" si="9"/>
        <v>6721.9699999999975</v>
      </c>
      <c r="H14" s="154">
        <f t="shared" si="9"/>
        <v>-11316.610000000004</v>
      </c>
      <c r="I14" s="154">
        <f t="shared" si="9"/>
        <v>31569.78999999999</v>
      </c>
      <c r="J14" s="154">
        <f t="shared" si="9"/>
        <v>23300.889999999996</v>
      </c>
      <c r="K14" s="154">
        <f t="shared" si="9"/>
        <v>6960.23</v>
      </c>
      <c r="L14" s="154">
        <f t="shared" si="9"/>
        <v>4759.8799999999937</v>
      </c>
      <c r="M14" s="154">
        <f t="shared" si="9"/>
        <v>-21073.640000000003</v>
      </c>
      <c r="N14" s="155">
        <f>N12+N13</f>
        <v>74396.019999999917</v>
      </c>
      <c r="O14" s="155">
        <f t="shared" si="1"/>
        <v>6199.6683333333267</v>
      </c>
      <c r="P14" s="103"/>
      <c r="Q14" s="55"/>
      <c r="R14" s="55"/>
    </row>
    <row r="15" spans="1:18" ht="5.0999999999999996" customHeight="1" thickBot="1" x14ac:dyDescent="0.55000000000000004">
      <c r="A15" s="47"/>
      <c r="B15" s="42"/>
      <c r="C15" s="42"/>
      <c r="D15" s="42"/>
      <c r="E15" s="42"/>
      <c r="F15" s="42"/>
      <c r="G15" s="42"/>
      <c r="H15" s="77"/>
      <c r="I15" s="42"/>
      <c r="J15" s="42"/>
      <c r="K15" s="42"/>
      <c r="L15" s="42"/>
      <c r="M15" s="42"/>
      <c r="N15" s="46"/>
      <c r="O15" s="46"/>
      <c r="P15" s="46"/>
      <c r="Q15" s="55"/>
      <c r="R15" s="55"/>
    </row>
    <row r="16" spans="1:18" ht="17.100000000000001" customHeight="1" thickBot="1" x14ac:dyDescent="0.55000000000000004">
      <c r="A16" s="148" t="s">
        <v>27</v>
      </c>
      <c r="B16" s="149">
        <f t="shared" ref="B16:D16" si="10">SUM(B17:B20)</f>
        <v>25422.12</v>
      </c>
      <c r="C16" s="149">
        <f t="shared" si="10"/>
        <v>34108.42</v>
      </c>
      <c r="D16" s="149">
        <f t="shared" si="10"/>
        <v>38236.490000000005</v>
      </c>
      <c r="E16" s="149">
        <f>SUM(E17:E20)</f>
        <v>33832.559999999998</v>
      </c>
      <c r="F16" s="149">
        <f t="shared" ref="F16:M16" si="11">SUM(F17:F20)</f>
        <v>29734.68</v>
      </c>
      <c r="G16" s="149">
        <f t="shared" si="11"/>
        <v>28094.63</v>
      </c>
      <c r="H16" s="149">
        <f t="shared" si="11"/>
        <v>29984.09</v>
      </c>
      <c r="I16" s="149">
        <f t="shared" si="11"/>
        <v>29043.14</v>
      </c>
      <c r="J16" s="149">
        <f t="shared" si="11"/>
        <v>28438.760000000002</v>
      </c>
      <c r="K16" s="149">
        <f t="shared" si="11"/>
        <v>32465.45</v>
      </c>
      <c r="L16" s="149">
        <f t="shared" si="11"/>
        <v>32149.52</v>
      </c>
      <c r="M16" s="149">
        <f t="shared" si="11"/>
        <v>27250.2</v>
      </c>
      <c r="N16" s="150">
        <f t="shared" ref="N16:N23" si="12">SUM(B16:M16)</f>
        <v>368760.06000000006</v>
      </c>
      <c r="O16" s="150">
        <f t="shared" ref="O16:O27" si="13">N16/12</f>
        <v>30730.005000000005</v>
      </c>
      <c r="P16" s="150">
        <f>O16</f>
        <v>30730.005000000005</v>
      </c>
      <c r="Q16" s="55"/>
      <c r="R16" s="55"/>
    </row>
    <row r="17" spans="1:18" ht="16.25" customHeight="1" x14ac:dyDescent="0.5">
      <c r="A17" s="140" t="s">
        <v>28</v>
      </c>
      <c r="B17" s="141">
        <v>8091.62</v>
      </c>
      <c r="C17" s="141">
        <v>9968</v>
      </c>
      <c r="D17" s="141">
        <v>11259.14</v>
      </c>
      <c r="E17" s="143">
        <v>10665.83</v>
      </c>
      <c r="F17" s="143">
        <v>8980</v>
      </c>
      <c r="G17" s="143">
        <v>8176</v>
      </c>
      <c r="H17" s="143">
        <v>9974</v>
      </c>
      <c r="I17" s="143">
        <v>7536</v>
      </c>
      <c r="J17" s="143">
        <v>10356</v>
      </c>
      <c r="K17" s="143">
        <v>11737</v>
      </c>
      <c r="L17" s="143">
        <v>11031</v>
      </c>
      <c r="M17" s="143">
        <v>8141</v>
      </c>
      <c r="N17" s="220">
        <f t="shared" si="12"/>
        <v>115915.59</v>
      </c>
      <c r="O17" s="220">
        <f t="shared" si="13"/>
        <v>9659.6324999999997</v>
      </c>
      <c r="P17" s="241">
        <f>SUM(O17:O20)</f>
        <v>30730.005000000001</v>
      </c>
      <c r="Q17" s="55"/>
      <c r="R17" s="55"/>
    </row>
    <row r="18" spans="1:18" ht="16.25" customHeight="1" x14ac:dyDescent="0.5">
      <c r="A18" s="107" t="s">
        <v>131</v>
      </c>
      <c r="B18" s="123">
        <v>1300.3399999999999</v>
      </c>
      <c r="C18" s="168">
        <v>7070.42</v>
      </c>
      <c r="D18" s="168">
        <v>8244.4699999999993</v>
      </c>
      <c r="E18" s="139">
        <v>5483.93</v>
      </c>
      <c r="F18" s="139">
        <v>3548.84</v>
      </c>
      <c r="G18" s="187">
        <v>3283.6</v>
      </c>
      <c r="H18" s="124">
        <v>4410.09</v>
      </c>
      <c r="I18" s="124">
        <v>4145.62</v>
      </c>
      <c r="J18" s="124">
        <v>832.34</v>
      </c>
      <c r="K18" s="124">
        <v>2800.33</v>
      </c>
      <c r="L18" s="124">
        <v>4007.27</v>
      </c>
      <c r="M18" s="124">
        <v>2986.67</v>
      </c>
      <c r="N18" s="224">
        <f t="shared" si="12"/>
        <v>48113.919999999998</v>
      </c>
      <c r="O18" s="221">
        <f t="shared" si="13"/>
        <v>4009.4933333333333</v>
      </c>
      <c r="P18" s="242"/>
      <c r="Q18" s="55"/>
      <c r="R18" s="55"/>
    </row>
    <row r="19" spans="1:18" ht="16.25" customHeight="1" x14ac:dyDescent="0.5">
      <c r="A19" s="107" t="s">
        <v>130</v>
      </c>
      <c r="B19" s="123">
        <v>1430.16</v>
      </c>
      <c r="C19" s="168">
        <v>2470</v>
      </c>
      <c r="D19" s="168">
        <v>3132.88</v>
      </c>
      <c r="E19" s="193">
        <v>2082.8000000000002</v>
      </c>
      <c r="F19" s="139">
        <v>1605.84</v>
      </c>
      <c r="G19" s="187">
        <v>1035.03</v>
      </c>
      <c r="H19" s="124">
        <v>0</v>
      </c>
      <c r="I19" s="124">
        <v>1761.52</v>
      </c>
      <c r="J19" s="124">
        <v>1650.42</v>
      </c>
      <c r="K19" s="124">
        <v>2328.12</v>
      </c>
      <c r="L19" s="124">
        <v>1511.25</v>
      </c>
      <c r="M19" s="124">
        <v>522.53</v>
      </c>
      <c r="N19" s="224">
        <f t="shared" si="12"/>
        <v>19530.55</v>
      </c>
      <c r="O19" s="221">
        <f t="shared" si="13"/>
        <v>1627.5458333333333</v>
      </c>
      <c r="P19" s="242"/>
      <c r="Q19" s="55"/>
      <c r="R19" s="55"/>
    </row>
    <row r="20" spans="1:18" ht="16.25" customHeight="1" x14ac:dyDescent="0.5">
      <c r="A20" s="100" t="s">
        <v>19</v>
      </c>
      <c r="B20" s="124">
        <v>14600</v>
      </c>
      <c r="C20" s="124">
        <v>14600</v>
      </c>
      <c r="D20" s="124">
        <v>15600</v>
      </c>
      <c r="E20" s="124">
        <v>15600</v>
      </c>
      <c r="F20" s="136">
        <v>15600</v>
      </c>
      <c r="G20" s="136">
        <v>15600</v>
      </c>
      <c r="H20" s="136">
        <v>15600</v>
      </c>
      <c r="I20" s="136">
        <v>15600</v>
      </c>
      <c r="J20" s="136">
        <v>15600</v>
      </c>
      <c r="K20" s="136">
        <v>15600</v>
      </c>
      <c r="L20" s="136">
        <v>15600</v>
      </c>
      <c r="M20" s="136">
        <v>15600</v>
      </c>
      <c r="N20" s="221">
        <f>SUM(B20:M20)</f>
        <v>185200</v>
      </c>
      <c r="O20" s="221">
        <f t="shared" si="13"/>
        <v>15433.333333333334</v>
      </c>
      <c r="P20" s="239"/>
      <c r="Q20" s="55"/>
      <c r="R20" s="55"/>
    </row>
    <row r="21" spans="1:18" ht="16.25" customHeight="1" x14ac:dyDescent="0.5">
      <c r="A21" s="32" t="s">
        <v>133</v>
      </c>
      <c r="B21" s="126">
        <f t="shared" ref="B21:M21" si="14">B9</f>
        <v>109.91</v>
      </c>
      <c r="C21" s="126">
        <f t="shared" si="14"/>
        <v>109.91</v>
      </c>
      <c r="D21" s="126">
        <f t="shared" si="14"/>
        <v>109.91</v>
      </c>
      <c r="E21" s="126">
        <f t="shared" si="14"/>
        <v>109.91</v>
      </c>
      <c r="F21" s="126">
        <f t="shared" si="14"/>
        <v>109.91</v>
      </c>
      <c r="G21" s="126">
        <f t="shared" si="14"/>
        <v>109.91</v>
      </c>
      <c r="H21" s="126">
        <f t="shared" si="14"/>
        <v>109.91</v>
      </c>
      <c r="I21" s="126">
        <f t="shared" si="14"/>
        <v>109.91</v>
      </c>
      <c r="J21" s="126">
        <f t="shared" si="14"/>
        <v>109.91</v>
      </c>
      <c r="K21" s="126">
        <f t="shared" si="14"/>
        <v>109.91</v>
      </c>
      <c r="L21" s="126">
        <f t="shared" si="14"/>
        <v>109.91</v>
      </c>
      <c r="M21" s="126">
        <f t="shared" si="14"/>
        <v>109.91</v>
      </c>
      <c r="N21" s="222">
        <f t="shared" si="12"/>
        <v>1318.92</v>
      </c>
      <c r="O21" s="222">
        <f t="shared" si="13"/>
        <v>109.91000000000001</v>
      </c>
      <c r="P21" s="223"/>
      <c r="Q21" s="55"/>
      <c r="R21" s="55"/>
    </row>
    <row r="22" spans="1:18" ht="16.25" customHeight="1" x14ac:dyDescent="0.5">
      <c r="A22" s="35" t="s">
        <v>33</v>
      </c>
      <c r="B22" s="127">
        <v>22785.919999999998</v>
      </c>
      <c r="C22" s="127">
        <v>23656.57</v>
      </c>
      <c r="D22" s="127">
        <v>23371.22</v>
      </c>
      <c r="E22" s="127">
        <v>24725.23</v>
      </c>
      <c r="F22" s="127">
        <v>23302</v>
      </c>
      <c r="G22" s="127">
        <v>25274.34</v>
      </c>
      <c r="H22" s="127">
        <v>36350.379999999997</v>
      </c>
      <c r="I22" s="127">
        <v>23777.4</v>
      </c>
      <c r="J22" s="127">
        <v>22794.76</v>
      </c>
      <c r="K22" s="127">
        <v>24380.34</v>
      </c>
      <c r="L22" s="127">
        <v>22840.34</v>
      </c>
      <c r="M22" s="134">
        <v>37401.56</v>
      </c>
      <c r="N22" s="218">
        <f t="shared" si="12"/>
        <v>310660.06</v>
      </c>
      <c r="O22" s="218">
        <f t="shared" si="13"/>
        <v>25888.338333333333</v>
      </c>
      <c r="P22" s="238">
        <f>-O22-O23</f>
        <v>-26397.588333333333</v>
      </c>
      <c r="Q22" s="55"/>
      <c r="R22" s="55"/>
    </row>
    <row r="23" spans="1:18" ht="16.25" customHeight="1" thickBot="1" x14ac:dyDescent="0.55000000000000004">
      <c r="A23" s="158" t="s">
        <v>34</v>
      </c>
      <c r="B23" s="159">
        <v>1708</v>
      </c>
      <c r="C23" s="159">
        <v>1703</v>
      </c>
      <c r="D23" s="159">
        <v>500</v>
      </c>
      <c r="E23" s="159">
        <v>500</v>
      </c>
      <c r="F23" s="159">
        <v>300</v>
      </c>
      <c r="G23" s="159">
        <v>0</v>
      </c>
      <c r="H23" s="159">
        <v>300</v>
      </c>
      <c r="I23" s="159">
        <v>400</v>
      </c>
      <c r="J23" s="159">
        <v>0</v>
      </c>
      <c r="K23" s="159">
        <v>400</v>
      </c>
      <c r="L23" s="159">
        <v>300</v>
      </c>
      <c r="M23" s="159">
        <v>0</v>
      </c>
      <c r="N23" s="219">
        <f t="shared" si="12"/>
        <v>6111</v>
      </c>
      <c r="O23" s="219">
        <f t="shared" si="13"/>
        <v>509.25</v>
      </c>
      <c r="P23" s="238"/>
      <c r="Q23" s="55"/>
      <c r="R23" s="55"/>
    </row>
    <row r="24" spans="1:18" ht="13.8" customHeight="1" thickBot="1" x14ac:dyDescent="0.55000000000000004">
      <c r="A24" s="164" t="s">
        <v>24</v>
      </c>
      <c r="B24" s="165">
        <f t="shared" ref="B24:N24" si="15">B16-B21-B22-B23</f>
        <v>818.29000000000087</v>
      </c>
      <c r="C24" s="165">
        <f t="shared" si="15"/>
        <v>8638.9399999999951</v>
      </c>
      <c r="D24" s="165">
        <f t="shared" si="15"/>
        <v>14255.36</v>
      </c>
      <c r="E24" s="165">
        <f t="shared" si="15"/>
        <v>8497.4199999999946</v>
      </c>
      <c r="F24" s="165">
        <f t="shared" si="15"/>
        <v>6022.77</v>
      </c>
      <c r="G24" s="165">
        <f t="shared" si="15"/>
        <v>2710.380000000001</v>
      </c>
      <c r="H24" s="165">
        <f t="shared" si="15"/>
        <v>-6776.1999999999971</v>
      </c>
      <c r="I24" s="165">
        <f t="shared" si="15"/>
        <v>4755.8299999999981</v>
      </c>
      <c r="J24" s="165">
        <f t="shared" si="15"/>
        <v>5534.0900000000038</v>
      </c>
      <c r="K24" s="165">
        <f t="shared" si="15"/>
        <v>7575.2000000000007</v>
      </c>
      <c r="L24" s="165">
        <f t="shared" si="15"/>
        <v>8899.27</v>
      </c>
      <c r="M24" s="165">
        <f t="shared" si="15"/>
        <v>-10261.269999999997</v>
      </c>
      <c r="N24" s="165">
        <f t="shared" si="15"/>
        <v>50670.080000000075</v>
      </c>
      <c r="O24" s="165">
        <f t="shared" si="13"/>
        <v>4222.5066666666726</v>
      </c>
      <c r="P24" s="101"/>
      <c r="Q24" s="55"/>
      <c r="R24" s="55"/>
    </row>
    <row r="25" spans="1:18" ht="14.55" customHeight="1" thickBot="1" x14ac:dyDescent="0.55000000000000004">
      <c r="A25" s="151" t="s">
        <v>133</v>
      </c>
      <c r="B25" s="152">
        <f t="shared" ref="B25:M25" si="16">B21</f>
        <v>109.91</v>
      </c>
      <c r="C25" s="152">
        <f t="shared" si="16"/>
        <v>109.91</v>
      </c>
      <c r="D25" s="152">
        <f t="shared" si="16"/>
        <v>109.91</v>
      </c>
      <c r="E25" s="152">
        <f t="shared" si="16"/>
        <v>109.91</v>
      </c>
      <c r="F25" s="152">
        <f t="shared" si="16"/>
        <v>109.91</v>
      </c>
      <c r="G25" s="152">
        <f t="shared" si="16"/>
        <v>109.91</v>
      </c>
      <c r="H25" s="152">
        <f t="shared" si="16"/>
        <v>109.91</v>
      </c>
      <c r="I25" s="152">
        <f t="shared" si="16"/>
        <v>109.91</v>
      </c>
      <c r="J25" s="152">
        <f t="shared" si="16"/>
        <v>109.91</v>
      </c>
      <c r="K25" s="152">
        <f t="shared" si="16"/>
        <v>109.91</v>
      </c>
      <c r="L25" s="152">
        <f t="shared" si="16"/>
        <v>109.91</v>
      </c>
      <c r="M25" s="152">
        <f t="shared" si="16"/>
        <v>109.91</v>
      </c>
      <c r="N25" s="152">
        <f>SUM(B25:M25)</f>
        <v>1318.92</v>
      </c>
      <c r="O25" s="152">
        <f t="shared" si="13"/>
        <v>109.91000000000001</v>
      </c>
      <c r="P25" s="102"/>
      <c r="Q25" s="55"/>
      <c r="R25" s="55"/>
    </row>
    <row r="26" spans="1:18" ht="17.100000000000001" customHeight="1" thickBot="1" x14ac:dyDescent="0.55000000000000004">
      <c r="A26" s="153" t="s">
        <v>35</v>
      </c>
      <c r="B26" s="154">
        <f>B24+B25</f>
        <v>928.20000000000084</v>
      </c>
      <c r="C26" s="154">
        <f t="shared" ref="C26:M26" si="17">C24+C25</f>
        <v>8748.8499999999949</v>
      </c>
      <c r="D26" s="154">
        <f t="shared" si="17"/>
        <v>14365.27</v>
      </c>
      <c r="E26" s="154">
        <f t="shared" si="17"/>
        <v>8607.3299999999945</v>
      </c>
      <c r="F26" s="154">
        <f t="shared" si="17"/>
        <v>6132.68</v>
      </c>
      <c r="G26" s="154">
        <f t="shared" si="17"/>
        <v>2820.2900000000009</v>
      </c>
      <c r="H26" s="154">
        <f t="shared" si="17"/>
        <v>-6666.2899999999972</v>
      </c>
      <c r="I26" s="154">
        <f t="shared" si="17"/>
        <v>4865.739999999998</v>
      </c>
      <c r="J26" s="154">
        <f t="shared" si="17"/>
        <v>5644.0000000000036</v>
      </c>
      <c r="K26" s="154">
        <f t="shared" si="17"/>
        <v>7685.1100000000006</v>
      </c>
      <c r="L26" s="154">
        <f t="shared" si="17"/>
        <v>9009.18</v>
      </c>
      <c r="M26" s="154">
        <f t="shared" si="17"/>
        <v>-10151.359999999997</v>
      </c>
      <c r="N26" s="155">
        <f>N24+N25</f>
        <v>51989.000000000073</v>
      </c>
      <c r="O26" s="155">
        <f t="shared" si="13"/>
        <v>4332.4166666666724</v>
      </c>
      <c r="P26" s="103"/>
      <c r="Q26" s="55"/>
      <c r="R26" s="55"/>
    </row>
    <row r="27" spans="1:18" ht="24.1" customHeight="1" thickBot="1" x14ac:dyDescent="0.55000000000000004">
      <c r="A27" s="156" t="s">
        <v>36</v>
      </c>
      <c r="B27" s="157">
        <f t="shared" ref="B27:N27" si="18">B14+B26</f>
        <v>2729.2499999999932</v>
      </c>
      <c r="C27" s="157">
        <f t="shared" si="18"/>
        <v>17093.929999999993</v>
      </c>
      <c r="D27" s="157">
        <f t="shared" si="18"/>
        <v>31643.829999999994</v>
      </c>
      <c r="E27" s="157">
        <f t="shared" si="18"/>
        <v>14597.239999999987</v>
      </c>
      <c r="F27" s="157">
        <f t="shared" si="18"/>
        <v>6191.5899999999929</v>
      </c>
      <c r="G27" s="157">
        <f t="shared" si="18"/>
        <v>9542.2599999999984</v>
      </c>
      <c r="H27" s="157">
        <f t="shared" si="18"/>
        <v>-17982.900000000001</v>
      </c>
      <c r="I27" s="157">
        <f t="shared" si="18"/>
        <v>36435.529999999984</v>
      </c>
      <c r="J27" s="157">
        <f t="shared" si="18"/>
        <v>28944.89</v>
      </c>
      <c r="K27" s="157">
        <f t="shared" si="18"/>
        <v>14645.34</v>
      </c>
      <c r="L27" s="157">
        <f t="shared" si="18"/>
        <v>13769.059999999994</v>
      </c>
      <c r="M27" s="157">
        <f t="shared" si="18"/>
        <v>-31225</v>
      </c>
      <c r="N27" s="166">
        <f t="shared" si="18"/>
        <v>126385.01999999999</v>
      </c>
      <c r="O27" s="157">
        <f t="shared" si="13"/>
        <v>10532.084999999999</v>
      </c>
      <c r="P27" s="104"/>
      <c r="Q27" s="55"/>
      <c r="R27" s="55"/>
    </row>
    <row r="28" spans="1:18" ht="11.55" customHeight="1" x14ac:dyDescent="0.5">
      <c r="A28" s="235">
        <v>2024</v>
      </c>
      <c r="B28" s="235"/>
      <c r="C28" s="235"/>
      <c r="D28" s="235"/>
      <c r="E28" s="235"/>
      <c r="F28" s="235"/>
      <c r="G28" s="235"/>
      <c r="H28" s="235"/>
      <c r="I28" s="235"/>
      <c r="J28" s="235"/>
      <c r="K28" s="235"/>
      <c r="L28" s="235"/>
      <c r="M28" s="235"/>
      <c r="N28" s="181"/>
      <c r="O28" s="182"/>
      <c r="P28" s="104"/>
      <c r="Q28" s="55"/>
      <c r="R28" s="55"/>
    </row>
    <row r="29" spans="1:18" ht="11.55" customHeight="1" x14ac:dyDescent="0.5">
      <c r="A29" s="110" t="s">
        <v>37</v>
      </c>
      <c r="B29" s="111">
        <f>B16/6</f>
        <v>4237.0199999999995</v>
      </c>
      <c r="C29" s="111">
        <f>C16/6</f>
        <v>5684.7366666666667</v>
      </c>
      <c r="D29" s="111">
        <f t="shared" ref="D29:M29" si="19">D16/6</f>
        <v>6372.7483333333339</v>
      </c>
      <c r="E29" s="111">
        <f t="shared" si="19"/>
        <v>5638.7599999999993</v>
      </c>
      <c r="F29" s="111">
        <f t="shared" si="19"/>
        <v>4955.78</v>
      </c>
      <c r="G29" s="111">
        <f t="shared" si="19"/>
        <v>4682.4383333333335</v>
      </c>
      <c r="H29" s="111">
        <f t="shared" si="19"/>
        <v>4997.3483333333334</v>
      </c>
      <c r="I29" s="111">
        <f t="shared" si="19"/>
        <v>4840.5233333333335</v>
      </c>
      <c r="J29" s="111">
        <f t="shared" si="19"/>
        <v>4739.793333333334</v>
      </c>
      <c r="K29" s="111">
        <f t="shared" si="19"/>
        <v>5410.9083333333338</v>
      </c>
      <c r="L29" s="111">
        <f t="shared" si="19"/>
        <v>5358.2533333333331</v>
      </c>
      <c r="M29" s="111">
        <f t="shared" si="19"/>
        <v>4541.7</v>
      </c>
      <c r="N29" s="183">
        <f>AVERAGE(B29:H29)</f>
        <v>5224.1188095238094</v>
      </c>
      <c r="O29" s="182"/>
      <c r="P29" s="104"/>
      <c r="Q29" s="55"/>
      <c r="R29" s="55"/>
    </row>
    <row r="30" spans="1:18" ht="13.05" customHeight="1" thickBot="1" x14ac:dyDescent="0.55000000000000004">
      <c r="A30" s="174" t="s">
        <v>38</v>
      </c>
      <c r="B30" s="175">
        <f>B16/7</f>
        <v>3631.7314285714283</v>
      </c>
      <c r="C30" s="175">
        <f>C16/7</f>
        <v>4872.6314285714279</v>
      </c>
      <c r="D30" s="175">
        <f>D16/7</f>
        <v>5462.3557142857153</v>
      </c>
      <c r="E30" s="175">
        <f>E16/6</f>
        <v>5638.7599999999993</v>
      </c>
      <c r="F30" s="175">
        <f>F16/6</f>
        <v>4955.78</v>
      </c>
      <c r="G30" s="175">
        <f t="shared" ref="G30:M30" si="20">G16/7</f>
        <v>4013.5185714285717</v>
      </c>
      <c r="H30" s="175">
        <f t="shared" si="20"/>
        <v>4283.4414285714283</v>
      </c>
      <c r="I30" s="175">
        <f t="shared" si="20"/>
        <v>4149.0199999999995</v>
      </c>
      <c r="J30" s="175">
        <f t="shared" si="20"/>
        <v>4062.6800000000003</v>
      </c>
      <c r="K30" s="175">
        <f t="shared" si="20"/>
        <v>4637.9214285714288</v>
      </c>
      <c r="L30" s="175">
        <f t="shared" si="20"/>
        <v>4592.7885714285712</v>
      </c>
      <c r="M30" s="175">
        <f t="shared" si="20"/>
        <v>3892.8857142857146</v>
      </c>
      <c r="N30" s="183">
        <f>AVERAGE(B30:H30)</f>
        <v>4694.0312244897959</v>
      </c>
      <c r="O30" s="182"/>
      <c r="P30" s="104"/>
      <c r="Q30" s="55"/>
      <c r="R30" s="55"/>
    </row>
    <row r="31" spans="1:18" ht="12.95" customHeight="1" x14ac:dyDescent="0.5">
      <c r="A31" s="235">
        <v>2023</v>
      </c>
      <c r="B31" s="235"/>
      <c r="C31" s="235"/>
      <c r="D31" s="235"/>
      <c r="E31" s="235"/>
      <c r="F31" s="235"/>
      <c r="G31" s="235"/>
      <c r="H31" s="235"/>
      <c r="I31" s="235"/>
      <c r="J31" s="235"/>
      <c r="K31" s="235"/>
      <c r="L31" s="235"/>
      <c r="M31" s="235"/>
      <c r="N31" s="181"/>
      <c r="O31" s="182"/>
      <c r="P31" s="104"/>
      <c r="Q31" s="55"/>
      <c r="R31" s="55"/>
    </row>
    <row r="32" spans="1:18" ht="12.95" customHeight="1" x14ac:dyDescent="0.5">
      <c r="A32" s="110" t="s">
        <v>37</v>
      </c>
      <c r="B32" s="111">
        <v>4415.4666666666672</v>
      </c>
      <c r="C32" s="111">
        <v>5987.4500000000007</v>
      </c>
      <c r="D32" s="111">
        <v>5629.835</v>
      </c>
      <c r="E32" s="111">
        <v>5408.2433333333338</v>
      </c>
      <c r="F32" s="111">
        <v>5454.4866666666667</v>
      </c>
      <c r="G32" s="111">
        <v>6282.9949999999999</v>
      </c>
      <c r="H32" s="111">
        <v>4504.0583333333334</v>
      </c>
      <c r="I32" s="111">
        <v>3949.6516666666666</v>
      </c>
      <c r="J32" s="111">
        <v>3389.2916666666665</v>
      </c>
      <c r="K32" s="111">
        <v>4614.1400000000003</v>
      </c>
      <c r="L32" s="111">
        <v>4708.166666666667</v>
      </c>
      <c r="M32" s="111">
        <v>3404.41</v>
      </c>
      <c r="N32" s="183">
        <f>AVERAGE(B32:M32)</f>
        <v>4812.3495833333327</v>
      </c>
      <c r="O32" s="182"/>
      <c r="P32" s="104"/>
      <c r="Q32" s="55"/>
      <c r="R32" s="55"/>
    </row>
    <row r="33" spans="1:18" ht="12.95" customHeight="1" x14ac:dyDescent="0.5">
      <c r="A33" s="234">
        <v>2022</v>
      </c>
      <c r="B33" s="234"/>
      <c r="C33" s="234"/>
      <c r="D33" s="234"/>
      <c r="E33" s="234"/>
      <c r="F33" s="234"/>
      <c r="G33" s="234"/>
      <c r="H33" s="234"/>
      <c r="I33" s="234"/>
      <c r="J33" s="234"/>
      <c r="K33" s="234"/>
      <c r="L33" s="234"/>
      <c r="M33" s="234"/>
      <c r="N33" s="181"/>
      <c r="O33" s="182"/>
      <c r="P33" s="104"/>
      <c r="Q33" s="55"/>
      <c r="R33" s="55"/>
    </row>
    <row r="34" spans="1:18" ht="12.95" customHeight="1" x14ac:dyDescent="0.5">
      <c r="A34" s="110" t="s">
        <v>37</v>
      </c>
      <c r="B34" s="111">
        <v>3528.86</v>
      </c>
      <c r="C34" s="111">
        <v>4743.8683333333329</v>
      </c>
      <c r="D34" s="111">
        <v>4278.9733333333334</v>
      </c>
      <c r="E34" s="111">
        <v>4425.2599999999993</v>
      </c>
      <c r="F34" s="111">
        <v>3711.8016666666667</v>
      </c>
      <c r="G34" s="111">
        <v>4317.1283333333331</v>
      </c>
      <c r="H34" s="111">
        <v>4388.46</v>
      </c>
      <c r="I34" s="111">
        <v>4257.1083333333327</v>
      </c>
      <c r="J34" s="111">
        <v>4399</v>
      </c>
      <c r="K34" s="111">
        <v>5504.7650000000003</v>
      </c>
      <c r="L34" s="111">
        <v>5053.2599999999993</v>
      </c>
      <c r="M34" s="111">
        <v>4629.6283333333331</v>
      </c>
      <c r="N34" s="183">
        <f>AVERAGE(B34:M34)</f>
        <v>4436.5094444444449</v>
      </c>
      <c r="O34" s="182"/>
      <c r="P34" s="104"/>
      <c r="Q34" s="55"/>
      <c r="R34" s="55"/>
    </row>
    <row r="35" spans="1:18" ht="12.95" customHeight="1" x14ac:dyDescent="0.5">
      <c r="A35" s="174" t="s">
        <v>38</v>
      </c>
      <c r="B35" s="175">
        <v>2646.645</v>
      </c>
      <c r="C35" s="175">
        <v>4066.1728571428571</v>
      </c>
      <c r="D35" s="175">
        <v>3667.6914285714288</v>
      </c>
      <c r="E35" s="175">
        <v>3793.0799999999995</v>
      </c>
      <c r="F35" s="175">
        <v>3181.5442857142857</v>
      </c>
      <c r="G35" s="175">
        <v>3700.3957142857143</v>
      </c>
      <c r="H35" s="175">
        <v>3761.5371428571425</v>
      </c>
      <c r="I35" s="175">
        <v>3648.95</v>
      </c>
      <c r="J35" s="175">
        <v>3770.5714285714284</v>
      </c>
      <c r="K35" s="175">
        <v>4718.3700000000008</v>
      </c>
      <c r="L35" s="175">
        <v>5053.2599999999993</v>
      </c>
      <c r="M35" s="175">
        <v>4629.6283333333331</v>
      </c>
      <c r="N35" s="183">
        <f>AVERAGE(B35:M35)</f>
        <v>3886.4871825396826</v>
      </c>
      <c r="O35" s="182"/>
      <c r="P35" s="104"/>
      <c r="Q35" s="55"/>
      <c r="R35" s="55"/>
    </row>
    <row r="36" spans="1:18" ht="12.95" customHeight="1" x14ac:dyDescent="0.5">
      <c r="A36" s="234">
        <v>2021</v>
      </c>
      <c r="B36" s="234"/>
      <c r="C36" s="234"/>
      <c r="D36" s="234"/>
      <c r="E36" s="234"/>
      <c r="F36" s="234"/>
      <c r="G36" s="234"/>
      <c r="H36" s="234"/>
      <c r="I36" s="234"/>
      <c r="J36" s="234"/>
      <c r="K36" s="234"/>
      <c r="L36" s="234"/>
      <c r="M36" s="234"/>
      <c r="N36" s="181"/>
      <c r="O36" s="182"/>
      <c r="P36" s="104"/>
      <c r="Q36" s="55"/>
      <c r="R36" s="55"/>
    </row>
    <row r="37" spans="1:18" ht="12.95" customHeight="1" x14ac:dyDescent="0.5">
      <c r="A37" s="110" t="s">
        <v>37</v>
      </c>
      <c r="B37" s="111">
        <v>4029.0116666666672</v>
      </c>
      <c r="C37" s="111">
        <v>4296.8783333333331</v>
      </c>
      <c r="D37" s="111">
        <v>4763.7883333333339</v>
      </c>
      <c r="E37" s="111">
        <v>3588.3616666666662</v>
      </c>
      <c r="F37" s="111">
        <v>3609.6149999999998</v>
      </c>
      <c r="G37" s="111">
        <v>4665.8866666666663</v>
      </c>
      <c r="H37" s="111">
        <v>4321.2616666666663</v>
      </c>
      <c r="I37" s="111">
        <v>3657.5416666666665</v>
      </c>
      <c r="J37" s="111">
        <v>4442.6883333333326</v>
      </c>
      <c r="K37" s="111">
        <v>5294.7616666666672</v>
      </c>
      <c r="L37" s="111">
        <v>4674.8283333333338</v>
      </c>
      <c r="M37" s="111">
        <v>3984.1666666666665</v>
      </c>
      <c r="N37" s="183">
        <f>AVERAGE(B37:M37)</f>
        <v>4277.3991666666652</v>
      </c>
      <c r="O37" s="182"/>
      <c r="P37" s="104"/>
      <c r="Q37" s="55"/>
      <c r="R37" s="55"/>
    </row>
    <row r="38" spans="1:18" ht="12.95" customHeight="1" x14ac:dyDescent="0.5">
      <c r="A38" s="174" t="s">
        <v>39</v>
      </c>
      <c r="B38" s="175">
        <v>3581.3437037037043</v>
      </c>
      <c r="C38" s="175">
        <v>3966.3492307692309</v>
      </c>
      <c r="D38" s="175">
        <v>4763.7883333333339</v>
      </c>
      <c r="E38" s="175">
        <v>3189.6548148148145</v>
      </c>
      <c r="F38" s="175">
        <v>2707.2112499999998</v>
      </c>
      <c r="G38" s="175">
        <v>3499.415</v>
      </c>
      <c r="H38" s="175">
        <v>3240.94625</v>
      </c>
      <c r="I38" s="175">
        <v>2743.15625</v>
      </c>
      <c r="J38" s="175">
        <v>3332.0162499999997</v>
      </c>
      <c r="K38" s="175">
        <v>3971.0712500000004</v>
      </c>
      <c r="L38" s="175">
        <v>3506.1212500000001</v>
      </c>
      <c r="M38" s="175">
        <v>2988.125</v>
      </c>
      <c r="N38" s="183">
        <f>AVERAGE(B38:M38)</f>
        <v>3457.4332152184238</v>
      </c>
      <c r="O38" s="182"/>
      <c r="P38" s="104"/>
      <c r="Q38" s="55"/>
      <c r="R38" s="55"/>
    </row>
    <row r="39" spans="1:18" ht="16.25" customHeight="1" x14ac:dyDescent="0.5">
      <c r="A39" s="234">
        <v>2020</v>
      </c>
      <c r="B39" s="234"/>
      <c r="C39" s="234"/>
      <c r="D39" s="234"/>
      <c r="E39" s="234"/>
      <c r="F39" s="234"/>
      <c r="G39" s="234"/>
      <c r="H39" s="234"/>
      <c r="I39" s="234"/>
      <c r="J39" s="234"/>
      <c r="K39" s="234"/>
      <c r="L39" s="234"/>
      <c r="M39" s="234"/>
      <c r="N39" s="181"/>
      <c r="O39" s="182"/>
      <c r="P39" s="104"/>
      <c r="Q39" s="55"/>
      <c r="R39" s="55"/>
    </row>
    <row r="40" spans="1:18" x14ac:dyDescent="0.5">
      <c r="A40" s="110" t="s">
        <v>37</v>
      </c>
      <c r="B40" s="111">
        <v>4631.4066666666668</v>
      </c>
      <c r="C40" s="111">
        <v>5038.166666666667</v>
      </c>
      <c r="D40" s="111">
        <v>4851.1966666666667</v>
      </c>
      <c r="E40" s="111">
        <v>4096.0749999999998</v>
      </c>
      <c r="F40" s="111">
        <v>4196.666666666667</v>
      </c>
      <c r="G40" s="111">
        <v>4920.833333333333</v>
      </c>
      <c r="H40" s="111">
        <v>4191.628333333334</v>
      </c>
      <c r="I40" s="111">
        <v>4652.2483333333339</v>
      </c>
      <c r="J40" s="111">
        <v>4234.166666666667</v>
      </c>
      <c r="K40" s="111">
        <v>5310.5316666666668</v>
      </c>
      <c r="L40" s="111">
        <v>5319.0783333333338</v>
      </c>
      <c r="M40" s="111">
        <v>4989.7950000000001</v>
      </c>
      <c r="N40" s="183">
        <f>AVERAGE(B40:M40)</f>
        <v>4702.6494444444443</v>
      </c>
      <c r="O40" s="67"/>
      <c r="P40" s="67"/>
      <c r="Q40" s="55"/>
      <c r="R40" s="55"/>
    </row>
    <row r="41" spans="1:18" x14ac:dyDescent="0.5">
      <c r="A41" s="174" t="s">
        <v>40</v>
      </c>
      <c r="B41" s="175">
        <v>3473.5549999999998</v>
      </c>
      <c r="C41" s="175">
        <v>3778.625</v>
      </c>
      <c r="D41" s="175">
        <v>4851.1966666666667</v>
      </c>
      <c r="E41" s="175">
        <v>4915.29</v>
      </c>
      <c r="F41" s="175">
        <v>5036</v>
      </c>
      <c r="G41" s="175">
        <v>4920.833333333333</v>
      </c>
      <c r="H41" s="175">
        <v>4191.628333333334</v>
      </c>
      <c r="I41" s="175">
        <v>4652.2483333333339</v>
      </c>
      <c r="J41" s="175">
        <v>3629.2857142857142</v>
      </c>
      <c r="K41" s="175">
        <v>4551.8842857142863</v>
      </c>
      <c r="L41" s="175">
        <v>4559.21</v>
      </c>
      <c r="M41" s="175">
        <v>4276.9671428571428</v>
      </c>
      <c r="N41" s="183">
        <f>AVERAGE(B41:M41)</f>
        <v>4403.0603174603184</v>
      </c>
      <c r="O41" s="67"/>
      <c r="P41" s="67"/>
      <c r="Q41" s="55"/>
      <c r="R41" s="55"/>
    </row>
    <row r="42" spans="1:18" ht="18" x14ac:dyDescent="0.5">
      <c r="A42" s="234">
        <v>2019</v>
      </c>
      <c r="B42" s="234"/>
      <c r="C42" s="234"/>
      <c r="D42" s="234"/>
      <c r="E42" s="234"/>
      <c r="F42" s="234"/>
      <c r="G42" s="234"/>
      <c r="H42" s="234"/>
      <c r="I42" s="234"/>
      <c r="J42" s="234"/>
      <c r="K42" s="234"/>
      <c r="L42" s="234"/>
      <c r="M42" s="234"/>
      <c r="N42" s="67"/>
      <c r="O42" s="67"/>
      <c r="P42" s="67"/>
      <c r="Q42" s="55"/>
      <c r="R42" s="55"/>
    </row>
    <row r="43" spans="1:18" x14ac:dyDescent="0.5">
      <c r="A43" s="113" t="s">
        <v>41</v>
      </c>
      <c r="B43" s="114">
        <v>4166.5157142857142</v>
      </c>
      <c r="C43" s="114">
        <v>4603.8571428571431</v>
      </c>
      <c r="D43" s="114">
        <v>4838.2857142857147</v>
      </c>
      <c r="E43" s="114">
        <v>4961.9185714285713</v>
      </c>
      <c r="F43" s="114">
        <v>5924.5714285714284</v>
      </c>
      <c r="G43" s="114">
        <v>4501.2857142857147</v>
      </c>
      <c r="H43" s="114">
        <v>5658.0333333333328</v>
      </c>
      <c r="I43" s="114">
        <v>4578.7333333333336</v>
      </c>
      <c r="J43" s="114">
        <v>4839.333333333333</v>
      </c>
      <c r="K43" s="114">
        <v>5226.2866666666669</v>
      </c>
      <c r="L43" s="114">
        <v>5469.333333333333</v>
      </c>
      <c r="M43" s="114">
        <v>5184.916666666667</v>
      </c>
      <c r="N43" s="183">
        <f>AVERAGE(B43:M43)</f>
        <v>4996.0892460317464</v>
      </c>
      <c r="O43" s="67"/>
      <c r="P43" s="67"/>
      <c r="Q43" s="55"/>
      <c r="R43" s="55"/>
    </row>
    <row r="44" spans="1:18" x14ac:dyDescent="0.5">
      <c r="A44" s="174" t="s">
        <v>42</v>
      </c>
      <c r="B44" s="175">
        <v>2916.5610000000001</v>
      </c>
      <c r="C44" s="175">
        <v>3222.7</v>
      </c>
      <c r="D44" s="175">
        <v>3386.8</v>
      </c>
      <c r="E44" s="175">
        <v>3859.27</v>
      </c>
      <c r="F44" s="175">
        <v>4608</v>
      </c>
      <c r="G44" s="175">
        <v>3501</v>
      </c>
      <c r="H44" s="175">
        <v>4243.5249999999996</v>
      </c>
      <c r="I44" s="175">
        <v>3434.05</v>
      </c>
      <c r="J44" s="175">
        <v>3629.5</v>
      </c>
      <c r="K44" s="175">
        <v>3919.7150000000001</v>
      </c>
      <c r="L44" s="175">
        <v>4102</v>
      </c>
      <c r="M44" s="175">
        <v>3888.6875</v>
      </c>
      <c r="N44" s="183">
        <f>AVERAGE(B44:M44)</f>
        <v>3725.9840416666666</v>
      </c>
      <c r="O44" s="67"/>
      <c r="P44" s="67"/>
      <c r="Q44" s="55"/>
      <c r="R44" s="55"/>
    </row>
    <row r="45" spans="1:18" ht="14.1" customHeight="1" x14ac:dyDescent="0.5">
      <c r="A45" s="234">
        <v>2018</v>
      </c>
      <c r="B45" s="234"/>
      <c r="C45" s="234"/>
      <c r="D45" s="234"/>
      <c r="E45" s="234"/>
      <c r="F45" s="234"/>
      <c r="G45" s="234"/>
      <c r="H45" s="234"/>
      <c r="I45" s="234"/>
      <c r="J45" s="234"/>
      <c r="K45" s="234"/>
      <c r="L45" s="234"/>
      <c r="M45" s="234"/>
      <c r="N45" s="67"/>
      <c r="O45" s="67"/>
      <c r="P45" s="67"/>
      <c r="Q45" s="55"/>
      <c r="R45" s="55"/>
    </row>
    <row r="46" spans="1:18" x14ac:dyDescent="0.5">
      <c r="A46" s="113" t="s">
        <v>43</v>
      </c>
      <c r="B46" s="114">
        <v>4758.3285714285721</v>
      </c>
      <c r="C46" s="114">
        <v>5051.5714285714284</v>
      </c>
      <c r="D46" s="114">
        <v>6206.8571428571431</v>
      </c>
      <c r="E46" s="114">
        <v>5050.1428571428569</v>
      </c>
      <c r="F46" s="114">
        <v>4891.8571428571431</v>
      </c>
      <c r="G46" s="114">
        <v>6049</v>
      </c>
      <c r="H46" s="114">
        <v>5937.1642857142861</v>
      </c>
      <c r="I46" s="114">
        <v>4201.7142857142853</v>
      </c>
      <c r="J46" s="114">
        <v>4655</v>
      </c>
      <c r="K46" s="114">
        <v>4756</v>
      </c>
      <c r="L46" s="114">
        <v>4744.5714285714284</v>
      </c>
      <c r="M46" s="114">
        <v>4506.1428571428569</v>
      </c>
      <c r="N46" s="183">
        <f>AVERAGE(B46:M46)</f>
        <v>5067.3625000000002</v>
      </c>
      <c r="O46" s="67"/>
      <c r="P46" s="67"/>
    </row>
    <row r="47" spans="1:18" x14ac:dyDescent="0.5">
      <c r="A47" s="174" t="s">
        <v>44</v>
      </c>
      <c r="B47" s="175">
        <v>3330.8300000000004</v>
      </c>
      <c r="C47" s="175">
        <v>3536.1</v>
      </c>
      <c r="D47" s="175">
        <v>4344.8</v>
      </c>
      <c r="E47" s="175">
        <v>3927.8888888888887</v>
      </c>
      <c r="F47" s="175">
        <v>3804.7777777777778</v>
      </c>
      <c r="G47" s="175">
        <v>4234.3</v>
      </c>
      <c r="H47" s="175">
        <v>4156.0150000000003</v>
      </c>
      <c r="I47" s="175">
        <v>2941.2</v>
      </c>
      <c r="J47" s="175">
        <v>3258.5</v>
      </c>
      <c r="K47" s="175">
        <v>3329.2</v>
      </c>
      <c r="L47" s="175">
        <v>3321.2</v>
      </c>
      <c r="M47" s="175">
        <v>3154.3</v>
      </c>
      <c r="N47" s="183">
        <f>AVERAGE(B47:M47)</f>
        <v>3611.5926388888888</v>
      </c>
      <c r="O47" s="67"/>
      <c r="P47" s="67"/>
    </row>
    <row r="49" spans="1:18" x14ac:dyDescent="0.5">
      <c r="B49" s="188"/>
      <c r="C49" s="188"/>
      <c r="D49" s="188"/>
      <c r="E49" s="188"/>
      <c r="F49" s="188"/>
      <c r="G49" s="188"/>
      <c r="H49" s="188"/>
      <c r="I49" s="188"/>
      <c r="J49" s="188"/>
      <c r="K49" s="188"/>
      <c r="L49" s="188"/>
      <c r="M49" s="188"/>
    </row>
    <row r="50" spans="1:18" x14ac:dyDescent="0.5">
      <c r="E50" s="119"/>
      <c r="F50" s="1"/>
      <c r="G50" s="1"/>
      <c r="H50" s="1"/>
    </row>
    <row r="51" spans="1:18" x14ac:dyDescent="0.5">
      <c r="E51" s="120"/>
      <c r="F51" s="121"/>
      <c r="G51" s="122"/>
      <c r="H51" s="122"/>
    </row>
    <row r="52" spans="1:18" x14ac:dyDescent="0.5">
      <c r="E52" s="119"/>
      <c r="F52" s="1"/>
      <c r="G52" s="1"/>
      <c r="H52" s="1"/>
    </row>
    <row r="53" spans="1:18" x14ac:dyDescent="0.5">
      <c r="E53" s="120"/>
      <c r="F53" s="121"/>
      <c r="G53" s="122"/>
      <c r="H53" s="122"/>
    </row>
    <row r="54" spans="1:18" x14ac:dyDescent="0.5">
      <c r="E54" s="119"/>
      <c r="F54" s="1"/>
      <c r="G54" s="1"/>
      <c r="H54" s="1"/>
    </row>
    <row r="55" spans="1:18" s="9" customFormat="1" x14ac:dyDescent="0.5">
      <c r="A55" s="1"/>
      <c r="E55" s="120"/>
      <c r="F55" s="121"/>
      <c r="G55" s="122"/>
      <c r="H55" s="122"/>
      <c r="Q55" s="1"/>
      <c r="R55" s="1"/>
    </row>
  </sheetData>
  <mergeCells count="11">
    <mergeCell ref="P6:P8"/>
    <mergeCell ref="P10:P11"/>
    <mergeCell ref="P22:P23"/>
    <mergeCell ref="A31:M31"/>
    <mergeCell ref="P17:P20"/>
    <mergeCell ref="A36:M36"/>
    <mergeCell ref="A39:M39"/>
    <mergeCell ref="A42:M42"/>
    <mergeCell ref="A45:M45"/>
    <mergeCell ref="A28:M28"/>
    <mergeCell ref="A33:M33"/>
  </mergeCells>
  <pageMargins left="0.7" right="0.7" top="0.75" bottom="0.75" header="0.3" footer="0.3"/>
  <pageSetup paperSize="9" orientation="portrait" r:id="rId1"/>
  <ignoredErrors>
    <ignoredError sqref="E30" formula="1"/>
  </ignoredErrors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A8716F-77BC-3846-BAF5-8D85715CA2F2}">
  <sheetPr>
    <tabColor theme="3" tint="0.79998168889431442"/>
  </sheetPr>
  <dimension ref="A1:R53"/>
  <sheetViews>
    <sheetView zoomScale="91" zoomScaleNormal="91" zoomScalePageLayoutView="112" workbookViewId="0">
      <selection activeCell="B24" sqref="B24"/>
    </sheetView>
  </sheetViews>
  <sheetFormatPr baseColWidth="10" defaultColWidth="10.6875" defaultRowHeight="15.75" x14ac:dyDescent="0.5"/>
  <cols>
    <col min="1" max="1" width="23.875" style="1" customWidth="1"/>
    <col min="2" max="5" width="10.75" style="9" bestFit="1" customWidth="1"/>
    <col min="6" max="8" width="10.75" style="9" customWidth="1"/>
    <col min="9" max="13" width="10.75" style="9" bestFit="1" customWidth="1"/>
    <col min="14" max="14" width="14.375" style="9" bestFit="1" customWidth="1"/>
    <col min="15" max="15" width="13.25" style="9" bestFit="1" customWidth="1"/>
    <col min="16" max="16" width="10.75" style="9" bestFit="1" customWidth="1"/>
    <col min="17" max="17" width="34.4375" style="1" customWidth="1"/>
    <col min="18" max="16384" width="10.6875" style="1"/>
  </cols>
  <sheetData>
    <row r="1" spans="1:18" s="198" customFormat="1" ht="16.8" customHeight="1" thickBot="1" x14ac:dyDescent="0.55000000000000004">
      <c r="A1" s="194" t="s">
        <v>128</v>
      </c>
      <c r="B1" s="195" t="s">
        <v>1</v>
      </c>
      <c r="C1" s="195" t="s">
        <v>2</v>
      </c>
      <c r="D1" s="195" t="s">
        <v>3</v>
      </c>
      <c r="E1" s="195" t="s">
        <v>4</v>
      </c>
      <c r="F1" s="196" t="s">
        <v>5</v>
      </c>
      <c r="G1" s="195" t="s">
        <v>6</v>
      </c>
      <c r="H1" s="195" t="s">
        <v>7</v>
      </c>
      <c r="I1" s="195" t="s">
        <v>8</v>
      </c>
      <c r="J1" s="195" t="s">
        <v>9</v>
      </c>
      <c r="K1" s="195" t="s">
        <v>10</v>
      </c>
      <c r="L1" s="195" t="s">
        <v>11</v>
      </c>
      <c r="M1" s="195" t="s">
        <v>12</v>
      </c>
      <c r="N1" s="195" t="s">
        <v>13</v>
      </c>
      <c r="O1" s="195" t="s">
        <v>14</v>
      </c>
      <c r="P1" s="195" t="s">
        <v>15</v>
      </c>
      <c r="Q1" s="197"/>
      <c r="R1" s="197"/>
    </row>
    <row r="2" spans="1:18" s="198" customFormat="1" ht="16.8" customHeight="1" thickBot="1" x14ac:dyDescent="0.55000000000000004">
      <c r="A2" s="194" t="s">
        <v>136</v>
      </c>
      <c r="B2" s="199">
        <v>89839.55</v>
      </c>
      <c r="C2" s="199">
        <v>91021.02</v>
      </c>
      <c r="D2" s="199">
        <v>87144.13</v>
      </c>
      <c r="E2" s="199">
        <v>102753</v>
      </c>
      <c r="F2" s="200">
        <v>85320.25</v>
      </c>
      <c r="G2" s="199">
        <v>111304.92</v>
      </c>
      <c r="H2" s="199">
        <v>109318.25</v>
      </c>
      <c r="I2" s="199">
        <v>94966.58</v>
      </c>
      <c r="J2" s="199">
        <v>114154.92</v>
      </c>
      <c r="K2" s="199">
        <v>88112.48</v>
      </c>
      <c r="L2" s="199">
        <v>107344.99</v>
      </c>
      <c r="M2" s="199">
        <v>115986.94</v>
      </c>
      <c r="N2" s="199">
        <f t="shared" ref="N2" si="0">SUM(B2:M2)</f>
        <v>1197267.03</v>
      </c>
      <c r="O2" s="201">
        <f>N2/12</f>
        <v>99772.252500000002</v>
      </c>
      <c r="P2" s="195"/>
      <c r="Q2" s="197"/>
      <c r="R2" s="197"/>
    </row>
    <row r="3" spans="1:18" s="198" customFormat="1" ht="16.8" customHeight="1" thickBot="1" x14ac:dyDescent="0.55000000000000004">
      <c r="A3" s="194" t="s">
        <v>137</v>
      </c>
      <c r="B3" s="199">
        <f>B2/1.21</f>
        <v>74247.561983471081</v>
      </c>
      <c r="C3" s="199">
        <f t="shared" ref="C3:I3" si="1">C2/1.21</f>
        <v>75223.983471074389</v>
      </c>
      <c r="D3" s="199">
        <f t="shared" si="1"/>
        <v>72019.942148760339</v>
      </c>
      <c r="E3" s="199">
        <f t="shared" si="1"/>
        <v>84919.834710743802</v>
      </c>
      <c r="F3" s="199">
        <f t="shared" si="1"/>
        <v>70512.603305785131</v>
      </c>
      <c r="G3" s="199">
        <f t="shared" si="1"/>
        <v>91987.537190082643</v>
      </c>
      <c r="H3" s="199">
        <f t="shared" si="1"/>
        <v>90345.661157024791</v>
      </c>
      <c r="I3" s="199">
        <f t="shared" si="1"/>
        <v>78484.776859504142</v>
      </c>
      <c r="J3" s="199">
        <f t="shared" ref="J3:M3" si="2">J2/1.21</f>
        <v>94342.909090909088</v>
      </c>
      <c r="K3" s="199">
        <f t="shared" si="2"/>
        <v>72820.231404958671</v>
      </c>
      <c r="L3" s="199">
        <f t="shared" si="2"/>
        <v>88714.867768595053</v>
      </c>
      <c r="M3" s="199">
        <f t="shared" si="2"/>
        <v>95856.975206611576</v>
      </c>
      <c r="N3" s="199">
        <f t="shared" ref="N3" si="3">SUM(B3:M3)</f>
        <v>989476.8842975205</v>
      </c>
      <c r="O3" s="201">
        <f>N3/12</f>
        <v>82456.407024793371</v>
      </c>
      <c r="P3" s="195"/>
      <c r="Q3" s="197"/>
      <c r="R3" s="197"/>
    </row>
    <row r="4" spans="1:18" s="198" customFormat="1" ht="16.8" customHeight="1" thickBot="1" x14ac:dyDescent="0.55000000000000004">
      <c r="A4" s="208" t="s">
        <v>138</v>
      </c>
      <c r="B4" s="205">
        <f>B16+B5</f>
        <v>68186.200000000012</v>
      </c>
      <c r="C4" s="205">
        <f t="shared" ref="C4:M4" si="4">C16+C5</f>
        <v>77446.399999999994</v>
      </c>
      <c r="D4" s="205">
        <f t="shared" si="4"/>
        <v>87310.89</v>
      </c>
      <c r="E4" s="205">
        <f t="shared" si="4"/>
        <v>81171.850000000006</v>
      </c>
      <c r="F4" s="205">
        <f t="shared" si="4"/>
        <v>79521.899999999994</v>
      </c>
      <c r="G4" s="205">
        <f t="shared" si="4"/>
        <v>99483.79</v>
      </c>
      <c r="H4" s="205">
        <f t="shared" si="4"/>
        <v>73570.350000000006</v>
      </c>
      <c r="I4" s="205">
        <f t="shared" si="4"/>
        <v>75273.41</v>
      </c>
      <c r="J4" s="205">
        <f t="shared" ref="J4" si="5">J16+J5</f>
        <v>86027.05</v>
      </c>
      <c r="K4" s="205">
        <f t="shared" si="4"/>
        <v>73508.34</v>
      </c>
      <c r="L4" s="205">
        <f t="shared" si="4"/>
        <v>69355.3</v>
      </c>
      <c r="M4" s="205">
        <f t="shared" si="4"/>
        <v>60337.63</v>
      </c>
      <c r="N4" s="205">
        <f t="shared" ref="N4:N11" si="6">SUM(B4:M4)</f>
        <v>931193.1100000001</v>
      </c>
      <c r="O4" s="206">
        <f>N4/12</f>
        <v>77599.425833333342</v>
      </c>
      <c r="P4" s="207"/>
      <c r="Q4" s="197"/>
      <c r="R4" s="197"/>
    </row>
    <row r="5" spans="1:18" ht="14.55" customHeight="1" thickBot="1" x14ac:dyDescent="0.55000000000000004">
      <c r="A5" s="148" t="s">
        <v>16</v>
      </c>
      <c r="B5" s="149">
        <f>SUM(B6:B8)</f>
        <v>41693.4</v>
      </c>
      <c r="C5" s="149">
        <f t="shared" ref="C5:M5" si="7">SUM(C6:C8)</f>
        <v>41521.699999999997</v>
      </c>
      <c r="D5" s="149">
        <f>SUM(D6:D8)</f>
        <v>53531.88</v>
      </c>
      <c r="E5" s="149">
        <f t="shared" si="7"/>
        <v>47042.380000000005</v>
      </c>
      <c r="F5" s="149">
        <f t="shared" si="7"/>
        <v>46794.979999999996</v>
      </c>
      <c r="G5" s="149">
        <f t="shared" si="7"/>
        <v>61253.09</v>
      </c>
      <c r="H5" s="149">
        <f t="shared" si="7"/>
        <v>46546</v>
      </c>
      <c r="I5" s="149">
        <f t="shared" si="7"/>
        <v>51575.5</v>
      </c>
      <c r="J5" s="149">
        <f t="shared" si="7"/>
        <v>65691.3</v>
      </c>
      <c r="K5" s="149">
        <f t="shared" si="7"/>
        <v>45823.5</v>
      </c>
      <c r="L5" s="149">
        <f t="shared" si="7"/>
        <v>41526.5</v>
      </c>
      <c r="M5" s="149">
        <f t="shared" si="7"/>
        <v>36346</v>
      </c>
      <c r="N5" s="150">
        <f t="shared" si="6"/>
        <v>579346.23</v>
      </c>
      <c r="O5" s="150">
        <f>N5/12</f>
        <v>48278.852500000001</v>
      </c>
      <c r="P5" s="150">
        <f>O5</f>
        <v>48278.852500000001</v>
      </c>
      <c r="Q5" s="55"/>
      <c r="R5" s="55"/>
    </row>
    <row r="6" spans="1:18" ht="14.55" customHeight="1" x14ac:dyDescent="0.5">
      <c r="A6" s="140" t="s">
        <v>17</v>
      </c>
      <c r="B6" s="141">
        <v>28556.400000000001</v>
      </c>
      <c r="C6" s="143">
        <v>26426.3</v>
      </c>
      <c r="D6" s="143">
        <v>32798.879999999997</v>
      </c>
      <c r="E6" s="143">
        <v>26558.38</v>
      </c>
      <c r="F6" s="143">
        <v>27995.98</v>
      </c>
      <c r="G6" s="143">
        <v>33094.089999999997</v>
      </c>
      <c r="H6" s="143">
        <v>26367</v>
      </c>
      <c r="I6" s="143">
        <v>28666.5</v>
      </c>
      <c r="J6" s="143">
        <v>33352.300000000003</v>
      </c>
      <c r="K6" s="143">
        <v>23264.5</v>
      </c>
      <c r="L6" s="143">
        <v>23867.5</v>
      </c>
      <c r="M6" s="143">
        <v>18687</v>
      </c>
      <c r="N6" s="144">
        <f t="shared" si="6"/>
        <v>329634.83</v>
      </c>
      <c r="O6" s="144">
        <f>N6/12</f>
        <v>27469.569166666668</v>
      </c>
      <c r="P6" s="230">
        <f>SUM(O6:O8)</f>
        <v>48278.852500000001</v>
      </c>
      <c r="Q6" s="55"/>
      <c r="R6" s="55"/>
    </row>
    <row r="7" spans="1:18" ht="14.55" customHeight="1" x14ac:dyDescent="0.5">
      <c r="A7" s="107" t="s">
        <v>18</v>
      </c>
      <c r="B7" s="124" t="s">
        <v>135</v>
      </c>
      <c r="C7" s="124">
        <v>1958.4</v>
      </c>
      <c r="D7" s="124">
        <v>3074</v>
      </c>
      <c r="E7" s="124">
        <v>2825</v>
      </c>
      <c r="F7" s="124">
        <v>1140</v>
      </c>
      <c r="G7" s="124">
        <v>10500</v>
      </c>
      <c r="H7" s="124">
        <v>2520</v>
      </c>
      <c r="I7" s="124">
        <v>5250</v>
      </c>
      <c r="J7" s="124">
        <v>14680</v>
      </c>
      <c r="K7" s="124">
        <v>4900</v>
      </c>
      <c r="L7" s="124">
        <v>0</v>
      </c>
      <c r="M7" s="124">
        <v>0</v>
      </c>
      <c r="N7" s="130">
        <f t="shared" si="6"/>
        <v>46847.4</v>
      </c>
      <c r="O7" s="130">
        <f t="shared" ref="O7:O14" si="8">N7/12</f>
        <v>3903.9500000000003</v>
      </c>
      <c r="P7" s="231"/>
      <c r="Q7" s="55"/>
      <c r="R7" s="55"/>
    </row>
    <row r="8" spans="1:18" ht="14.55" customHeight="1" x14ac:dyDescent="0.5">
      <c r="A8" s="74" t="s">
        <v>19</v>
      </c>
      <c r="B8" s="124">
        <v>13137</v>
      </c>
      <c r="C8" s="124">
        <v>13137</v>
      </c>
      <c r="D8" s="124">
        <v>17659</v>
      </c>
      <c r="E8" s="124">
        <v>17659</v>
      </c>
      <c r="F8" s="124">
        <v>17659</v>
      </c>
      <c r="G8" s="124">
        <v>17659</v>
      </c>
      <c r="H8" s="124">
        <v>17659</v>
      </c>
      <c r="I8" s="124">
        <v>17659</v>
      </c>
      <c r="J8" s="124">
        <v>17659</v>
      </c>
      <c r="K8" s="124">
        <v>17659</v>
      </c>
      <c r="L8" s="124">
        <v>17659</v>
      </c>
      <c r="M8" s="124">
        <v>17659</v>
      </c>
      <c r="N8" s="130">
        <f t="shared" si="6"/>
        <v>202864</v>
      </c>
      <c r="O8" s="130">
        <f t="shared" si="8"/>
        <v>16905.333333333332</v>
      </c>
      <c r="P8" s="231"/>
      <c r="Q8" s="55"/>
      <c r="R8" s="55"/>
    </row>
    <row r="9" spans="1:18" ht="14.55" customHeight="1" x14ac:dyDescent="0.5">
      <c r="A9" s="32" t="s">
        <v>133</v>
      </c>
      <c r="B9" s="126">
        <v>109.91</v>
      </c>
      <c r="C9" s="126">
        <v>109.91</v>
      </c>
      <c r="D9" s="126">
        <v>109.91</v>
      </c>
      <c r="E9" s="126">
        <v>109.91</v>
      </c>
      <c r="F9" s="126">
        <v>109.91</v>
      </c>
      <c r="G9" s="126">
        <v>109.91</v>
      </c>
      <c r="H9" s="126">
        <v>109.91</v>
      </c>
      <c r="I9" s="126">
        <v>109.91</v>
      </c>
      <c r="J9" s="126">
        <v>109.91</v>
      </c>
      <c r="K9" s="126">
        <v>109.91</v>
      </c>
      <c r="L9" s="126">
        <v>109.91</v>
      </c>
      <c r="M9" s="126">
        <v>109.91</v>
      </c>
      <c r="N9" s="131">
        <f t="shared" si="6"/>
        <v>1318.92</v>
      </c>
      <c r="O9" s="131">
        <f t="shared" si="8"/>
        <v>109.91000000000001</v>
      </c>
      <c r="P9" s="189"/>
      <c r="Q9" s="55"/>
      <c r="R9" s="55"/>
    </row>
    <row r="10" spans="1:18" ht="14.55" customHeight="1" x14ac:dyDescent="0.5">
      <c r="A10" s="35" t="s">
        <v>22</v>
      </c>
      <c r="B10" s="127">
        <v>31932.639999999999</v>
      </c>
      <c r="C10" s="127">
        <v>32429.040000000001</v>
      </c>
      <c r="D10" s="127">
        <v>32149.46</v>
      </c>
      <c r="E10" s="127">
        <v>44357.39</v>
      </c>
      <c r="F10" s="127">
        <v>34508.589999999997</v>
      </c>
      <c r="G10" s="127">
        <v>34683.53</v>
      </c>
      <c r="H10" s="127">
        <v>50973.55</v>
      </c>
      <c r="I10" s="127">
        <v>33845.94</v>
      </c>
      <c r="J10" s="127">
        <v>34920</v>
      </c>
      <c r="K10" s="127">
        <v>34284.07</v>
      </c>
      <c r="L10" s="127">
        <v>36546.959999999999</v>
      </c>
      <c r="M10" s="134">
        <v>55147.66</v>
      </c>
      <c r="N10" s="132">
        <f t="shared" si="6"/>
        <v>455778.83000000007</v>
      </c>
      <c r="O10" s="132">
        <f t="shared" si="8"/>
        <v>37981.569166666675</v>
      </c>
      <c r="P10" s="233">
        <f>-O10-O11</f>
        <v>-39620.569166666675</v>
      </c>
      <c r="Q10" s="55"/>
      <c r="R10" s="55"/>
    </row>
    <row r="11" spans="1:18" ht="14.55" customHeight="1" thickBot="1" x14ac:dyDescent="0.55000000000000004">
      <c r="A11" s="158" t="s">
        <v>23</v>
      </c>
      <c r="B11" s="159">
        <v>2408</v>
      </c>
      <c r="C11" s="159">
        <v>2474</v>
      </c>
      <c r="D11" s="159">
        <v>3098</v>
      </c>
      <c r="E11" s="159">
        <v>1941</v>
      </c>
      <c r="F11" s="159">
        <v>1671</v>
      </c>
      <c r="G11" s="159">
        <v>3031</v>
      </c>
      <c r="H11" s="159">
        <v>2145</v>
      </c>
      <c r="I11" s="159">
        <v>800</v>
      </c>
      <c r="J11" s="159">
        <v>1100</v>
      </c>
      <c r="K11" s="159">
        <v>800</v>
      </c>
      <c r="L11" s="159">
        <v>100</v>
      </c>
      <c r="M11" s="159">
        <v>100</v>
      </c>
      <c r="N11" s="161">
        <f t="shared" si="6"/>
        <v>19668</v>
      </c>
      <c r="O11" s="161">
        <f t="shared" si="8"/>
        <v>1639</v>
      </c>
      <c r="P11" s="233"/>
      <c r="Q11" s="55"/>
      <c r="R11" s="55"/>
    </row>
    <row r="12" spans="1:18" ht="12.5" customHeight="1" thickBot="1" x14ac:dyDescent="0.55000000000000004">
      <c r="A12" s="164" t="s">
        <v>24</v>
      </c>
      <c r="B12" s="165">
        <f>B5-B9-B10-B11</f>
        <v>7242.8499999999985</v>
      </c>
      <c r="C12" s="165">
        <f t="shared" ref="C12:M12" si="9">C5-C9-C10-C11</f>
        <v>6508.7499999999927</v>
      </c>
      <c r="D12" s="165">
        <f t="shared" si="9"/>
        <v>18174.509999999995</v>
      </c>
      <c r="E12" s="165">
        <f t="shared" si="9"/>
        <v>634.08000000000175</v>
      </c>
      <c r="F12" s="165">
        <f t="shared" si="9"/>
        <v>10505.479999999996</v>
      </c>
      <c r="G12" s="165">
        <f t="shared" si="9"/>
        <v>23428.649999999994</v>
      </c>
      <c r="H12" s="165">
        <f t="shared" si="9"/>
        <v>-6682.4600000000064</v>
      </c>
      <c r="I12" s="165">
        <f t="shared" si="9"/>
        <v>16819.649999999994</v>
      </c>
      <c r="J12" s="165">
        <f t="shared" si="9"/>
        <v>29561.39</v>
      </c>
      <c r="K12" s="165">
        <f t="shared" si="9"/>
        <v>10629.519999999997</v>
      </c>
      <c r="L12" s="165">
        <f t="shared" si="9"/>
        <v>4769.6299999999974</v>
      </c>
      <c r="M12" s="165">
        <f t="shared" si="9"/>
        <v>-19011.570000000007</v>
      </c>
      <c r="N12" s="165">
        <f>N5-N9-N10-N11</f>
        <v>102580.47999999986</v>
      </c>
      <c r="O12" s="165">
        <f t="shared" si="8"/>
        <v>8548.3733333333221</v>
      </c>
      <c r="P12" s="101"/>
      <c r="Q12" s="55"/>
      <c r="R12" s="55"/>
    </row>
    <row r="13" spans="1:18" ht="15.1" customHeight="1" thickBot="1" x14ac:dyDescent="0.55000000000000004">
      <c r="A13" s="203" t="s">
        <v>25</v>
      </c>
      <c r="B13" s="152">
        <f t="shared" ref="B13:M13" si="10">B9</f>
        <v>109.91</v>
      </c>
      <c r="C13" s="152">
        <f t="shared" si="10"/>
        <v>109.91</v>
      </c>
      <c r="D13" s="152">
        <f t="shared" si="10"/>
        <v>109.91</v>
      </c>
      <c r="E13" s="152">
        <f t="shared" si="10"/>
        <v>109.91</v>
      </c>
      <c r="F13" s="152">
        <f t="shared" si="10"/>
        <v>109.91</v>
      </c>
      <c r="G13" s="152">
        <f t="shared" si="10"/>
        <v>109.91</v>
      </c>
      <c r="H13" s="152">
        <f t="shared" si="10"/>
        <v>109.91</v>
      </c>
      <c r="I13" s="152">
        <f t="shared" si="10"/>
        <v>109.91</v>
      </c>
      <c r="J13" s="152">
        <f t="shared" si="10"/>
        <v>109.91</v>
      </c>
      <c r="K13" s="152">
        <f t="shared" si="10"/>
        <v>109.91</v>
      </c>
      <c r="L13" s="152">
        <f t="shared" si="10"/>
        <v>109.91</v>
      </c>
      <c r="M13" s="152">
        <f t="shared" si="10"/>
        <v>109.91</v>
      </c>
      <c r="N13" s="152">
        <f>SUM(B13:M13)</f>
        <v>1318.92</v>
      </c>
      <c r="O13" s="152">
        <f t="shared" si="8"/>
        <v>109.91000000000001</v>
      </c>
      <c r="P13" s="102"/>
      <c r="Q13" s="55"/>
      <c r="R13" s="55"/>
    </row>
    <row r="14" spans="1:18" ht="17.100000000000001" customHeight="1" thickBot="1" x14ac:dyDescent="0.55000000000000004">
      <c r="A14" s="204" t="s">
        <v>26</v>
      </c>
      <c r="B14" s="154">
        <f>B12+B13</f>
        <v>7352.7599999999984</v>
      </c>
      <c r="C14" s="154">
        <f t="shared" ref="C14:M14" si="11">C12+C13</f>
        <v>6618.6599999999926</v>
      </c>
      <c r="D14" s="154">
        <f t="shared" si="11"/>
        <v>18284.419999999995</v>
      </c>
      <c r="E14" s="154">
        <f t="shared" si="11"/>
        <v>743.99000000000171</v>
      </c>
      <c r="F14" s="154">
        <f t="shared" si="11"/>
        <v>10615.389999999996</v>
      </c>
      <c r="G14" s="154">
        <f t="shared" si="11"/>
        <v>23538.559999999994</v>
      </c>
      <c r="H14" s="154">
        <f t="shared" si="11"/>
        <v>-6572.5500000000065</v>
      </c>
      <c r="I14" s="154">
        <f t="shared" si="11"/>
        <v>16929.559999999994</v>
      </c>
      <c r="J14" s="154">
        <f t="shared" si="11"/>
        <v>29671.3</v>
      </c>
      <c r="K14" s="154">
        <f t="shared" si="11"/>
        <v>10739.429999999997</v>
      </c>
      <c r="L14" s="154">
        <f t="shared" si="11"/>
        <v>4879.5399999999972</v>
      </c>
      <c r="M14" s="154">
        <f t="shared" si="11"/>
        <v>-18901.660000000007</v>
      </c>
      <c r="N14" s="155">
        <f>N12+N13</f>
        <v>103899.39999999986</v>
      </c>
      <c r="O14" s="155">
        <f t="shared" si="8"/>
        <v>8658.2833333333219</v>
      </c>
      <c r="P14" s="103"/>
      <c r="Q14" s="55"/>
      <c r="R14" s="55"/>
    </row>
    <row r="15" spans="1:18" ht="5.0999999999999996" customHeight="1" thickBot="1" x14ac:dyDescent="0.55000000000000004">
      <c r="A15" s="47"/>
      <c r="B15" s="42"/>
      <c r="C15" s="42"/>
      <c r="D15" s="42"/>
      <c r="E15" s="42"/>
      <c r="F15" s="42"/>
      <c r="G15" s="42"/>
      <c r="H15" s="77"/>
      <c r="I15" s="42"/>
      <c r="J15" s="42"/>
      <c r="K15" s="42"/>
      <c r="L15" s="42"/>
      <c r="M15" s="42"/>
      <c r="N15" s="46"/>
      <c r="O15" s="46"/>
      <c r="P15" s="46"/>
      <c r="Q15" s="55"/>
      <c r="R15" s="55"/>
    </row>
    <row r="16" spans="1:18" ht="17.100000000000001" customHeight="1" thickBot="1" x14ac:dyDescent="0.55000000000000004">
      <c r="A16" s="148" t="s">
        <v>27</v>
      </c>
      <c r="B16" s="149">
        <f>SUM(B17:B21)</f>
        <v>26492.800000000003</v>
      </c>
      <c r="C16" s="149">
        <f t="shared" ref="C16:M16" si="12">SUM(C17:C21)</f>
        <v>35924.700000000004</v>
      </c>
      <c r="D16" s="149">
        <f t="shared" si="12"/>
        <v>33779.01</v>
      </c>
      <c r="E16" s="149">
        <f t="shared" si="12"/>
        <v>34129.47</v>
      </c>
      <c r="F16" s="149">
        <f t="shared" si="12"/>
        <v>32726.92</v>
      </c>
      <c r="G16" s="149">
        <f t="shared" si="12"/>
        <v>38230.699999999997</v>
      </c>
      <c r="H16" s="149">
        <f t="shared" si="12"/>
        <v>27024.35</v>
      </c>
      <c r="I16" s="149">
        <f t="shared" si="12"/>
        <v>23697.91</v>
      </c>
      <c r="J16" s="149">
        <f t="shared" si="12"/>
        <v>20335.75</v>
      </c>
      <c r="K16" s="149">
        <f>SUM(K17:K21)</f>
        <v>27684.84</v>
      </c>
      <c r="L16" s="149">
        <f t="shared" si="12"/>
        <v>27828.799999999999</v>
      </c>
      <c r="M16" s="149">
        <f t="shared" si="12"/>
        <v>23991.629999999997</v>
      </c>
      <c r="N16" s="150">
        <f t="shared" ref="N16:N24" si="13">SUM(B16:M16)</f>
        <v>351846.88000000006</v>
      </c>
      <c r="O16" s="150">
        <f>N16/12</f>
        <v>29320.573333333337</v>
      </c>
      <c r="P16" s="150">
        <f>O16</f>
        <v>29320.573333333337</v>
      </c>
      <c r="Q16" s="55"/>
      <c r="R16" s="55"/>
    </row>
    <row r="17" spans="1:18" ht="16.25" customHeight="1" x14ac:dyDescent="0.5">
      <c r="A17" s="140" t="s">
        <v>28</v>
      </c>
      <c r="B17" s="141">
        <v>4905.93</v>
      </c>
      <c r="C17" s="141">
        <v>9351.19</v>
      </c>
      <c r="D17" s="141">
        <v>10210.040000000001</v>
      </c>
      <c r="E17" s="143">
        <v>9755.65</v>
      </c>
      <c r="F17" s="143">
        <v>9881.18</v>
      </c>
      <c r="G17" s="143">
        <v>10192.14</v>
      </c>
      <c r="H17" s="143">
        <v>7231.09</v>
      </c>
      <c r="I17" s="143">
        <v>5306.32</v>
      </c>
      <c r="J17" s="143">
        <v>5485.75</v>
      </c>
      <c r="K17" s="143">
        <v>7528.07</v>
      </c>
      <c r="L17" s="143">
        <v>7755.64</v>
      </c>
      <c r="M17" s="143">
        <v>4696.04</v>
      </c>
      <c r="N17" s="144">
        <f t="shared" si="13"/>
        <v>92299.040000000008</v>
      </c>
      <c r="O17" s="144">
        <f t="shared" ref="O17:O28" si="14">N17/12</f>
        <v>7691.586666666667</v>
      </c>
      <c r="P17" s="230">
        <f>SUM(O17:O21)</f>
        <v>29320.573333333334</v>
      </c>
      <c r="Q17" s="55"/>
      <c r="R17" s="55"/>
    </row>
    <row r="18" spans="1:18" ht="16.25" customHeight="1" x14ac:dyDescent="0.5">
      <c r="A18" s="100" t="s">
        <v>29</v>
      </c>
      <c r="B18" s="124">
        <v>14000</v>
      </c>
      <c r="C18" s="124">
        <v>13300</v>
      </c>
      <c r="D18" s="124">
        <v>12750</v>
      </c>
      <c r="E18" s="124">
        <v>12750</v>
      </c>
      <c r="F18" s="136">
        <v>12750</v>
      </c>
      <c r="G18" s="136">
        <v>12750</v>
      </c>
      <c r="H18" s="136">
        <v>12750</v>
      </c>
      <c r="I18" s="136">
        <v>12750</v>
      </c>
      <c r="J18" s="136">
        <v>12750</v>
      </c>
      <c r="K18" s="136">
        <v>12750</v>
      </c>
      <c r="L18" s="136">
        <v>12750</v>
      </c>
      <c r="M18" s="136">
        <v>12750</v>
      </c>
      <c r="N18" s="130">
        <f t="shared" si="13"/>
        <v>154800</v>
      </c>
      <c r="O18" s="130">
        <f t="shared" si="14"/>
        <v>12900</v>
      </c>
      <c r="P18" s="231"/>
      <c r="Q18" s="55"/>
      <c r="R18" s="55"/>
    </row>
    <row r="19" spans="1:18" ht="16.25" customHeight="1" x14ac:dyDescent="0.5">
      <c r="A19" s="202" t="s">
        <v>30</v>
      </c>
      <c r="B19" s="124">
        <v>2100</v>
      </c>
      <c r="C19" s="124">
        <v>2100</v>
      </c>
      <c r="D19" s="124">
        <v>2100</v>
      </c>
      <c r="E19" s="124">
        <v>2100</v>
      </c>
      <c r="F19" s="139">
        <v>2100</v>
      </c>
      <c r="G19" s="187">
        <v>2100</v>
      </c>
      <c r="H19" s="187">
        <v>2100</v>
      </c>
      <c r="I19" s="187">
        <v>2100</v>
      </c>
      <c r="J19" s="187">
        <v>2100</v>
      </c>
      <c r="K19" s="187">
        <v>2100</v>
      </c>
      <c r="L19" s="187">
        <v>2100</v>
      </c>
      <c r="M19" s="187">
        <v>2100</v>
      </c>
      <c r="N19" s="135">
        <f t="shared" si="13"/>
        <v>25200</v>
      </c>
      <c r="O19" s="130">
        <f t="shared" si="14"/>
        <v>2100</v>
      </c>
      <c r="P19" s="231"/>
      <c r="Q19" s="55"/>
      <c r="R19" s="55"/>
    </row>
    <row r="20" spans="1:18" ht="16.25" customHeight="1" x14ac:dyDescent="0.5">
      <c r="A20" s="107" t="s">
        <v>129</v>
      </c>
      <c r="B20" s="123">
        <v>4657.58</v>
      </c>
      <c r="C20" s="168">
        <v>8703.91</v>
      </c>
      <c r="D20" s="168">
        <v>7163.91</v>
      </c>
      <c r="E20" s="139">
        <v>5873.56</v>
      </c>
      <c r="F20" s="139">
        <v>5300.14</v>
      </c>
      <c r="G20" s="187">
        <v>9737.14</v>
      </c>
      <c r="H20" s="124">
        <v>4276.03</v>
      </c>
      <c r="I20" s="124">
        <v>3541.59</v>
      </c>
      <c r="J20" s="124" t="s">
        <v>141</v>
      </c>
      <c r="K20" s="124">
        <v>2759.57</v>
      </c>
      <c r="L20" s="124">
        <v>2494.6</v>
      </c>
      <c r="M20" s="124">
        <v>1876.6</v>
      </c>
      <c r="N20" s="135">
        <f t="shared" si="13"/>
        <v>56384.63</v>
      </c>
      <c r="O20" s="130">
        <f t="shared" si="14"/>
        <v>4698.7191666666668</v>
      </c>
      <c r="P20" s="231"/>
      <c r="Q20" s="55"/>
      <c r="R20" s="55"/>
    </row>
    <row r="21" spans="1:18" ht="16.25" customHeight="1" x14ac:dyDescent="0.5">
      <c r="A21" s="107" t="s">
        <v>130</v>
      </c>
      <c r="B21" s="123">
        <v>829.29</v>
      </c>
      <c r="C21" s="168">
        <v>2469.6</v>
      </c>
      <c r="D21" s="168">
        <v>1555.06</v>
      </c>
      <c r="E21" s="193">
        <v>3650.26</v>
      </c>
      <c r="F21" s="139">
        <v>2695.6</v>
      </c>
      <c r="G21" s="187">
        <v>3451.42</v>
      </c>
      <c r="H21" s="124">
        <v>667.23</v>
      </c>
      <c r="I21" s="124" t="s">
        <v>140</v>
      </c>
      <c r="J21" s="124" t="s">
        <v>142</v>
      </c>
      <c r="K21" s="124">
        <v>2547.1999999999998</v>
      </c>
      <c r="L21" s="124">
        <v>2728.56</v>
      </c>
      <c r="M21" s="124">
        <v>2568.9899999999998</v>
      </c>
      <c r="N21" s="135">
        <f t="shared" si="13"/>
        <v>23163.21</v>
      </c>
      <c r="O21" s="130">
        <f t="shared" si="14"/>
        <v>1930.2674999999999</v>
      </c>
      <c r="P21" s="231"/>
      <c r="Q21" s="55"/>
      <c r="R21" s="55"/>
    </row>
    <row r="22" spans="1:18" ht="16.25" customHeight="1" x14ac:dyDescent="0.5">
      <c r="A22" s="32" t="s">
        <v>133</v>
      </c>
      <c r="B22" s="126">
        <f t="shared" ref="B22:M22" si="15">B9</f>
        <v>109.91</v>
      </c>
      <c r="C22" s="126">
        <f t="shared" si="15"/>
        <v>109.91</v>
      </c>
      <c r="D22" s="126">
        <f t="shared" si="15"/>
        <v>109.91</v>
      </c>
      <c r="E22" s="126">
        <f t="shared" si="15"/>
        <v>109.91</v>
      </c>
      <c r="F22" s="126">
        <f t="shared" si="15"/>
        <v>109.91</v>
      </c>
      <c r="G22" s="126">
        <f t="shared" si="15"/>
        <v>109.91</v>
      </c>
      <c r="H22" s="126">
        <f t="shared" si="15"/>
        <v>109.91</v>
      </c>
      <c r="I22" s="126">
        <f t="shared" si="15"/>
        <v>109.91</v>
      </c>
      <c r="J22" s="126">
        <f t="shared" si="15"/>
        <v>109.91</v>
      </c>
      <c r="K22" s="126">
        <f t="shared" si="15"/>
        <v>109.91</v>
      </c>
      <c r="L22" s="126">
        <f t="shared" si="15"/>
        <v>109.91</v>
      </c>
      <c r="M22" s="126">
        <f t="shared" si="15"/>
        <v>109.91</v>
      </c>
      <c r="N22" s="131">
        <f t="shared" si="13"/>
        <v>1318.92</v>
      </c>
      <c r="O22" s="131">
        <f t="shared" si="14"/>
        <v>109.91000000000001</v>
      </c>
      <c r="P22" s="189"/>
      <c r="Q22" s="55"/>
      <c r="R22" s="55"/>
    </row>
    <row r="23" spans="1:18" ht="16.25" customHeight="1" x14ac:dyDescent="0.5">
      <c r="A23" s="35" t="s">
        <v>33</v>
      </c>
      <c r="B23" s="127">
        <v>18223.18</v>
      </c>
      <c r="C23" s="127">
        <v>17654.849999999999</v>
      </c>
      <c r="D23" s="127">
        <v>18314.330000000002</v>
      </c>
      <c r="E23" s="127">
        <v>24503.38</v>
      </c>
      <c r="F23" s="127">
        <v>21378</v>
      </c>
      <c r="G23" s="127">
        <v>18549.29</v>
      </c>
      <c r="H23" s="127">
        <v>31013.18</v>
      </c>
      <c r="I23" s="127">
        <v>18420.91</v>
      </c>
      <c r="J23" s="127">
        <v>17539.169999999998</v>
      </c>
      <c r="K23" s="127">
        <v>17276.18</v>
      </c>
      <c r="L23" s="127">
        <v>19971.259999999998</v>
      </c>
      <c r="M23" s="134">
        <v>32978.370000000003</v>
      </c>
      <c r="N23" s="132">
        <f t="shared" si="13"/>
        <v>255822.09999999998</v>
      </c>
      <c r="O23" s="132">
        <f t="shared" si="14"/>
        <v>21318.508333333331</v>
      </c>
      <c r="P23" s="233">
        <f>-O23-O24</f>
        <v>-23913.924999999999</v>
      </c>
      <c r="Q23" s="55"/>
      <c r="R23" s="55"/>
    </row>
    <row r="24" spans="1:18" ht="16.25" customHeight="1" thickBot="1" x14ac:dyDescent="0.55000000000000004">
      <c r="A24" s="158" t="s">
        <v>34</v>
      </c>
      <c r="B24" s="159">
        <v>2287</v>
      </c>
      <c r="C24" s="159">
        <v>4648</v>
      </c>
      <c r="D24" s="159">
        <v>4601</v>
      </c>
      <c r="E24" s="159">
        <v>5368</v>
      </c>
      <c r="F24" s="159">
        <v>4486</v>
      </c>
      <c r="G24" s="159">
        <v>3969</v>
      </c>
      <c r="H24" s="159">
        <v>2937</v>
      </c>
      <c r="I24" s="159">
        <v>700</v>
      </c>
      <c r="J24" s="159">
        <v>700</v>
      </c>
      <c r="K24" s="159">
        <v>700</v>
      </c>
      <c r="L24" s="159">
        <v>574</v>
      </c>
      <c r="M24" s="159">
        <v>175</v>
      </c>
      <c r="N24" s="161">
        <f t="shared" si="13"/>
        <v>31145</v>
      </c>
      <c r="O24" s="161">
        <f t="shared" si="14"/>
        <v>2595.4166666666665</v>
      </c>
      <c r="P24" s="233"/>
      <c r="Q24" s="55"/>
      <c r="R24" s="55"/>
    </row>
    <row r="25" spans="1:18" ht="13.8" customHeight="1" thickBot="1" x14ac:dyDescent="0.55000000000000004">
      <c r="A25" s="164" t="s">
        <v>24</v>
      </c>
      <c r="B25" s="165">
        <f>B16-B22-B23-B24</f>
        <v>5872.7100000000028</v>
      </c>
      <c r="C25" s="165">
        <f t="shared" ref="C25:M25" si="16">C16-C22-C23-C24</f>
        <v>13511.940000000002</v>
      </c>
      <c r="D25" s="165">
        <f t="shared" si="16"/>
        <v>10753.769999999997</v>
      </c>
      <c r="E25" s="165">
        <f t="shared" si="16"/>
        <v>4148.1799999999967</v>
      </c>
      <c r="F25" s="165">
        <f t="shared" si="16"/>
        <v>6753.0099999999984</v>
      </c>
      <c r="G25" s="165">
        <f t="shared" si="16"/>
        <v>15602.499999999993</v>
      </c>
      <c r="H25" s="165">
        <f t="shared" si="16"/>
        <v>-7035.7400000000016</v>
      </c>
      <c r="I25" s="165">
        <f t="shared" si="16"/>
        <v>4467.09</v>
      </c>
      <c r="J25" s="165">
        <f t="shared" si="16"/>
        <v>1986.6700000000019</v>
      </c>
      <c r="K25" s="165">
        <f t="shared" si="16"/>
        <v>9598.75</v>
      </c>
      <c r="L25" s="165">
        <f t="shared" si="16"/>
        <v>7173.630000000001</v>
      </c>
      <c r="M25" s="165">
        <f t="shared" si="16"/>
        <v>-9271.6500000000051</v>
      </c>
      <c r="N25" s="165">
        <f>N16-N22-N23-N24</f>
        <v>63560.860000000102</v>
      </c>
      <c r="O25" s="165">
        <f t="shared" si="14"/>
        <v>5296.7383333333419</v>
      </c>
      <c r="P25" s="101"/>
      <c r="Q25" s="55"/>
      <c r="R25" s="55"/>
    </row>
    <row r="26" spans="1:18" ht="14.55" customHeight="1" thickBot="1" x14ac:dyDescent="0.55000000000000004">
      <c r="A26" s="151" t="s">
        <v>133</v>
      </c>
      <c r="B26" s="152">
        <f t="shared" ref="B26:M26" si="17">B22</f>
        <v>109.91</v>
      </c>
      <c r="C26" s="152">
        <f t="shared" si="17"/>
        <v>109.91</v>
      </c>
      <c r="D26" s="152">
        <f t="shared" si="17"/>
        <v>109.91</v>
      </c>
      <c r="E26" s="152">
        <f t="shared" si="17"/>
        <v>109.91</v>
      </c>
      <c r="F26" s="152">
        <f t="shared" si="17"/>
        <v>109.91</v>
      </c>
      <c r="G26" s="152">
        <f t="shared" si="17"/>
        <v>109.91</v>
      </c>
      <c r="H26" s="152">
        <f t="shared" si="17"/>
        <v>109.91</v>
      </c>
      <c r="I26" s="152">
        <f t="shared" si="17"/>
        <v>109.91</v>
      </c>
      <c r="J26" s="152">
        <f t="shared" si="17"/>
        <v>109.91</v>
      </c>
      <c r="K26" s="152">
        <f t="shared" si="17"/>
        <v>109.91</v>
      </c>
      <c r="L26" s="152">
        <f t="shared" si="17"/>
        <v>109.91</v>
      </c>
      <c r="M26" s="152">
        <f t="shared" si="17"/>
        <v>109.91</v>
      </c>
      <c r="N26" s="152">
        <f>SUM(B26:M26)</f>
        <v>1318.92</v>
      </c>
      <c r="O26" s="152">
        <f t="shared" si="14"/>
        <v>109.91000000000001</v>
      </c>
      <c r="P26" s="102"/>
      <c r="Q26" s="55"/>
      <c r="R26" s="55"/>
    </row>
    <row r="27" spans="1:18" ht="17.100000000000001" customHeight="1" thickBot="1" x14ac:dyDescent="0.55000000000000004">
      <c r="A27" s="153" t="s">
        <v>35</v>
      </c>
      <c r="B27" s="154">
        <f>B25+B26</f>
        <v>5982.6200000000026</v>
      </c>
      <c r="C27" s="154">
        <f t="shared" ref="C27:M27" si="18">C25+C26</f>
        <v>13621.850000000002</v>
      </c>
      <c r="D27" s="154">
        <f t="shared" si="18"/>
        <v>10863.679999999997</v>
      </c>
      <c r="E27" s="154">
        <f t="shared" si="18"/>
        <v>4258.0899999999965</v>
      </c>
      <c r="F27" s="154">
        <f t="shared" si="18"/>
        <v>6862.9199999999983</v>
      </c>
      <c r="G27" s="154">
        <f t="shared" si="18"/>
        <v>15712.409999999993</v>
      </c>
      <c r="H27" s="154">
        <f t="shared" si="18"/>
        <v>-6925.8300000000017</v>
      </c>
      <c r="I27" s="154">
        <f t="shared" si="18"/>
        <v>4577</v>
      </c>
      <c r="J27" s="154">
        <f t="shared" si="18"/>
        <v>2096.5800000000017</v>
      </c>
      <c r="K27" s="154">
        <f t="shared" si="18"/>
        <v>9708.66</v>
      </c>
      <c r="L27" s="154">
        <f t="shared" si="18"/>
        <v>7283.5400000000009</v>
      </c>
      <c r="M27" s="154">
        <f t="shared" si="18"/>
        <v>-9161.7400000000052</v>
      </c>
      <c r="N27" s="155">
        <f>N25+N26</f>
        <v>64879.780000000101</v>
      </c>
      <c r="O27" s="155">
        <f t="shared" si="14"/>
        <v>5406.6483333333417</v>
      </c>
      <c r="P27" s="103"/>
      <c r="Q27" s="55"/>
      <c r="R27" s="55"/>
    </row>
    <row r="28" spans="1:18" ht="24.1" customHeight="1" thickBot="1" x14ac:dyDescent="0.55000000000000004">
      <c r="A28" s="156" t="s">
        <v>36</v>
      </c>
      <c r="B28" s="157">
        <f>B14+B27</f>
        <v>13335.380000000001</v>
      </c>
      <c r="C28" s="157">
        <f t="shared" ref="C28:M28" si="19">C14+C27</f>
        <v>20240.509999999995</v>
      </c>
      <c r="D28" s="157">
        <f t="shared" si="19"/>
        <v>29148.099999999991</v>
      </c>
      <c r="E28" s="157">
        <f t="shared" si="19"/>
        <v>5002.0799999999981</v>
      </c>
      <c r="F28" s="157">
        <f t="shared" si="19"/>
        <v>17478.309999999994</v>
      </c>
      <c r="G28" s="157">
        <f t="shared" si="19"/>
        <v>39250.969999999987</v>
      </c>
      <c r="H28" s="157">
        <f t="shared" si="19"/>
        <v>-13498.380000000008</v>
      </c>
      <c r="I28" s="157">
        <f t="shared" si="19"/>
        <v>21506.559999999994</v>
      </c>
      <c r="J28" s="157">
        <f t="shared" si="19"/>
        <v>31767.88</v>
      </c>
      <c r="K28" s="157">
        <f t="shared" si="19"/>
        <v>20448.089999999997</v>
      </c>
      <c r="L28" s="157">
        <f t="shared" si="19"/>
        <v>12163.079999999998</v>
      </c>
      <c r="M28" s="157">
        <f t="shared" si="19"/>
        <v>-28063.400000000012</v>
      </c>
      <c r="N28" s="166">
        <f>N14+N27</f>
        <v>168779.17999999996</v>
      </c>
      <c r="O28" s="157">
        <f t="shared" si="14"/>
        <v>14064.931666666664</v>
      </c>
      <c r="P28" s="104"/>
      <c r="Q28" s="55"/>
      <c r="R28" s="55"/>
    </row>
    <row r="29" spans="1:18" ht="12.95" customHeight="1" x14ac:dyDescent="0.5">
      <c r="A29" s="235">
        <v>2023</v>
      </c>
      <c r="B29" s="235"/>
      <c r="C29" s="235"/>
      <c r="D29" s="235"/>
      <c r="E29" s="235"/>
      <c r="F29" s="235"/>
      <c r="G29" s="235"/>
      <c r="H29" s="235"/>
      <c r="I29" s="235"/>
      <c r="J29" s="235"/>
      <c r="K29" s="235"/>
      <c r="L29" s="235"/>
      <c r="M29" s="235"/>
      <c r="N29" s="181"/>
      <c r="O29" s="182"/>
      <c r="P29" s="104"/>
      <c r="Q29" s="55"/>
      <c r="R29" s="55"/>
    </row>
    <row r="30" spans="1:18" ht="12.95" customHeight="1" x14ac:dyDescent="0.5">
      <c r="A30" s="110" t="s">
        <v>37</v>
      </c>
      <c r="B30" s="111">
        <f>B16/6</f>
        <v>4415.4666666666672</v>
      </c>
      <c r="C30" s="111">
        <f>C16/6</f>
        <v>5987.4500000000007</v>
      </c>
      <c r="D30" s="111">
        <f t="shared" ref="D30:M30" si="20">D16/6</f>
        <v>5629.835</v>
      </c>
      <c r="E30" s="111">
        <f t="shared" si="20"/>
        <v>5688.2449999999999</v>
      </c>
      <c r="F30" s="111">
        <f t="shared" si="20"/>
        <v>5454.4866666666667</v>
      </c>
      <c r="G30" s="111">
        <f t="shared" si="20"/>
        <v>6371.7833333333328</v>
      </c>
      <c r="H30" s="111">
        <f t="shared" si="20"/>
        <v>4504.0583333333334</v>
      </c>
      <c r="I30" s="111">
        <f t="shared" si="20"/>
        <v>3949.6516666666666</v>
      </c>
      <c r="J30" s="111">
        <f t="shared" si="20"/>
        <v>3389.2916666666665</v>
      </c>
      <c r="K30" s="111">
        <f t="shared" si="20"/>
        <v>4614.1400000000003</v>
      </c>
      <c r="L30" s="111">
        <f t="shared" si="20"/>
        <v>4638.1333333333332</v>
      </c>
      <c r="M30" s="111">
        <f t="shared" si="20"/>
        <v>3998.6049999999996</v>
      </c>
      <c r="N30" s="183">
        <f>AVERAGE(B30:M30)</f>
        <v>4886.7622222222208</v>
      </c>
      <c r="O30" s="182"/>
      <c r="P30" s="104"/>
      <c r="Q30" s="55"/>
      <c r="R30" s="55"/>
    </row>
    <row r="31" spans="1:18" ht="12.95" customHeight="1" x14ac:dyDescent="0.5">
      <c r="A31" s="234">
        <v>2022</v>
      </c>
      <c r="B31" s="234"/>
      <c r="C31" s="234"/>
      <c r="D31" s="234"/>
      <c r="E31" s="234"/>
      <c r="F31" s="234"/>
      <c r="G31" s="234"/>
      <c r="H31" s="234"/>
      <c r="I31" s="234"/>
      <c r="J31" s="234"/>
      <c r="K31" s="234"/>
      <c r="L31" s="234"/>
      <c r="M31" s="234"/>
      <c r="N31" s="181"/>
      <c r="O31" s="209">
        <v>23380</v>
      </c>
      <c r="P31" s="104"/>
      <c r="Q31" s="55"/>
      <c r="R31" s="55"/>
    </row>
    <row r="32" spans="1:18" ht="12.95" customHeight="1" x14ac:dyDescent="0.5">
      <c r="A32" s="110" t="s">
        <v>37</v>
      </c>
      <c r="B32" s="111">
        <v>3528.86</v>
      </c>
      <c r="C32" s="111">
        <v>4743.8683333333329</v>
      </c>
      <c r="D32" s="111">
        <v>4278.9733333333334</v>
      </c>
      <c r="E32" s="111">
        <v>4425.2599999999993</v>
      </c>
      <c r="F32" s="111">
        <v>3711.8016666666667</v>
      </c>
      <c r="G32" s="111">
        <v>4317.1283333333331</v>
      </c>
      <c r="H32" s="111">
        <v>4388.46</v>
      </c>
      <c r="I32" s="111">
        <v>4257.1083333333327</v>
      </c>
      <c r="J32" s="111">
        <v>4399</v>
      </c>
      <c r="K32" s="111">
        <v>5504.7650000000003</v>
      </c>
      <c r="L32" s="111">
        <v>5053.2599999999993</v>
      </c>
      <c r="M32" s="111">
        <v>4629.6283333333331</v>
      </c>
      <c r="N32" s="183">
        <f>AVERAGE(B32:M32)</f>
        <v>4436.5094444444449</v>
      </c>
      <c r="O32" s="182"/>
      <c r="P32" s="104"/>
      <c r="Q32" s="55"/>
      <c r="R32" s="55"/>
    </row>
    <row r="33" spans="1:18" ht="12.95" customHeight="1" x14ac:dyDescent="0.5">
      <c r="A33" s="174" t="s">
        <v>38</v>
      </c>
      <c r="B33" s="175">
        <v>2646.645</v>
      </c>
      <c r="C33" s="175">
        <v>4066.1728571428571</v>
      </c>
      <c r="D33" s="175">
        <v>3667.6914285714288</v>
      </c>
      <c r="E33" s="175">
        <v>3793.0799999999995</v>
      </c>
      <c r="F33" s="175">
        <v>3181.5442857142857</v>
      </c>
      <c r="G33" s="175">
        <v>3700.3957142857143</v>
      </c>
      <c r="H33" s="175">
        <v>3761.5371428571425</v>
      </c>
      <c r="I33" s="175">
        <v>3648.95</v>
      </c>
      <c r="J33" s="175">
        <v>3770.5714285714284</v>
      </c>
      <c r="K33" s="175">
        <v>4718.3700000000008</v>
      </c>
      <c r="L33" s="175">
        <v>5053.2599999999993</v>
      </c>
      <c r="M33" s="175">
        <v>4629.6283333333331</v>
      </c>
      <c r="N33" s="183">
        <f>AVERAGE(B33:M33)</f>
        <v>3886.4871825396826</v>
      </c>
      <c r="O33" s="182"/>
      <c r="P33" s="104"/>
      <c r="Q33" s="55"/>
      <c r="R33" s="55"/>
    </row>
    <row r="34" spans="1:18" ht="12.95" customHeight="1" x14ac:dyDescent="0.5">
      <c r="A34" s="234">
        <v>2021</v>
      </c>
      <c r="B34" s="234"/>
      <c r="C34" s="234"/>
      <c r="D34" s="234"/>
      <c r="E34" s="234"/>
      <c r="F34" s="234"/>
      <c r="G34" s="234"/>
      <c r="H34" s="234"/>
      <c r="I34" s="234"/>
      <c r="J34" s="234"/>
      <c r="K34" s="234"/>
      <c r="L34" s="234"/>
      <c r="M34" s="234"/>
      <c r="N34" s="181"/>
      <c r="O34" s="182"/>
      <c r="P34" s="104"/>
      <c r="Q34" s="55"/>
      <c r="R34" s="55"/>
    </row>
    <row r="35" spans="1:18" ht="12.95" customHeight="1" x14ac:dyDescent="0.5">
      <c r="A35" s="110" t="s">
        <v>37</v>
      </c>
      <c r="B35" s="111">
        <v>4029.0116666666672</v>
      </c>
      <c r="C35" s="111">
        <v>4296.8783333333331</v>
      </c>
      <c r="D35" s="111">
        <v>4763.7883333333339</v>
      </c>
      <c r="E35" s="111">
        <v>3588.3616666666662</v>
      </c>
      <c r="F35" s="111">
        <v>3609.6149999999998</v>
      </c>
      <c r="G35" s="111">
        <v>4665.8866666666663</v>
      </c>
      <c r="H35" s="111">
        <v>4321.2616666666663</v>
      </c>
      <c r="I35" s="111">
        <v>3657.5416666666665</v>
      </c>
      <c r="J35" s="111">
        <v>4442.6883333333326</v>
      </c>
      <c r="K35" s="111">
        <v>5294.7616666666672</v>
      </c>
      <c r="L35" s="111">
        <v>4674.8283333333338</v>
      </c>
      <c r="M35" s="111">
        <v>3984.1666666666665</v>
      </c>
      <c r="N35" s="183">
        <f>AVERAGE(B35:M35)</f>
        <v>4277.3991666666652</v>
      </c>
      <c r="O35" s="182"/>
      <c r="P35" s="104"/>
      <c r="Q35" s="55"/>
      <c r="R35" s="55"/>
    </row>
    <row r="36" spans="1:18" ht="12.95" customHeight="1" x14ac:dyDescent="0.5">
      <c r="A36" s="174" t="s">
        <v>39</v>
      </c>
      <c r="B36" s="175">
        <v>3581.3437037037043</v>
      </c>
      <c r="C36" s="175">
        <v>3966.3492307692309</v>
      </c>
      <c r="D36" s="175">
        <v>4763.7883333333339</v>
      </c>
      <c r="E36" s="175">
        <v>3189.6548148148145</v>
      </c>
      <c r="F36" s="175">
        <v>2707.2112499999998</v>
      </c>
      <c r="G36" s="175">
        <v>3499.415</v>
      </c>
      <c r="H36" s="175">
        <v>3240.94625</v>
      </c>
      <c r="I36" s="175">
        <v>2743.15625</v>
      </c>
      <c r="J36" s="175">
        <v>3332.0162499999997</v>
      </c>
      <c r="K36" s="175">
        <v>3971.0712500000004</v>
      </c>
      <c r="L36" s="175">
        <v>3506.1212500000001</v>
      </c>
      <c r="M36" s="175">
        <v>2988.125</v>
      </c>
      <c r="N36" s="183">
        <f>AVERAGE(B36:M36)</f>
        <v>3457.4332152184238</v>
      </c>
      <c r="O36" s="182"/>
      <c r="P36" s="104"/>
      <c r="Q36" s="55"/>
      <c r="R36" s="55"/>
    </row>
    <row r="37" spans="1:18" ht="16.25" customHeight="1" x14ac:dyDescent="0.5">
      <c r="A37" s="234">
        <v>2020</v>
      </c>
      <c r="B37" s="234"/>
      <c r="C37" s="234"/>
      <c r="D37" s="234"/>
      <c r="E37" s="234"/>
      <c r="F37" s="234"/>
      <c r="G37" s="234"/>
      <c r="H37" s="234"/>
      <c r="I37" s="234"/>
      <c r="J37" s="234"/>
      <c r="K37" s="234"/>
      <c r="L37" s="234"/>
      <c r="M37" s="234"/>
      <c r="N37" s="181"/>
      <c r="O37" s="182"/>
      <c r="P37" s="104"/>
      <c r="Q37" s="55"/>
      <c r="R37" s="55"/>
    </row>
    <row r="38" spans="1:18" x14ac:dyDescent="0.5">
      <c r="A38" s="110" t="s">
        <v>37</v>
      </c>
      <c r="B38" s="111">
        <v>4631.4066666666668</v>
      </c>
      <c r="C38" s="111">
        <v>5038.166666666667</v>
      </c>
      <c r="D38" s="111">
        <v>4851.1966666666667</v>
      </c>
      <c r="E38" s="111">
        <v>4096.0749999999998</v>
      </c>
      <c r="F38" s="111">
        <v>4196.666666666667</v>
      </c>
      <c r="G38" s="111">
        <v>4920.833333333333</v>
      </c>
      <c r="H38" s="111">
        <v>4191.628333333334</v>
      </c>
      <c r="I38" s="111">
        <v>4652.2483333333339</v>
      </c>
      <c r="J38" s="111">
        <v>4234.166666666667</v>
      </c>
      <c r="K38" s="111">
        <v>5310.5316666666668</v>
      </c>
      <c r="L38" s="111">
        <v>5319.0783333333338</v>
      </c>
      <c r="M38" s="111">
        <v>4989.7950000000001</v>
      </c>
      <c r="N38" s="183">
        <f>AVERAGE(B38:M38)</f>
        <v>4702.6494444444443</v>
      </c>
      <c r="O38" s="67"/>
      <c r="P38" s="67"/>
      <c r="Q38" s="55"/>
      <c r="R38" s="55"/>
    </row>
    <row r="39" spans="1:18" x14ac:dyDescent="0.5">
      <c r="A39" s="174" t="s">
        <v>40</v>
      </c>
      <c r="B39" s="175">
        <v>3473.5549999999998</v>
      </c>
      <c r="C39" s="175">
        <v>3778.625</v>
      </c>
      <c r="D39" s="175">
        <v>4851.1966666666667</v>
      </c>
      <c r="E39" s="175">
        <v>4915.29</v>
      </c>
      <c r="F39" s="175">
        <v>5036</v>
      </c>
      <c r="G39" s="175">
        <v>4920.833333333333</v>
      </c>
      <c r="H39" s="175">
        <v>4191.628333333334</v>
      </c>
      <c r="I39" s="175">
        <v>4652.2483333333339</v>
      </c>
      <c r="J39" s="175">
        <v>3629.2857142857142</v>
      </c>
      <c r="K39" s="175">
        <v>4551.8842857142863</v>
      </c>
      <c r="L39" s="175">
        <v>4559.21</v>
      </c>
      <c r="M39" s="175">
        <v>4276.9671428571428</v>
      </c>
      <c r="N39" s="183">
        <f>AVERAGE(B39:M39)</f>
        <v>4403.0603174603184</v>
      </c>
      <c r="O39" s="67"/>
      <c r="P39" s="67"/>
      <c r="Q39" s="55"/>
      <c r="R39" s="55"/>
    </row>
    <row r="40" spans="1:18" ht="18" x14ac:dyDescent="0.5">
      <c r="A40" s="234">
        <v>2019</v>
      </c>
      <c r="B40" s="234"/>
      <c r="C40" s="234"/>
      <c r="D40" s="234"/>
      <c r="E40" s="234"/>
      <c r="F40" s="234"/>
      <c r="G40" s="234"/>
      <c r="H40" s="234"/>
      <c r="I40" s="234"/>
      <c r="J40" s="234"/>
      <c r="K40" s="234"/>
      <c r="L40" s="234"/>
      <c r="M40" s="234"/>
      <c r="N40" s="67"/>
      <c r="O40" s="67"/>
      <c r="P40" s="67"/>
      <c r="Q40" s="55"/>
      <c r="R40" s="55"/>
    </row>
    <row r="41" spans="1:18" x14ac:dyDescent="0.5">
      <c r="A41" s="113" t="s">
        <v>41</v>
      </c>
      <c r="B41" s="114">
        <v>4166.5157142857142</v>
      </c>
      <c r="C41" s="114">
        <v>4603.8571428571431</v>
      </c>
      <c r="D41" s="114">
        <v>4838.2857142857147</v>
      </c>
      <c r="E41" s="114">
        <v>4961.9185714285713</v>
      </c>
      <c r="F41" s="114">
        <v>5924.5714285714284</v>
      </c>
      <c r="G41" s="114">
        <v>4501.2857142857147</v>
      </c>
      <c r="H41" s="114">
        <v>5658.0333333333328</v>
      </c>
      <c r="I41" s="114">
        <v>4578.7333333333336</v>
      </c>
      <c r="J41" s="114">
        <v>4839.333333333333</v>
      </c>
      <c r="K41" s="114">
        <v>5226.2866666666669</v>
      </c>
      <c r="L41" s="114">
        <v>5469.333333333333</v>
      </c>
      <c r="M41" s="114">
        <v>5184.916666666667</v>
      </c>
      <c r="N41" s="183">
        <f>AVERAGE(B41:M41)</f>
        <v>4996.0892460317464</v>
      </c>
      <c r="O41" s="67"/>
      <c r="P41" s="67"/>
      <c r="Q41" s="55"/>
      <c r="R41" s="55"/>
    </row>
    <row r="42" spans="1:18" x14ac:dyDescent="0.5">
      <c r="A42" s="174" t="s">
        <v>42</v>
      </c>
      <c r="B42" s="175">
        <v>2916.5610000000001</v>
      </c>
      <c r="C42" s="175">
        <v>3222.7</v>
      </c>
      <c r="D42" s="175">
        <v>3386.8</v>
      </c>
      <c r="E42" s="175">
        <v>3859.27</v>
      </c>
      <c r="F42" s="175">
        <v>4608</v>
      </c>
      <c r="G42" s="175">
        <v>3501</v>
      </c>
      <c r="H42" s="175">
        <v>4243.5249999999996</v>
      </c>
      <c r="I42" s="175">
        <v>3434.05</v>
      </c>
      <c r="J42" s="175">
        <v>3629.5</v>
      </c>
      <c r="K42" s="175">
        <v>3919.7150000000001</v>
      </c>
      <c r="L42" s="175">
        <v>4102</v>
      </c>
      <c r="M42" s="175">
        <v>3888.6875</v>
      </c>
      <c r="N42" s="183">
        <f>AVERAGE(B42:M42)</f>
        <v>3725.9840416666666</v>
      </c>
      <c r="O42" s="67"/>
      <c r="P42" s="67"/>
      <c r="Q42" s="55"/>
      <c r="R42" s="55"/>
    </row>
    <row r="43" spans="1:18" ht="14.1" customHeight="1" x14ac:dyDescent="0.5">
      <c r="A43" s="234">
        <v>2018</v>
      </c>
      <c r="B43" s="234"/>
      <c r="C43" s="234"/>
      <c r="D43" s="234"/>
      <c r="E43" s="234"/>
      <c r="F43" s="234"/>
      <c r="G43" s="234"/>
      <c r="H43" s="234"/>
      <c r="I43" s="234"/>
      <c r="J43" s="234"/>
      <c r="K43" s="234"/>
      <c r="L43" s="234"/>
      <c r="M43" s="234"/>
      <c r="N43" s="67"/>
      <c r="O43" s="67"/>
      <c r="P43" s="67"/>
      <c r="Q43" s="55"/>
      <c r="R43" s="55"/>
    </row>
    <row r="44" spans="1:18" x14ac:dyDescent="0.5">
      <c r="A44" s="113" t="s">
        <v>43</v>
      </c>
      <c r="B44" s="114">
        <v>4758.3285714285721</v>
      </c>
      <c r="C44" s="114">
        <v>5051.5714285714284</v>
      </c>
      <c r="D44" s="114">
        <v>6206.8571428571431</v>
      </c>
      <c r="E44" s="114">
        <v>5050.1428571428569</v>
      </c>
      <c r="F44" s="114">
        <v>4891.8571428571431</v>
      </c>
      <c r="G44" s="114">
        <v>6049</v>
      </c>
      <c r="H44" s="114">
        <v>5937.1642857142861</v>
      </c>
      <c r="I44" s="114">
        <v>4201.7142857142853</v>
      </c>
      <c r="J44" s="114">
        <v>4655</v>
      </c>
      <c r="K44" s="114">
        <v>4756</v>
      </c>
      <c r="L44" s="114">
        <v>4744.5714285714284</v>
      </c>
      <c r="M44" s="114">
        <v>4506.1428571428569</v>
      </c>
      <c r="N44" s="183">
        <f>AVERAGE(B44:M44)</f>
        <v>5067.3625000000002</v>
      </c>
      <c r="O44" s="67"/>
      <c r="P44" s="67"/>
    </row>
    <row r="45" spans="1:18" x14ac:dyDescent="0.5">
      <c r="A45" s="174" t="s">
        <v>44</v>
      </c>
      <c r="B45" s="175">
        <v>3330.8300000000004</v>
      </c>
      <c r="C45" s="175">
        <v>3536.1</v>
      </c>
      <c r="D45" s="175">
        <v>4344.8</v>
      </c>
      <c r="E45" s="175">
        <v>3927.8888888888887</v>
      </c>
      <c r="F45" s="175">
        <v>3804.7777777777778</v>
      </c>
      <c r="G45" s="175">
        <v>4234.3</v>
      </c>
      <c r="H45" s="175">
        <v>4156.0150000000003</v>
      </c>
      <c r="I45" s="175">
        <v>2941.2</v>
      </c>
      <c r="J45" s="175">
        <v>3258.5</v>
      </c>
      <c r="K45" s="175">
        <v>3329.2</v>
      </c>
      <c r="L45" s="175">
        <v>3321.2</v>
      </c>
      <c r="M45" s="175">
        <v>3154.3</v>
      </c>
      <c r="N45" s="183">
        <f>AVERAGE(B45:M45)</f>
        <v>3611.5926388888888</v>
      </c>
      <c r="O45" s="67"/>
      <c r="P45" s="67"/>
    </row>
    <row r="47" spans="1:18" x14ac:dyDescent="0.5">
      <c r="B47" s="188"/>
      <c r="C47" s="188"/>
      <c r="D47" s="188"/>
      <c r="E47" s="188"/>
      <c r="F47" s="188"/>
      <c r="G47" s="188"/>
      <c r="H47" s="188"/>
      <c r="I47" s="188"/>
      <c r="J47" s="188"/>
      <c r="K47" s="188"/>
      <c r="L47" s="188"/>
      <c r="M47" s="188"/>
    </row>
    <row r="48" spans="1:18" x14ac:dyDescent="0.5">
      <c r="E48" s="119"/>
      <c r="F48" s="1"/>
      <c r="G48" s="1"/>
      <c r="H48" s="1"/>
    </row>
    <row r="49" spans="1:18" x14ac:dyDescent="0.5">
      <c r="E49" s="120"/>
      <c r="F49" s="121"/>
      <c r="G49" s="122"/>
      <c r="H49" s="122"/>
    </row>
    <row r="50" spans="1:18" x14ac:dyDescent="0.5">
      <c r="E50" s="119"/>
      <c r="F50" s="1"/>
      <c r="G50" s="1"/>
      <c r="H50" s="1"/>
    </row>
    <row r="51" spans="1:18" x14ac:dyDescent="0.5">
      <c r="E51" s="120"/>
      <c r="F51" s="121"/>
      <c r="G51" s="122"/>
      <c r="H51" s="122"/>
    </row>
    <row r="52" spans="1:18" x14ac:dyDescent="0.5">
      <c r="E52" s="119"/>
      <c r="F52" s="1"/>
      <c r="G52" s="1"/>
      <c r="H52" s="1"/>
    </row>
    <row r="53" spans="1:18" s="9" customFormat="1" x14ac:dyDescent="0.5">
      <c r="A53" s="1"/>
      <c r="E53" s="120"/>
      <c r="F53" s="121"/>
      <c r="G53" s="122"/>
      <c r="H53" s="122"/>
      <c r="Q53" s="1"/>
      <c r="R53" s="1"/>
    </row>
  </sheetData>
  <mergeCells count="10">
    <mergeCell ref="A29:M29"/>
    <mergeCell ref="P6:P8"/>
    <mergeCell ref="P10:P11"/>
    <mergeCell ref="P17:P21"/>
    <mergeCell ref="P23:P24"/>
    <mergeCell ref="A34:M34"/>
    <mergeCell ref="A37:M37"/>
    <mergeCell ref="A40:M40"/>
    <mergeCell ref="A43:M43"/>
    <mergeCell ref="A31:M31"/>
  </mergeCells>
  <pageMargins left="0.7" right="0.7" top="0.75" bottom="0.75" header="0.3" footer="0.3"/>
  <pageSetup paperSize="9" orientation="portrait" r:id="rId1"/>
  <ignoredErrors>
    <ignoredError sqref="N3" formula="1"/>
  </ignoredErrors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FB2972-226A-4BE2-BA69-6CA62F15C20F}">
  <dimension ref="A1:R50"/>
  <sheetViews>
    <sheetView zoomScale="91" zoomScaleNormal="112" zoomScalePageLayoutView="112" workbookViewId="0">
      <selection activeCell="B27" sqref="B27:G27"/>
    </sheetView>
  </sheetViews>
  <sheetFormatPr baseColWidth="10" defaultColWidth="10.6875" defaultRowHeight="15.75" x14ac:dyDescent="0.5"/>
  <cols>
    <col min="1" max="1" width="25.125" style="1" customWidth="1"/>
    <col min="2" max="2" width="10.875" style="9" bestFit="1" customWidth="1"/>
    <col min="3" max="9" width="10.75" style="9" bestFit="1" customWidth="1"/>
    <col min="10" max="10" width="11.3125" style="9" bestFit="1" customWidth="1"/>
    <col min="11" max="12" width="10.75" style="9" bestFit="1" customWidth="1"/>
    <col min="13" max="13" width="10.875" style="9" bestFit="1" customWidth="1"/>
    <col min="14" max="14" width="13.25" style="9" bestFit="1" customWidth="1"/>
    <col min="15" max="15" width="13.8125" style="9" bestFit="1" customWidth="1"/>
    <col min="16" max="16" width="11.4375" style="9" bestFit="1" customWidth="1"/>
    <col min="17" max="17" width="34.4375" style="1" customWidth="1"/>
    <col min="18" max="16384" width="10.6875" style="1"/>
  </cols>
  <sheetData>
    <row r="1" spans="1:18" ht="19.8" customHeight="1" thickBot="1" x14ac:dyDescent="0.55000000000000004">
      <c r="A1" s="145" t="s">
        <v>0</v>
      </c>
      <c r="B1" s="146" t="s">
        <v>1</v>
      </c>
      <c r="C1" s="146" t="s">
        <v>2</v>
      </c>
      <c r="D1" s="146" t="s">
        <v>3</v>
      </c>
      <c r="E1" s="146" t="s">
        <v>4</v>
      </c>
      <c r="F1" s="147" t="s">
        <v>5</v>
      </c>
      <c r="G1" s="146" t="s">
        <v>6</v>
      </c>
      <c r="H1" s="146" t="s">
        <v>7</v>
      </c>
      <c r="I1" s="146" t="s">
        <v>8</v>
      </c>
      <c r="J1" s="146" t="s">
        <v>9</v>
      </c>
      <c r="K1" s="146" t="s">
        <v>10</v>
      </c>
      <c r="L1" s="146" t="s">
        <v>11</v>
      </c>
      <c r="M1" s="146" t="s">
        <v>12</v>
      </c>
      <c r="N1" s="146" t="s">
        <v>13</v>
      </c>
      <c r="O1" s="146" t="s">
        <v>14</v>
      </c>
      <c r="P1" s="146" t="s">
        <v>15</v>
      </c>
      <c r="Q1" s="55"/>
      <c r="R1" s="55"/>
    </row>
    <row r="2" spans="1:18" ht="19.8" customHeight="1" thickBot="1" x14ac:dyDescent="0.55000000000000004">
      <c r="A2" s="145" t="s">
        <v>134</v>
      </c>
      <c r="B2" s="190">
        <f>B15+B4</f>
        <v>54630.36</v>
      </c>
      <c r="C2" s="190">
        <f t="shared" ref="C2:M2" si="0">C15+C4</f>
        <v>72484.42</v>
      </c>
      <c r="D2" s="190">
        <f t="shared" si="0"/>
        <v>58188.06</v>
      </c>
      <c r="E2" s="190">
        <f t="shared" si="0"/>
        <v>57345.18</v>
      </c>
      <c r="F2" s="190">
        <f t="shared" si="0"/>
        <v>66496.53</v>
      </c>
      <c r="G2" s="190">
        <f t="shared" si="0"/>
        <v>87574.37000000001</v>
      </c>
      <c r="H2" s="190">
        <f t="shared" si="0"/>
        <v>71784.599999999991</v>
      </c>
      <c r="I2" s="190">
        <f t="shared" si="0"/>
        <v>96108.94</v>
      </c>
      <c r="J2" s="190">
        <f t="shared" si="0"/>
        <v>88960.83</v>
      </c>
      <c r="K2" s="190">
        <f t="shared" si="0"/>
        <v>73718.209999999992</v>
      </c>
      <c r="L2" s="190">
        <f t="shared" si="0"/>
        <v>70884.289999999994</v>
      </c>
      <c r="M2" s="190">
        <f t="shared" si="0"/>
        <v>66281.960000000006</v>
      </c>
      <c r="N2" s="190">
        <f>SUM(B2:M2)</f>
        <v>864457.74999999988</v>
      </c>
      <c r="O2" s="191">
        <f>N2/12</f>
        <v>72038.145833333328</v>
      </c>
      <c r="P2" s="146"/>
      <c r="Q2" s="55"/>
      <c r="R2" s="55"/>
    </row>
    <row r="3" spans="1:18" s="198" customFormat="1" ht="16.8" customHeight="1" thickBot="1" x14ac:dyDescent="0.55000000000000004">
      <c r="A3" s="208" t="s">
        <v>138</v>
      </c>
      <c r="B3" s="205">
        <f>B15+B4</f>
        <v>54630.36</v>
      </c>
      <c r="C3" s="205">
        <f t="shared" ref="C3:M3" si="1">C15+C4</f>
        <v>72484.42</v>
      </c>
      <c r="D3" s="205">
        <f t="shared" si="1"/>
        <v>58188.06</v>
      </c>
      <c r="E3" s="205">
        <f t="shared" si="1"/>
        <v>57345.18</v>
      </c>
      <c r="F3" s="205">
        <f t="shared" si="1"/>
        <v>66496.53</v>
      </c>
      <c r="G3" s="205">
        <f t="shared" si="1"/>
        <v>87574.37000000001</v>
      </c>
      <c r="H3" s="205">
        <f t="shared" si="1"/>
        <v>71784.599999999991</v>
      </c>
      <c r="I3" s="205">
        <f t="shared" si="1"/>
        <v>96108.94</v>
      </c>
      <c r="J3" s="205">
        <f t="shared" si="1"/>
        <v>88960.83</v>
      </c>
      <c r="K3" s="205">
        <f t="shared" si="1"/>
        <v>73718.209999999992</v>
      </c>
      <c r="L3" s="205">
        <f t="shared" si="1"/>
        <v>70884.289999999994</v>
      </c>
      <c r="M3" s="205">
        <f t="shared" si="1"/>
        <v>66281.960000000006</v>
      </c>
      <c r="N3" s="205">
        <f t="shared" ref="N3" si="2">SUM(B3:M3)</f>
        <v>864457.74999999988</v>
      </c>
      <c r="O3" s="206">
        <f>N3/10</f>
        <v>86445.774999999994</v>
      </c>
      <c r="P3" s="207"/>
      <c r="Q3" s="197"/>
      <c r="R3" s="197"/>
    </row>
    <row r="4" spans="1:18" ht="14.55" customHeight="1" thickBot="1" x14ac:dyDescent="0.55000000000000004">
      <c r="A4" s="148" t="s">
        <v>16</v>
      </c>
      <c r="B4" s="149">
        <f>SUM(B5:B7)</f>
        <v>33457.199999999997</v>
      </c>
      <c r="C4" s="149">
        <f t="shared" ref="C4:M4" si="3">SUM(C5:C7)</f>
        <v>44021.21</v>
      </c>
      <c r="D4" s="149">
        <f>SUM(D5:D7)</f>
        <v>32514.22</v>
      </c>
      <c r="E4" s="149">
        <f t="shared" si="3"/>
        <v>30793.620000000003</v>
      </c>
      <c r="F4" s="149">
        <f t="shared" si="3"/>
        <v>44225.72</v>
      </c>
      <c r="G4" s="149">
        <f t="shared" si="3"/>
        <v>61671.600000000006</v>
      </c>
      <c r="H4" s="149">
        <f t="shared" si="3"/>
        <v>45453.84</v>
      </c>
      <c r="I4" s="149">
        <f t="shared" si="3"/>
        <v>70566.290000000008</v>
      </c>
      <c r="J4" s="149">
        <f t="shared" si="3"/>
        <v>50407.51</v>
      </c>
      <c r="K4" s="149">
        <f t="shared" si="3"/>
        <v>42322.47</v>
      </c>
      <c r="L4" s="149">
        <f t="shared" si="3"/>
        <v>42407.1</v>
      </c>
      <c r="M4" s="149">
        <f t="shared" si="3"/>
        <v>38832.020000000004</v>
      </c>
      <c r="N4" s="150">
        <f t="shared" ref="N4" si="4">SUM(B4:M4)</f>
        <v>536672.80000000005</v>
      </c>
      <c r="O4" s="150">
        <f>N4/11</f>
        <v>48788.436363636371</v>
      </c>
      <c r="P4" s="150">
        <f>O4</f>
        <v>48788.436363636371</v>
      </c>
      <c r="Q4" s="55"/>
      <c r="R4" s="55"/>
    </row>
    <row r="5" spans="1:18" ht="14.55" customHeight="1" x14ac:dyDescent="0.5">
      <c r="A5" s="140" t="s">
        <v>17</v>
      </c>
      <c r="B5" s="141">
        <v>18225.2</v>
      </c>
      <c r="C5" s="143">
        <v>21270.33</v>
      </c>
      <c r="D5" s="143">
        <v>16820.64</v>
      </c>
      <c r="E5" s="143">
        <v>14808.22</v>
      </c>
      <c r="F5" s="143">
        <v>22413.38</v>
      </c>
      <c r="G5" s="143">
        <v>36325.300000000003</v>
      </c>
      <c r="H5" s="143">
        <v>25866.5</v>
      </c>
      <c r="I5" s="143">
        <v>42719.19</v>
      </c>
      <c r="J5" s="143">
        <v>33705.910000000003</v>
      </c>
      <c r="K5" s="143">
        <v>29085.47</v>
      </c>
      <c r="L5" s="143">
        <v>29270.1</v>
      </c>
      <c r="M5" s="192">
        <v>24560.22</v>
      </c>
      <c r="N5" s="144">
        <f>SUM(B5:M5)</f>
        <v>315070.45999999996</v>
      </c>
      <c r="O5" s="144">
        <f t="shared" ref="O5:O13" si="5">N5/11</f>
        <v>28642.769090909089</v>
      </c>
      <c r="P5" s="230">
        <f>SUM(O5:O7)</f>
        <v>48788.436363636363</v>
      </c>
      <c r="Q5" s="55"/>
      <c r="R5" s="55"/>
    </row>
    <row r="6" spans="1:18" ht="14.55" customHeight="1" x14ac:dyDescent="0.5">
      <c r="A6" s="74" t="s">
        <v>18</v>
      </c>
      <c r="B6" s="124">
        <v>2095</v>
      </c>
      <c r="C6" s="124">
        <v>9905</v>
      </c>
      <c r="D6" s="124">
        <v>2655.9</v>
      </c>
      <c r="E6" s="124">
        <v>3069</v>
      </c>
      <c r="F6" s="124">
        <v>8725</v>
      </c>
      <c r="G6" s="124">
        <v>12209.3</v>
      </c>
      <c r="H6" s="124">
        <v>6500</v>
      </c>
      <c r="I6" s="124">
        <v>14710.1</v>
      </c>
      <c r="J6" s="124">
        <v>3564.6</v>
      </c>
      <c r="K6" s="124">
        <v>100</v>
      </c>
      <c r="L6" s="124" t="s">
        <v>132</v>
      </c>
      <c r="M6" s="124">
        <v>1134.8</v>
      </c>
      <c r="N6" s="130">
        <f>SUM(B6:M6)</f>
        <v>64668.7</v>
      </c>
      <c r="O6" s="130">
        <f t="shared" si="5"/>
        <v>5878.9727272727268</v>
      </c>
      <c r="P6" s="231"/>
      <c r="Q6" s="55"/>
      <c r="R6" s="55"/>
    </row>
    <row r="7" spans="1:18" ht="14.55" customHeight="1" x14ac:dyDescent="0.5">
      <c r="A7" s="74" t="s">
        <v>19</v>
      </c>
      <c r="B7" s="124">
        <v>13137</v>
      </c>
      <c r="C7" s="124">
        <v>12845.88</v>
      </c>
      <c r="D7" s="124">
        <v>13037.68</v>
      </c>
      <c r="E7" s="124">
        <v>12916.4</v>
      </c>
      <c r="F7" s="124">
        <v>13087.34</v>
      </c>
      <c r="G7" s="124">
        <v>13137</v>
      </c>
      <c r="H7" s="124">
        <v>13087.34</v>
      </c>
      <c r="I7" s="124">
        <v>13137</v>
      </c>
      <c r="J7" s="124">
        <v>13137</v>
      </c>
      <c r="K7" s="124">
        <v>13137</v>
      </c>
      <c r="L7" s="124">
        <v>13137</v>
      </c>
      <c r="M7" s="124">
        <v>13137</v>
      </c>
      <c r="N7" s="130">
        <f>SUM(B7:M7)</f>
        <v>156933.64000000001</v>
      </c>
      <c r="O7" s="130">
        <f t="shared" si="5"/>
        <v>14266.694545454548</v>
      </c>
      <c r="P7" s="231"/>
      <c r="Q7" s="55"/>
      <c r="R7" s="55"/>
    </row>
    <row r="8" spans="1:18" ht="14.55" customHeight="1" x14ac:dyDescent="0.5">
      <c r="A8" s="32" t="s">
        <v>21</v>
      </c>
      <c r="B8" s="126">
        <v>109.6</v>
      </c>
      <c r="C8" s="126">
        <v>109.6</v>
      </c>
      <c r="D8" s="126">
        <v>109.6</v>
      </c>
      <c r="E8" s="126">
        <v>109.6</v>
      </c>
      <c r="F8" s="126">
        <v>109.6</v>
      </c>
      <c r="G8" s="126">
        <v>109.6</v>
      </c>
      <c r="H8" s="126">
        <v>109.6</v>
      </c>
      <c r="I8" s="126">
        <v>109.6</v>
      </c>
      <c r="J8" s="126">
        <v>109.6</v>
      </c>
      <c r="K8" s="126">
        <v>109.6</v>
      </c>
      <c r="L8" s="126">
        <v>109</v>
      </c>
      <c r="M8" s="126">
        <v>109</v>
      </c>
      <c r="N8" s="131">
        <f>SUM(B8:M8)</f>
        <v>1314</v>
      </c>
      <c r="O8" s="131">
        <f t="shared" si="5"/>
        <v>119.45454545454545</v>
      </c>
      <c r="P8" s="189"/>
      <c r="Q8" s="55"/>
      <c r="R8" s="55"/>
    </row>
    <row r="9" spans="1:18" ht="14.55" customHeight="1" x14ac:dyDescent="0.5">
      <c r="A9" s="35" t="s">
        <v>22</v>
      </c>
      <c r="B9" s="127">
        <v>29943.759999999998</v>
      </c>
      <c r="C9" s="127">
        <v>29098.97</v>
      </c>
      <c r="D9" s="127">
        <v>29725.95</v>
      </c>
      <c r="E9" s="127">
        <v>32028.98</v>
      </c>
      <c r="F9" s="127">
        <v>29705.29</v>
      </c>
      <c r="G9" s="127">
        <v>30631.16</v>
      </c>
      <c r="H9" s="127">
        <v>44115.76</v>
      </c>
      <c r="I9" s="127">
        <v>32101.61</v>
      </c>
      <c r="J9" s="127">
        <v>30702.47</v>
      </c>
      <c r="K9" s="127">
        <v>35582.160000000003</v>
      </c>
      <c r="L9" s="127">
        <v>33462.639999999999</v>
      </c>
      <c r="M9" s="134">
        <v>46522.42</v>
      </c>
      <c r="N9" s="132">
        <f t="shared" ref="N9:N10" si="6">SUM(B9:M9)</f>
        <v>403621.17</v>
      </c>
      <c r="O9" s="132">
        <f t="shared" si="5"/>
        <v>36692.833636363634</v>
      </c>
      <c r="P9" s="233">
        <f>-O9-O10</f>
        <v>-40068.651818181817</v>
      </c>
      <c r="Q9" s="55"/>
      <c r="R9" s="55"/>
    </row>
    <row r="10" spans="1:18" ht="14.55" customHeight="1" thickBot="1" x14ac:dyDescent="0.55000000000000004">
      <c r="A10" s="158" t="s">
        <v>23</v>
      </c>
      <c r="B10" s="159">
        <v>1700</v>
      </c>
      <c r="C10" s="159">
        <v>2394</v>
      </c>
      <c r="D10" s="159">
        <v>3146</v>
      </c>
      <c r="E10" s="159">
        <v>2433</v>
      </c>
      <c r="F10" s="159">
        <v>3064</v>
      </c>
      <c r="G10" s="159">
        <v>6240</v>
      </c>
      <c r="H10" s="159">
        <v>2988</v>
      </c>
      <c r="I10" s="159">
        <v>5428</v>
      </c>
      <c r="J10" s="159">
        <v>3317</v>
      </c>
      <c r="K10" s="159">
        <v>1875</v>
      </c>
      <c r="L10" s="159">
        <v>2853</v>
      </c>
      <c r="M10" s="159">
        <v>1696</v>
      </c>
      <c r="N10" s="161">
        <f t="shared" si="6"/>
        <v>37134</v>
      </c>
      <c r="O10" s="161">
        <f t="shared" si="5"/>
        <v>3375.818181818182</v>
      </c>
      <c r="P10" s="233"/>
      <c r="Q10" s="55"/>
      <c r="R10" s="55"/>
    </row>
    <row r="11" spans="1:18" ht="12.5" customHeight="1" thickBot="1" x14ac:dyDescent="0.55000000000000004">
      <c r="A11" s="164" t="s">
        <v>24</v>
      </c>
      <c r="B11" s="165">
        <f>B4-B8-B9-B10</f>
        <v>1703.8400000000001</v>
      </c>
      <c r="C11" s="165">
        <f t="shared" ref="C11:M11" si="7">C4-C8-C9-C10</f>
        <v>12418.64</v>
      </c>
      <c r="D11" s="165">
        <f t="shared" si="7"/>
        <v>-467.32999999999811</v>
      </c>
      <c r="E11" s="165">
        <f t="shared" si="7"/>
        <v>-3777.9599999999955</v>
      </c>
      <c r="F11" s="165">
        <f t="shared" si="7"/>
        <v>11346.830000000002</v>
      </c>
      <c r="G11" s="165">
        <f t="shared" si="7"/>
        <v>24690.840000000007</v>
      </c>
      <c r="H11" s="165">
        <f t="shared" si="7"/>
        <v>-1759.5200000000041</v>
      </c>
      <c r="I11" s="165">
        <f t="shared" si="7"/>
        <v>32927.08</v>
      </c>
      <c r="J11" s="165">
        <f t="shared" si="7"/>
        <v>16278.440000000002</v>
      </c>
      <c r="K11" s="165">
        <f t="shared" si="7"/>
        <v>4755.7099999999991</v>
      </c>
      <c r="L11" s="165">
        <f t="shared" si="7"/>
        <v>5982.4599999999991</v>
      </c>
      <c r="M11" s="165">
        <f t="shared" si="7"/>
        <v>-9495.3999999999942</v>
      </c>
      <c r="N11" s="165">
        <f>N4-N8-N9-N10</f>
        <v>94603.630000000063</v>
      </c>
      <c r="O11" s="165">
        <f t="shared" si="5"/>
        <v>8600.3300000000054</v>
      </c>
      <c r="P11" s="101"/>
      <c r="Q11" s="55"/>
      <c r="R11" s="55"/>
    </row>
    <row r="12" spans="1:18" ht="15.1" customHeight="1" thickBot="1" x14ac:dyDescent="0.55000000000000004">
      <c r="A12" s="151" t="s">
        <v>25</v>
      </c>
      <c r="B12" s="152">
        <f t="shared" ref="B12:M12" si="8">B8</f>
        <v>109.6</v>
      </c>
      <c r="C12" s="152">
        <f t="shared" si="8"/>
        <v>109.6</v>
      </c>
      <c r="D12" s="152">
        <f t="shared" si="8"/>
        <v>109.6</v>
      </c>
      <c r="E12" s="152">
        <f t="shared" si="8"/>
        <v>109.6</v>
      </c>
      <c r="F12" s="152">
        <f t="shared" si="8"/>
        <v>109.6</v>
      </c>
      <c r="G12" s="152">
        <f t="shared" si="8"/>
        <v>109.6</v>
      </c>
      <c r="H12" s="152">
        <f t="shared" si="8"/>
        <v>109.6</v>
      </c>
      <c r="I12" s="152">
        <f t="shared" si="8"/>
        <v>109.6</v>
      </c>
      <c r="J12" s="152">
        <f t="shared" si="8"/>
        <v>109.6</v>
      </c>
      <c r="K12" s="152">
        <f t="shared" si="8"/>
        <v>109.6</v>
      </c>
      <c r="L12" s="152">
        <f t="shared" si="8"/>
        <v>109</v>
      </c>
      <c r="M12" s="152">
        <f t="shared" si="8"/>
        <v>109</v>
      </c>
      <c r="N12" s="152">
        <f>SUM(B12:M12)</f>
        <v>1314</v>
      </c>
      <c r="O12" s="152">
        <f t="shared" si="5"/>
        <v>119.45454545454545</v>
      </c>
      <c r="P12" s="102"/>
      <c r="Q12" s="55"/>
      <c r="R12" s="55"/>
    </row>
    <row r="13" spans="1:18" ht="17.100000000000001" customHeight="1" thickBot="1" x14ac:dyDescent="0.55000000000000004">
      <c r="A13" s="153" t="s">
        <v>26</v>
      </c>
      <c r="B13" s="154">
        <f>B11+B12</f>
        <v>1813.44</v>
      </c>
      <c r="C13" s="154">
        <f t="shared" ref="C13:M13" si="9">C11+C12</f>
        <v>12528.24</v>
      </c>
      <c r="D13" s="154">
        <f t="shared" si="9"/>
        <v>-357.72999999999809</v>
      </c>
      <c r="E13" s="154">
        <f t="shared" si="9"/>
        <v>-3668.3599999999956</v>
      </c>
      <c r="F13" s="154">
        <f t="shared" si="9"/>
        <v>11456.430000000002</v>
      </c>
      <c r="G13" s="154">
        <f t="shared" si="9"/>
        <v>24800.440000000006</v>
      </c>
      <c r="H13" s="154">
        <f t="shared" si="9"/>
        <v>-1649.9200000000042</v>
      </c>
      <c r="I13" s="154">
        <f t="shared" si="9"/>
        <v>33036.68</v>
      </c>
      <c r="J13" s="154">
        <f t="shared" si="9"/>
        <v>16388.04</v>
      </c>
      <c r="K13" s="154">
        <f t="shared" si="9"/>
        <v>4865.3099999999995</v>
      </c>
      <c r="L13" s="154">
        <f t="shared" si="9"/>
        <v>6091.4599999999991</v>
      </c>
      <c r="M13" s="154">
        <f t="shared" si="9"/>
        <v>-9386.3999999999942</v>
      </c>
      <c r="N13" s="155">
        <f>N11+N12</f>
        <v>95917.630000000063</v>
      </c>
      <c r="O13" s="155">
        <f t="shared" si="5"/>
        <v>8719.7845454545513</v>
      </c>
      <c r="P13" s="103"/>
      <c r="Q13" s="55"/>
      <c r="R13" s="55"/>
    </row>
    <row r="14" spans="1:18" ht="5.0999999999999996" customHeight="1" thickBot="1" x14ac:dyDescent="0.55000000000000004">
      <c r="A14" s="47"/>
      <c r="B14" s="42"/>
      <c r="C14" s="42"/>
      <c r="D14" s="42"/>
      <c r="E14" s="42"/>
      <c r="F14" s="42"/>
      <c r="G14" s="42"/>
      <c r="H14" s="77"/>
      <c r="I14" s="42"/>
      <c r="J14" s="42"/>
      <c r="K14" s="42"/>
      <c r="L14" s="42"/>
      <c r="M14" s="42"/>
      <c r="N14" s="46"/>
      <c r="O14" s="46"/>
      <c r="P14" s="46"/>
      <c r="Q14" s="55"/>
      <c r="R14" s="55"/>
    </row>
    <row r="15" spans="1:18" ht="17.100000000000001" customHeight="1" thickBot="1" x14ac:dyDescent="0.55000000000000004">
      <c r="A15" s="148" t="s">
        <v>27</v>
      </c>
      <c r="B15" s="149">
        <f>SUM(B16:B20)</f>
        <v>21173.16</v>
      </c>
      <c r="C15" s="149">
        <f t="shared" ref="C15:M15" si="10">SUM(C16:C20)</f>
        <v>28463.21</v>
      </c>
      <c r="D15" s="149">
        <f t="shared" si="10"/>
        <v>25673.84</v>
      </c>
      <c r="E15" s="149">
        <f t="shared" si="10"/>
        <v>26551.559999999998</v>
      </c>
      <c r="F15" s="149">
        <f t="shared" si="10"/>
        <v>22270.81</v>
      </c>
      <c r="G15" s="149">
        <f t="shared" si="10"/>
        <v>25902.77</v>
      </c>
      <c r="H15" s="149">
        <f t="shared" si="10"/>
        <v>26330.76</v>
      </c>
      <c r="I15" s="149">
        <f t="shared" si="10"/>
        <v>25542.649999999998</v>
      </c>
      <c r="J15" s="149">
        <f t="shared" si="10"/>
        <v>38553.32</v>
      </c>
      <c r="K15" s="149">
        <f>SUM(K16:K20)</f>
        <v>31395.739999999998</v>
      </c>
      <c r="L15" s="149">
        <f t="shared" si="10"/>
        <v>28477.19</v>
      </c>
      <c r="M15" s="149">
        <f t="shared" si="10"/>
        <v>27449.940000000002</v>
      </c>
      <c r="N15" s="150">
        <f t="shared" ref="N15:N23" si="11">SUM(B15:M15)</f>
        <v>327784.95</v>
      </c>
      <c r="O15" s="150">
        <f>N15/11</f>
        <v>29798.631818181821</v>
      </c>
      <c r="P15" s="150">
        <f>O15</f>
        <v>29798.631818181821</v>
      </c>
      <c r="Q15" s="55"/>
      <c r="R15" s="55"/>
    </row>
    <row r="16" spans="1:18" ht="16.25" customHeight="1" x14ac:dyDescent="0.5">
      <c r="A16" s="140" t="s">
        <v>28</v>
      </c>
      <c r="B16" s="141">
        <v>4516.59</v>
      </c>
      <c r="C16" s="141">
        <v>9314.65</v>
      </c>
      <c r="D16" s="141">
        <v>8351.98</v>
      </c>
      <c r="E16" s="143">
        <v>7982.3</v>
      </c>
      <c r="F16" s="143">
        <v>6569.38</v>
      </c>
      <c r="G16" s="143">
        <v>9463.7000000000007</v>
      </c>
      <c r="H16" s="143">
        <v>6868.78</v>
      </c>
      <c r="I16" s="143">
        <v>5289.99</v>
      </c>
      <c r="J16" s="143">
        <v>6055.57</v>
      </c>
      <c r="K16" s="143">
        <v>7531.64</v>
      </c>
      <c r="L16" s="143">
        <v>6762.87</v>
      </c>
      <c r="M16" s="143">
        <v>5396.86</v>
      </c>
      <c r="N16" s="144">
        <f t="shared" si="11"/>
        <v>84104.31</v>
      </c>
      <c r="O16" s="144">
        <f t="shared" ref="O16:O27" si="12">N16/11</f>
        <v>7645.8463636363631</v>
      </c>
      <c r="P16" s="230">
        <f>SUM(O16:O20)</f>
        <v>29798.631818181821</v>
      </c>
      <c r="Q16" s="55"/>
      <c r="R16" s="55"/>
    </row>
    <row r="17" spans="1:18" ht="16.25" customHeight="1" x14ac:dyDescent="0.5">
      <c r="A17" s="100" t="s">
        <v>29</v>
      </c>
      <c r="B17" s="124">
        <v>12000</v>
      </c>
      <c r="C17" s="124">
        <v>12000</v>
      </c>
      <c r="D17" s="124">
        <v>12000</v>
      </c>
      <c r="E17" s="124">
        <v>12000</v>
      </c>
      <c r="F17" s="136">
        <v>12000</v>
      </c>
      <c r="G17" s="136">
        <v>12000</v>
      </c>
      <c r="H17" s="136">
        <v>13200</v>
      </c>
      <c r="I17" s="136">
        <v>13200</v>
      </c>
      <c r="J17" s="136">
        <v>13200</v>
      </c>
      <c r="K17" s="136">
        <v>13200</v>
      </c>
      <c r="L17" s="124">
        <v>13200</v>
      </c>
      <c r="M17" s="124">
        <v>13200</v>
      </c>
      <c r="N17" s="130">
        <f t="shared" si="11"/>
        <v>151200</v>
      </c>
      <c r="O17" s="130">
        <f t="shared" si="12"/>
        <v>13745.454545454546</v>
      </c>
      <c r="P17" s="231"/>
      <c r="Q17" s="55"/>
      <c r="R17" s="55"/>
    </row>
    <row r="18" spans="1:18" ht="16.25" customHeight="1" x14ac:dyDescent="0.5">
      <c r="A18" s="100" t="s">
        <v>30</v>
      </c>
      <c r="B18" s="124">
        <v>2220</v>
      </c>
      <c r="C18" s="124">
        <v>1155</v>
      </c>
      <c r="D18" s="124">
        <v>1155</v>
      </c>
      <c r="E18" s="124">
        <v>1440</v>
      </c>
      <c r="F18" s="139">
        <v>525</v>
      </c>
      <c r="G18" s="187">
        <v>525</v>
      </c>
      <c r="H18" s="187">
        <v>1200</v>
      </c>
      <c r="I18" s="187">
        <v>1155</v>
      </c>
      <c r="J18" s="124">
        <v>1155</v>
      </c>
      <c r="K18" s="124">
        <v>1250</v>
      </c>
      <c r="L18" s="124">
        <v>1250</v>
      </c>
      <c r="M18" s="124">
        <v>1250</v>
      </c>
      <c r="N18" s="135">
        <f t="shared" si="11"/>
        <v>14280</v>
      </c>
      <c r="O18" s="130">
        <f t="shared" si="12"/>
        <v>1298.1818181818182</v>
      </c>
      <c r="P18" s="231"/>
      <c r="Q18" s="55"/>
      <c r="R18" s="55"/>
    </row>
    <row r="19" spans="1:18" ht="16.25" customHeight="1" x14ac:dyDescent="0.5">
      <c r="A19" s="74" t="s">
        <v>131</v>
      </c>
      <c r="B19" s="123">
        <v>1078.29</v>
      </c>
      <c r="C19" s="168">
        <v>2171.21</v>
      </c>
      <c r="D19" s="168">
        <v>2546.86</v>
      </c>
      <c r="E19" s="139">
        <v>3517.93</v>
      </c>
      <c r="F19" s="139">
        <v>2776.41</v>
      </c>
      <c r="G19" s="187">
        <v>1470</v>
      </c>
      <c r="H19" s="124">
        <v>1963.94</v>
      </c>
      <c r="I19" s="124">
        <v>2519</v>
      </c>
      <c r="J19" s="124">
        <v>10547.66</v>
      </c>
      <c r="K19" s="124">
        <v>6320.02</v>
      </c>
      <c r="L19" s="124">
        <v>3850.32</v>
      </c>
      <c r="M19" s="124">
        <v>2337.88</v>
      </c>
      <c r="N19" s="135">
        <f t="shared" si="11"/>
        <v>41099.519999999997</v>
      </c>
      <c r="O19" s="130">
        <f t="shared" si="12"/>
        <v>3736.3199999999997</v>
      </c>
      <c r="P19" s="231"/>
      <c r="Q19" s="55"/>
      <c r="R19" s="55"/>
    </row>
    <row r="20" spans="1:18" ht="16.25" customHeight="1" x14ac:dyDescent="0.5">
      <c r="A20" s="74" t="s">
        <v>130</v>
      </c>
      <c r="B20" s="123">
        <v>1358.28</v>
      </c>
      <c r="C20" s="168">
        <v>3822.35</v>
      </c>
      <c r="D20" s="168">
        <v>1620</v>
      </c>
      <c r="E20" s="139">
        <v>1611.33</v>
      </c>
      <c r="F20" s="139">
        <v>400.02</v>
      </c>
      <c r="G20" s="187">
        <v>2444.0700000000002</v>
      </c>
      <c r="H20" s="124">
        <v>3098.04</v>
      </c>
      <c r="I20" s="124">
        <v>3378.66</v>
      </c>
      <c r="J20" s="124">
        <v>7595.09</v>
      </c>
      <c r="K20" s="124">
        <v>3094.08</v>
      </c>
      <c r="L20" s="124">
        <v>3414</v>
      </c>
      <c r="M20" s="124">
        <v>5265.2</v>
      </c>
      <c r="N20" s="135">
        <f t="shared" si="11"/>
        <v>37101.119999999995</v>
      </c>
      <c r="O20" s="130">
        <f t="shared" si="12"/>
        <v>3372.8290909090906</v>
      </c>
      <c r="P20" s="231"/>
      <c r="Q20" s="55"/>
      <c r="R20" s="55"/>
    </row>
    <row r="21" spans="1:18" ht="16.25" customHeight="1" x14ac:dyDescent="0.5">
      <c r="A21" s="32" t="s">
        <v>21</v>
      </c>
      <c r="B21" s="126">
        <f t="shared" ref="B21:M21" si="13">B8</f>
        <v>109.6</v>
      </c>
      <c r="C21" s="126">
        <f t="shared" si="13"/>
        <v>109.6</v>
      </c>
      <c r="D21" s="126">
        <f t="shared" si="13"/>
        <v>109.6</v>
      </c>
      <c r="E21" s="126">
        <f t="shared" si="13"/>
        <v>109.6</v>
      </c>
      <c r="F21" s="126">
        <f t="shared" si="13"/>
        <v>109.6</v>
      </c>
      <c r="G21" s="126">
        <f t="shared" si="13"/>
        <v>109.6</v>
      </c>
      <c r="H21" s="126">
        <f t="shared" si="13"/>
        <v>109.6</v>
      </c>
      <c r="I21" s="126">
        <f t="shared" si="13"/>
        <v>109.6</v>
      </c>
      <c r="J21" s="126">
        <f t="shared" si="13"/>
        <v>109.6</v>
      </c>
      <c r="K21" s="126">
        <f t="shared" si="13"/>
        <v>109.6</v>
      </c>
      <c r="L21" s="126">
        <f t="shared" si="13"/>
        <v>109</v>
      </c>
      <c r="M21" s="126">
        <f t="shared" si="13"/>
        <v>109</v>
      </c>
      <c r="N21" s="131">
        <f t="shared" si="11"/>
        <v>1314</v>
      </c>
      <c r="O21" s="131">
        <f t="shared" si="12"/>
        <v>119.45454545454545</v>
      </c>
      <c r="P21" s="189"/>
      <c r="Q21" s="55"/>
      <c r="R21" s="55"/>
    </row>
    <row r="22" spans="1:18" ht="16.25" customHeight="1" x14ac:dyDescent="0.5">
      <c r="A22" s="35" t="s">
        <v>33</v>
      </c>
      <c r="B22" s="127">
        <v>28193.52</v>
      </c>
      <c r="C22" s="127">
        <v>19442.759999999998</v>
      </c>
      <c r="D22" s="127">
        <v>19860.54</v>
      </c>
      <c r="E22" s="127">
        <v>20809.09</v>
      </c>
      <c r="F22" s="127">
        <v>23083.9</v>
      </c>
      <c r="G22" s="127">
        <v>19156.34</v>
      </c>
      <c r="H22" s="127">
        <v>32454.400000000001</v>
      </c>
      <c r="I22" s="127">
        <v>18575.87</v>
      </c>
      <c r="J22" s="127">
        <v>18210</v>
      </c>
      <c r="K22" s="127">
        <v>20030.95</v>
      </c>
      <c r="L22" s="127">
        <v>17240.11</v>
      </c>
      <c r="M22" s="134">
        <v>28518.38</v>
      </c>
      <c r="N22" s="132">
        <f t="shared" si="11"/>
        <v>265575.86</v>
      </c>
      <c r="O22" s="132">
        <f t="shared" si="12"/>
        <v>24143.26</v>
      </c>
      <c r="P22" s="233">
        <f>-O22-O23</f>
        <v>-27287.350909090906</v>
      </c>
      <c r="Q22" s="55"/>
      <c r="R22" s="55"/>
    </row>
    <row r="23" spans="1:18" ht="16.25" customHeight="1" thickBot="1" x14ac:dyDescent="0.55000000000000004">
      <c r="A23" s="158" t="s">
        <v>34</v>
      </c>
      <c r="B23" s="159">
        <v>1397</v>
      </c>
      <c r="C23" s="159">
        <v>2574</v>
      </c>
      <c r="D23" s="159">
        <v>3796</v>
      </c>
      <c r="E23" s="159">
        <v>2655</v>
      </c>
      <c r="F23" s="159">
        <v>2397</v>
      </c>
      <c r="G23" s="159">
        <v>3977</v>
      </c>
      <c r="H23" s="159">
        <v>2129</v>
      </c>
      <c r="I23" s="159">
        <v>2671</v>
      </c>
      <c r="J23" s="159">
        <v>2325</v>
      </c>
      <c r="K23" s="159">
        <v>4030</v>
      </c>
      <c r="L23" s="159">
        <v>3727</v>
      </c>
      <c r="M23" s="159">
        <v>2907</v>
      </c>
      <c r="N23" s="161">
        <f t="shared" si="11"/>
        <v>34585</v>
      </c>
      <c r="O23" s="161">
        <f t="shared" si="12"/>
        <v>3144.090909090909</v>
      </c>
      <c r="P23" s="233"/>
      <c r="Q23" s="55"/>
      <c r="R23" s="55"/>
    </row>
    <row r="24" spans="1:18" ht="13.8" customHeight="1" thickBot="1" x14ac:dyDescent="0.55000000000000004">
      <c r="A24" s="164" t="s">
        <v>24</v>
      </c>
      <c r="B24" s="165">
        <f>B15-B21-B22-B23</f>
        <v>-8526.9599999999991</v>
      </c>
      <c r="C24" s="165">
        <f t="shared" ref="C24:M24" si="14">C15-C21-C22-C23</f>
        <v>6336.8500000000022</v>
      </c>
      <c r="D24" s="165">
        <f t="shared" si="14"/>
        <v>1907.7000000000007</v>
      </c>
      <c r="E24" s="165">
        <f t="shared" si="14"/>
        <v>2977.869999999999</v>
      </c>
      <c r="F24" s="165">
        <f t="shared" si="14"/>
        <v>-3319.6899999999987</v>
      </c>
      <c r="G24" s="165">
        <f t="shared" si="14"/>
        <v>2659.8300000000017</v>
      </c>
      <c r="H24" s="165">
        <f t="shared" si="14"/>
        <v>-8362.2400000000016</v>
      </c>
      <c r="I24" s="165">
        <f t="shared" si="14"/>
        <v>4186.18</v>
      </c>
      <c r="J24" s="165">
        <f t="shared" si="14"/>
        <v>17908.72</v>
      </c>
      <c r="K24" s="165">
        <f t="shared" si="14"/>
        <v>7225.1899999999987</v>
      </c>
      <c r="L24" s="165">
        <f t="shared" si="14"/>
        <v>7401.0799999999981</v>
      </c>
      <c r="M24" s="165">
        <f t="shared" si="14"/>
        <v>-4084.4399999999987</v>
      </c>
      <c r="N24" s="165">
        <f>N15-N21-N22-N23</f>
        <v>26310.090000000026</v>
      </c>
      <c r="O24" s="165">
        <f t="shared" si="12"/>
        <v>2391.8263636363658</v>
      </c>
      <c r="P24" s="101"/>
      <c r="Q24" s="55"/>
      <c r="R24" s="55"/>
    </row>
    <row r="25" spans="1:18" ht="14.55" customHeight="1" thickBot="1" x14ac:dyDescent="0.55000000000000004">
      <c r="A25" s="151" t="s">
        <v>25</v>
      </c>
      <c r="B25" s="152">
        <f t="shared" ref="B25:M25" si="15">B21</f>
        <v>109.6</v>
      </c>
      <c r="C25" s="152">
        <f t="shared" si="15"/>
        <v>109.6</v>
      </c>
      <c r="D25" s="152">
        <f t="shared" si="15"/>
        <v>109.6</v>
      </c>
      <c r="E25" s="152">
        <f t="shared" si="15"/>
        <v>109.6</v>
      </c>
      <c r="F25" s="152">
        <f t="shared" si="15"/>
        <v>109.6</v>
      </c>
      <c r="G25" s="152">
        <f t="shared" si="15"/>
        <v>109.6</v>
      </c>
      <c r="H25" s="152">
        <f t="shared" si="15"/>
        <v>109.6</v>
      </c>
      <c r="I25" s="152">
        <f t="shared" si="15"/>
        <v>109.6</v>
      </c>
      <c r="J25" s="152">
        <f t="shared" si="15"/>
        <v>109.6</v>
      </c>
      <c r="K25" s="152">
        <f t="shared" si="15"/>
        <v>109.6</v>
      </c>
      <c r="L25" s="152">
        <f t="shared" si="15"/>
        <v>109</v>
      </c>
      <c r="M25" s="152">
        <f t="shared" si="15"/>
        <v>109</v>
      </c>
      <c r="N25" s="152">
        <f>SUM(B25:M25)</f>
        <v>1314</v>
      </c>
      <c r="O25" s="152">
        <f t="shared" si="12"/>
        <v>119.45454545454545</v>
      </c>
      <c r="P25" s="102"/>
      <c r="Q25" s="55"/>
      <c r="R25" s="55"/>
    </row>
    <row r="26" spans="1:18" ht="17.100000000000001" customHeight="1" thickBot="1" x14ac:dyDescent="0.55000000000000004">
      <c r="A26" s="153" t="s">
        <v>35</v>
      </c>
      <c r="B26" s="154">
        <f>B24+B25</f>
        <v>-8417.3599999999988</v>
      </c>
      <c r="C26" s="154">
        <f t="shared" ref="C26:M26" si="16">C24+C25</f>
        <v>6446.4500000000025</v>
      </c>
      <c r="D26" s="154">
        <f t="shared" si="16"/>
        <v>2017.3000000000006</v>
      </c>
      <c r="E26" s="154">
        <f t="shared" si="16"/>
        <v>3087.4699999999989</v>
      </c>
      <c r="F26" s="154">
        <f t="shared" si="16"/>
        <v>-3210.0899999999988</v>
      </c>
      <c r="G26" s="154">
        <f t="shared" si="16"/>
        <v>2769.4300000000017</v>
      </c>
      <c r="H26" s="154">
        <f t="shared" si="16"/>
        <v>-8252.6400000000012</v>
      </c>
      <c r="I26" s="154">
        <f t="shared" si="16"/>
        <v>4295.7800000000007</v>
      </c>
      <c r="J26" s="154">
        <f t="shared" si="16"/>
        <v>18018.32</v>
      </c>
      <c r="K26" s="154">
        <f t="shared" si="16"/>
        <v>7334.7899999999991</v>
      </c>
      <c r="L26" s="154">
        <f t="shared" si="16"/>
        <v>7510.0799999999981</v>
      </c>
      <c r="M26" s="154">
        <f t="shared" si="16"/>
        <v>-3975.4399999999987</v>
      </c>
      <c r="N26" s="155">
        <f>N24+N25</f>
        <v>27624.090000000026</v>
      </c>
      <c r="O26" s="155">
        <f t="shared" si="12"/>
        <v>2511.2809090909113</v>
      </c>
      <c r="P26" s="103"/>
      <c r="Q26" s="55"/>
      <c r="R26" s="55"/>
    </row>
    <row r="27" spans="1:18" ht="24.1" customHeight="1" thickBot="1" x14ac:dyDescent="0.55000000000000004">
      <c r="A27" s="156" t="s">
        <v>36</v>
      </c>
      <c r="B27" s="157">
        <f>B13+B26</f>
        <v>-6603.9199999999983</v>
      </c>
      <c r="C27" s="157">
        <f t="shared" ref="C27:M27" si="17">C13+C26</f>
        <v>18974.690000000002</v>
      </c>
      <c r="D27" s="157">
        <f t="shared" si="17"/>
        <v>1659.5700000000024</v>
      </c>
      <c r="E27" s="157">
        <f t="shared" si="17"/>
        <v>-580.88999999999669</v>
      </c>
      <c r="F27" s="157">
        <f t="shared" si="17"/>
        <v>8246.3400000000038</v>
      </c>
      <c r="G27" s="157">
        <f t="shared" si="17"/>
        <v>27569.870000000006</v>
      </c>
      <c r="H27" s="157">
        <f t="shared" si="17"/>
        <v>-9902.5600000000049</v>
      </c>
      <c r="I27" s="157">
        <f t="shared" si="17"/>
        <v>37332.46</v>
      </c>
      <c r="J27" s="157">
        <f t="shared" si="17"/>
        <v>34406.36</v>
      </c>
      <c r="K27" s="157">
        <f t="shared" si="17"/>
        <v>12200.099999999999</v>
      </c>
      <c r="L27" s="157">
        <f t="shared" si="17"/>
        <v>13601.539999999997</v>
      </c>
      <c r="M27" s="157">
        <f t="shared" si="17"/>
        <v>-13361.839999999993</v>
      </c>
      <c r="N27" s="166">
        <f>N13+N26</f>
        <v>123541.72000000009</v>
      </c>
      <c r="O27" s="157">
        <f t="shared" si="12"/>
        <v>11231.065454545462</v>
      </c>
      <c r="P27" s="104"/>
      <c r="Q27" s="55"/>
      <c r="R27" s="55"/>
    </row>
    <row r="28" spans="1:18" ht="12.95" customHeight="1" x14ac:dyDescent="0.5">
      <c r="A28" s="234">
        <v>2022</v>
      </c>
      <c r="B28" s="234"/>
      <c r="C28" s="234"/>
      <c r="D28" s="234"/>
      <c r="E28" s="234"/>
      <c r="F28" s="234"/>
      <c r="G28" s="234"/>
      <c r="H28" s="234"/>
      <c r="I28" s="234"/>
      <c r="J28" s="234"/>
      <c r="K28" s="234"/>
      <c r="L28" s="234"/>
      <c r="M28" s="234"/>
      <c r="N28" s="181"/>
      <c r="O28" s="182"/>
      <c r="P28" s="104"/>
      <c r="Q28" s="55"/>
      <c r="R28" s="55"/>
    </row>
    <row r="29" spans="1:18" ht="12.95" customHeight="1" x14ac:dyDescent="0.5">
      <c r="A29" s="110" t="s">
        <v>37</v>
      </c>
      <c r="B29" s="111">
        <f>B15/6</f>
        <v>3528.86</v>
      </c>
      <c r="C29" s="111">
        <f>C15/6</f>
        <v>4743.8683333333329</v>
      </c>
      <c r="D29" s="111">
        <f t="shared" ref="D29:M29" si="18">D15/6</f>
        <v>4278.9733333333334</v>
      </c>
      <c r="E29" s="111">
        <f t="shared" si="18"/>
        <v>4425.2599999999993</v>
      </c>
      <c r="F29" s="111">
        <f t="shared" si="18"/>
        <v>3711.8016666666667</v>
      </c>
      <c r="G29" s="111">
        <f t="shared" si="18"/>
        <v>4317.1283333333331</v>
      </c>
      <c r="H29" s="111">
        <f t="shared" si="18"/>
        <v>4388.46</v>
      </c>
      <c r="I29" s="111">
        <f t="shared" si="18"/>
        <v>4257.1083333333327</v>
      </c>
      <c r="J29" s="111">
        <f t="shared" si="18"/>
        <v>6425.5533333333333</v>
      </c>
      <c r="K29" s="111">
        <f t="shared" si="18"/>
        <v>5232.623333333333</v>
      </c>
      <c r="L29" s="111">
        <f t="shared" si="18"/>
        <v>4746.1983333333328</v>
      </c>
      <c r="M29" s="111">
        <f t="shared" si="18"/>
        <v>4574.9900000000007</v>
      </c>
      <c r="N29" s="183">
        <f>AVERAGE(B29:L29)</f>
        <v>4550.5304545454555</v>
      </c>
      <c r="O29" s="182"/>
      <c r="P29" s="104"/>
      <c r="Q29" s="55"/>
      <c r="R29" s="55"/>
    </row>
    <row r="30" spans="1:18" ht="12.95" customHeight="1" x14ac:dyDescent="0.5">
      <c r="A30" s="174" t="s">
        <v>38</v>
      </c>
      <c r="B30" s="175">
        <f>B15/8</f>
        <v>2646.645</v>
      </c>
      <c r="C30" s="175">
        <f>C15/7</f>
        <v>4066.1728571428571</v>
      </c>
      <c r="D30" s="175">
        <f t="shared" ref="D30:K30" si="19">D15/7</f>
        <v>3667.6914285714288</v>
      </c>
      <c r="E30" s="175">
        <f t="shared" si="19"/>
        <v>3793.0799999999995</v>
      </c>
      <c r="F30" s="175">
        <f t="shared" si="19"/>
        <v>3181.5442857142857</v>
      </c>
      <c r="G30" s="175">
        <f t="shared" si="19"/>
        <v>3700.3957142857143</v>
      </c>
      <c r="H30" s="175">
        <f t="shared" si="19"/>
        <v>3761.5371428571425</v>
      </c>
      <c r="I30" s="175">
        <f t="shared" si="19"/>
        <v>3648.95</v>
      </c>
      <c r="J30" s="175">
        <f t="shared" si="19"/>
        <v>5507.6171428571424</v>
      </c>
      <c r="K30" s="175">
        <f t="shared" si="19"/>
        <v>4485.1057142857144</v>
      </c>
      <c r="L30" s="175">
        <f>L15/6</f>
        <v>4746.1983333333328</v>
      </c>
      <c r="M30" s="175">
        <f>M15/6</f>
        <v>4574.9900000000007</v>
      </c>
      <c r="N30" s="183">
        <f>AVERAGE(B30:L30)</f>
        <v>3927.7216017316018</v>
      </c>
      <c r="O30" s="182"/>
      <c r="P30" s="104"/>
      <c r="Q30" s="55"/>
      <c r="R30" s="55"/>
    </row>
    <row r="31" spans="1:18" ht="12.95" customHeight="1" x14ac:dyDescent="0.5">
      <c r="A31" s="234">
        <v>2021</v>
      </c>
      <c r="B31" s="234"/>
      <c r="C31" s="234"/>
      <c r="D31" s="234"/>
      <c r="E31" s="234"/>
      <c r="F31" s="234"/>
      <c r="G31" s="234"/>
      <c r="H31" s="234"/>
      <c r="I31" s="234"/>
      <c r="J31" s="234"/>
      <c r="K31" s="234"/>
      <c r="L31" s="234"/>
      <c r="M31" s="234"/>
      <c r="N31" s="181"/>
      <c r="O31" s="182"/>
      <c r="P31" s="104"/>
      <c r="Q31" s="55"/>
      <c r="R31" s="55"/>
    </row>
    <row r="32" spans="1:18" ht="12.95" customHeight="1" x14ac:dyDescent="0.5">
      <c r="A32" s="110" t="s">
        <v>37</v>
      </c>
      <c r="B32" s="111">
        <v>4029.0116666666672</v>
      </c>
      <c r="C32" s="111">
        <v>4296.8783333333331</v>
      </c>
      <c r="D32" s="111">
        <v>4763.7883333333339</v>
      </c>
      <c r="E32" s="111">
        <v>3588.3616666666662</v>
      </c>
      <c r="F32" s="111">
        <v>3609.6149999999998</v>
      </c>
      <c r="G32" s="111">
        <v>4665.8866666666663</v>
      </c>
      <c r="H32" s="111">
        <v>4321.2616666666663</v>
      </c>
      <c r="I32" s="111">
        <v>3657.5416666666665</v>
      </c>
      <c r="J32" s="111">
        <v>4442.6883333333326</v>
      </c>
      <c r="K32" s="111">
        <v>5294.7616666666672</v>
      </c>
      <c r="L32" s="111">
        <v>4674.8283333333338</v>
      </c>
      <c r="M32" s="111">
        <v>3984.1666666666665</v>
      </c>
      <c r="N32" s="183">
        <f>AVERAGE(B32:M32)</f>
        <v>4277.3991666666652</v>
      </c>
      <c r="O32" s="182"/>
      <c r="P32" s="104"/>
      <c r="Q32" s="55"/>
      <c r="R32" s="55"/>
    </row>
    <row r="33" spans="1:18" ht="12.95" customHeight="1" x14ac:dyDescent="0.5">
      <c r="A33" s="174" t="s">
        <v>39</v>
      </c>
      <c r="B33" s="175">
        <v>3581.3437037037043</v>
      </c>
      <c r="C33" s="175">
        <v>3966.3492307692309</v>
      </c>
      <c r="D33" s="175">
        <v>4763.7883333333339</v>
      </c>
      <c r="E33" s="175">
        <v>3189.6548148148145</v>
      </c>
      <c r="F33" s="175">
        <v>2707.2112499999998</v>
      </c>
      <c r="G33" s="175">
        <v>3499.415</v>
      </c>
      <c r="H33" s="175">
        <v>3240.94625</v>
      </c>
      <c r="I33" s="175">
        <v>2743.15625</v>
      </c>
      <c r="J33" s="175">
        <v>3332.0162499999997</v>
      </c>
      <c r="K33" s="175">
        <v>3971.0712500000004</v>
      </c>
      <c r="L33" s="175">
        <v>3506.1212500000001</v>
      </c>
      <c r="M33" s="175">
        <v>2988.125</v>
      </c>
      <c r="N33" s="183">
        <f>AVERAGE(B33:M33)</f>
        <v>3457.4332152184238</v>
      </c>
      <c r="O33" s="182"/>
      <c r="P33" s="104"/>
      <c r="Q33" s="55"/>
      <c r="R33" s="55"/>
    </row>
    <row r="34" spans="1:18" ht="16.25" customHeight="1" x14ac:dyDescent="0.5">
      <c r="A34" s="234">
        <v>2020</v>
      </c>
      <c r="B34" s="234"/>
      <c r="C34" s="234"/>
      <c r="D34" s="234"/>
      <c r="E34" s="234"/>
      <c r="F34" s="234"/>
      <c r="G34" s="234"/>
      <c r="H34" s="234"/>
      <c r="I34" s="234"/>
      <c r="J34" s="234"/>
      <c r="K34" s="234"/>
      <c r="L34" s="234"/>
      <c r="M34" s="234"/>
      <c r="N34" s="181"/>
      <c r="O34" s="182"/>
      <c r="P34" s="104"/>
      <c r="Q34" s="55"/>
      <c r="R34" s="55"/>
    </row>
    <row r="35" spans="1:18" x14ac:dyDescent="0.5">
      <c r="A35" s="110" t="s">
        <v>37</v>
      </c>
      <c r="B35" s="111">
        <v>4631.4066666666668</v>
      </c>
      <c r="C35" s="111">
        <v>5038.166666666667</v>
      </c>
      <c r="D35" s="111">
        <v>4851.1966666666667</v>
      </c>
      <c r="E35" s="111">
        <v>4096.0749999999998</v>
      </c>
      <c r="F35" s="111">
        <v>4196.666666666667</v>
      </c>
      <c r="G35" s="111">
        <v>4920.833333333333</v>
      </c>
      <c r="H35" s="111">
        <v>4191.628333333334</v>
      </c>
      <c r="I35" s="111">
        <v>4652.2483333333339</v>
      </c>
      <c r="J35" s="111">
        <v>4234.166666666667</v>
      </c>
      <c r="K35" s="111">
        <v>5310.5316666666668</v>
      </c>
      <c r="L35" s="111">
        <v>5319.0783333333338</v>
      </c>
      <c r="M35" s="111">
        <v>4989.7950000000001</v>
      </c>
      <c r="N35" s="183">
        <f>AVERAGE(B35:M35)</f>
        <v>4702.6494444444443</v>
      </c>
      <c r="O35" s="67"/>
      <c r="P35" s="67"/>
      <c r="Q35" s="55"/>
      <c r="R35" s="55"/>
    </row>
    <row r="36" spans="1:18" x14ac:dyDescent="0.5">
      <c r="A36" s="174" t="s">
        <v>40</v>
      </c>
      <c r="B36" s="175">
        <v>3473.5549999999998</v>
      </c>
      <c r="C36" s="175">
        <v>3778.625</v>
      </c>
      <c r="D36" s="175">
        <v>4851.1966666666667</v>
      </c>
      <c r="E36" s="175">
        <v>4915.29</v>
      </c>
      <c r="F36" s="175">
        <v>5036</v>
      </c>
      <c r="G36" s="175">
        <v>4920.833333333333</v>
      </c>
      <c r="H36" s="175">
        <v>4191.628333333334</v>
      </c>
      <c r="I36" s="175">
        <v>4652.2483333333339</v>
      </c>
      <c r="J36" s="175">
        <v>3629.2857142857142</v>
      </c>
      <c r="K36" s="175">
        <v>4551.8842857142863</v>
      </c>
      <c r="L36" s="175">
        <v>4559.21</v>
      </c>
      <c r="M36" s="175">
        <v>4276.9671428571428</v>
      </c>
      <c r="N36" s="183">
        <f>AVERAGE(B36:M36)</f>
        <v>4403.0603174603184</v>
      </c>
      <c r="O36" s="67"/>
      <c r="P36" s="67"/>
      <c r="Q36" s="55"/>
      <c r="R36" s="55"/>
    </row>
    <row r="37" spans="1:18" ht="18" x14ac:dyDescent="0.5">
      <c r="A37" s="234">
        <v>2019</v>
      </c>
      <c r="B37" s="234"/>
      <c r="C37" s="234"/>
      <c r="D37" s="234"/>
      <c r="E37" s="234"/>
      <c r="F37" s="234"/>
      <c r="G37" s="234"/>
      <c r="H37" s="234"/>
      <c r="I37" s="234"/>
      <c r="J37" s="234"/>
      <c r="K37" s="234"/>
      <c r="L37" s="234"/>
      <c r="M37" s="234"/>
      <c r="N37" s="67"/>
      <c r="O37" s="67"/>
      <c r="P37" s="67"/>
      <c r="Q37" s="55"/>
      <c r="R37" s="55"/>
    </row>
    <row r="38" spans="1:18" x14ac:dyDescent="0.5">
      <c r="A38" s="113" t="s">
        <v>41</v>
      </c>
      <c r="B38" s="114">
        <v>4166.5157142857142</v>
      </c>
      <c r="C38" s="114">
        <v>4603.8571428571431</v>
      </c>
      <c r="D38" s="114">
        <v>4838.2857142857147</v>
      </c>
      <c r="E38" s="114">
        <v>4961.9185714285713</v>
      </c>
      <c r="F38" s="114">
        <v>5924.5714285714284</v>
      </c>
      <c r="G38" s="114">
        <v>4501.2857142857147</v>
      </c>
      <c r="H38" s="114">
        <v>5658.0333333333328</v>
      </c>
      <c r="I38" s="114">
        <v>4578.7333333333336</v>
      </c>
      <c r="J38" s="114">
        <v>4839.333333333333</v>
      </c>
      <c r="K38" s="114">
        <v>5226.2866666666669</v>
      </c>
      <c r="L38" s="114">
        <v>5469.333333333333</v>
      </c>
      <c r="M38" s="114">
        <v>5184.916666666667</v>
      </c>
      <c r="N38" s="183">
        <f>AVERAGE(B38:M38)</f>
        <v>4996.0892460317464</v>
      </c>
      <c r="O38" s="67"/>
      <c r="P38" s="67"/>
      <c r="Q38" s="55"/>
      <c r="R38" s="55"/>
    </row>
    <row r="39" spans="1:18" x14ac:dyDescent="0.5">
      <c r="A39" s="174" t="s">
        <v>42</v>
      </c>
      <c r="B39" s="175">
        <v>2916.5610000000001</v>
      </c>
      <c r="C39" s="175">
        <v>3222.7</v>
      </c>
      <c r="D39" s="175">
        <v>3386.8</v>
      </c>
      <c r="E39" s="175">
        <v>3859.27</v>
      </c>
      <c r="F39" s="175">
        <v>4608</v>
      </c>
      <c r="G39" s="175">
        <v>3501</v>
      </c>
      <c r="H39" s="175">
        <v>4243.5249999999996</v>
      </c>
      <c r="I39" s="175">
        <v>3434.05</v>
      </c>
      <c r="J39" s="175">
        <v>3629.5</v>
      </c>
      <c r="K39" s="175">
        <v>3919.7150000000001</v>
      </c>
      <c r="L39" s="175">
        <v>4102</v>
      </c>
      <c r="M39" s="175">
        <v>3888.6875</v>
      </c>
      <c r="N39" s="183">
        <f>AVERAGE(B39:M39)</f>
        <v>3725.9840416666666</v>
      </c>
      <c r="O39" s="67"/>
      <c r="P39" s="67"/>
      <c r="Q39" s="55"/>
      <c r="R39" s="55"/>
    </row>
    <row r="40" spans="1:18" ht="14.1" customHeight="1" x14ac:dyDescent="0.5">
      <c r="A40" s="234">
        <v>2018</v>
      </c>
      <c r="B40" s="234"/>
      <c r="C40" s="234"/>
      <c r="D40" s="234"/>
      <c r="E40" s="234"/>
      <c r="F40" s="234"/>
      <c r="G40" s="234"/>
      <c r="H40" s="234"/>
      <c r="I40" s="234"/>
      <c r="J40" s="234"/>
      <c r="K40" s="234"/>
      <c r="L40" s="234"/>
      <c r="M40" s="234"/>
      <c r="N40" s="67"/>
      <c r="O40" s="67"/>
      <c r="P40" s="67"/>
      <c r="Q40" s="55"/>
      <c r="R40" s="55"/>
    </row>
    <row r="41" spans="1:18" x14ac:dyDescent="0.5">
      <c r="A41" s="113" t="s">
        <v>43</v>
      </c>
      <c r="B41" s="114">
        <v>4758.3285714285721</v>
      </c>
      <c r="C41" s="114">
        <v>5051.5714285714284</v>
      </c>
      <c r="D41" s="114">
        <v>6206.8571428571431</v>
      </c>
      <c r="E41" s="114">
        <v>5050.1428571428569</v>
      </c>
      <c r="F41" s="114">
        <v>4891.8571428571431</v>
      </c>
      <c r="G41" s="114">
        <v>6049</v>
      </c>
      <c r="H41" s="114">
        <v>5937.1642857142861</v>
      </c>
      <c r="I41" s="114">
        <v>4201.7142857142853</v>
      </c>
      <c r="J41" s="114">
        <v>4655</v>
      </c>
      <c r="K41" s="114">
        <v>4756</v>
      </c>
      <c r="L41" s="114">
        <v>4744.5714285714284</v>
      </c>
      <c r="M41" s="114">
        <v>4506.1428571428569</v>
      </c>
      <c r="N41" s="183">
        <f>AVERAGE(B41:M41)</f>
        <v>5067.3625000000002</v>
      </c>
      <c r="O41" s="67"/>
      <c r="P41" s="67"/>
    </row>
    <row r="42" spans="1:18" x14ac:dyDescent="0.5">
      <c r="A42" s="174" t="s">
        <v>44</v>
      </c>
      <c r="B42" s="175">
        <v>3330.8300000000004</v>
      </c>
      <c r="C42" s="175">
        <v>3536.1</v>
      </c>
      <c r="D42" s="175">
        <v>4344.8</v>
      </c>
      <c r="E42" s="175">
        <v>3927.8888888888887</v>
      </c>
      <c r="F42" s="175">
        <v>3804.7777777777778</v>
      </c>
      <c r="G42" s="175">
        <v>4234.3</v>
      </c>
      <c r="H42" s="175">
        <v>4156.0150000000003</v>
      </c>
      <c r="I42" s="175">
        <v>2941.2</v>
      </c>
      <c r="J42" s="175">
        <v>3258.5</v>
      </c>
      <c r="K42" s="175">
        <v>3329.2</v>
      </c>
      <c r="L42" s="175">
        <v>3321.2</v>
      </c>
      <c r="M42" s="175">
        <v>3154.3</v>
      </c>
      <c r="N42" s="183">
        <f>AVERAGE(B42:M42)</f>
        <v>3611.5926388888888</v>
      </c>
      <c r="O42" s="67"/>
      <c r="P42" s="67"/>
    </row>
    <row r="43" spans="1:18" x14ac:dyDescent="0.5">
      <c r="E43" s="119"/>
      <c r="F43" s="1"/>
      <c r="G43" s="1"/>
      <c r="H43" s="1"/>
    </row>
    <row r="44" spans="1:18" x14ac:dyDescent="0.5">
      <c r="B44" s="188"/>
      <c r="C44" s="188"/>
      <c r="D44" s="188"/>
      <c r="E44" s="188"/>
      <c r="F44" s="188"/>
      <c r="G44" s="188"/>
      <c r="H44" s="188"/>
      <c r="I44" s="188"/>
      <c r="J44" s="188"/>
      <c r="K44" s="188"/>
      <c r="L44" s="188"/>
      <c r="M44" s="188"/>
    </row>
    <row r="45" spans="1:18" x14ac:dyDescent="0.5">
      <c r="E45" s="119"/>
      <c r="F45" s="1"/>
      <c r="G45" s="1"/>
      <c r="H45" s="1"/>
    </row>
    <row r="46" spans="1:18" x14ac:dyDescent="0.5">
      <c r="E46" s="120"/>
      <c r="F46" s="121"/>
      <c r="G46" s="122"/>
      <c r="H46" s="122"/>
    </row>
    <row r="47" spans="1:18" x14ac:dyDescent="0.5">
      <c r="E47" s="119"/>
      <c r="F47" s="1"/>
      <c r="G47" s="1"/>
      <c r="H47" s="1"/>
    </row>
    <row r="48" spans="1:18" x14ac:dyDescent="0.5">
      <c r="E48" s="120"/>
      <c r="F48" s="121"/>
      <c r="G48" s="122"/>
      <c r="H48" s="122"/>
    </row>
    <row r="49" spans="1:18" x14ac:dyDescent="0.5">
      <c r="E49" s="119"/>
      <c r="F49" s="1"/>
      <c r="G49" s="1"/>
      <c r="H49" s="1"/>
    </row>
    <row r="50" spans="1:18" s="9" customFormat="1" x14ac:dyDescent="0.5">
      <c r="A50" s="1"/>
      <c r="E50" s="120"/>
      <c r="F50" s="121"/>
      <c r="G50" s="122"/>
      <c r="H50" s="122"/>
      <c r="Q50" s="1"/>
      <c r="R50" s="1"/>
    </row>
  </sheetData>
  <mergeCells count="9">
    <mergeCell ref="A34:M34"/>
    <mergeCell ref="A37:M37"/>
    <mergeCell ref="A40:M40"/>
    <mergeCell ref="A28:M28"/>
    <mergeCell ref="P5:P7"/>
    <mergeCell ref="P9:P10"/>
    <mergeCell ref="P16:P20"/>
    <mergeCell ref="P22:P23"/>
    <mergeCell ref="A31:M31"/>
  </mergeCells>
  <pageMargins left="0.7" right="0.7" top="0.75" bottom="0.75" header="0.3" footer="0.3"/>
  <pageSetup paperSize="9" orientation="portrait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4E2E1B-B1FC-4614-9684-3EE10591BC3C}">
  <dimension ref="A1:S49"/>
  <sheetViews>
    <sheetView zoomScale="88" zoomScaleNormal="124" zoomScalePageLayoutView="112" workbookViewId="0">
      <selection activeCell="C29" sqref="C29:H29"/>
    </sheetView>
  </sheetViews>
  <sheetFormatPr baseColWidth="10" defaultColWidth="10.6875" defaultRowHeight="15.75" x14ac:dyDescent="0.5"/>
  <cols>
    <col min="1" max="1" width="0.6875" style="1" customWidth="1"/>
    <col min="2" max="2" width="25.125" style="1" customWidth="1"/>
    <col min="3" max="9" width="11.3125" style="9" bestFit="1" customWidth="1"/>
    <col min="10" max="10" width="11.4375" style="9" customWidth="1"/>
    <col min="11" max="14" width="11.3125" style="9" bestFit="1" customWidth="1"/>
    <col min="15" max="15" width="13.8125" style="9" customWidth="1"/>
    <col min="16" max="16" width="13.8125" style="9" bestFit="1" customWidth="1"/>
    <col min="17" max="17" width="11.4375" style="9" bestFit="1" customWidth="1"/>
    <col min="18" max="18" width="34.4375" style="1" customWidth="1"/>
    <col min="19" max="16384" width="10.6875" style="1"/>
  </cols>
  <sheetData>
    <row r="1" spans="1:19" ht="19.8" customHeight="1" thickBot="1" x14ac:dyDescent="0.55000000000000004">
      <c r="A1" s="229"/>
      <c r="B1" s="145" t="s">
        <v>45</v>
      </c>
      <c r="C1" s="146" t="s">
        <v>1</v>
      </c>
      <c r="D1" s="146" t="s">
        <v>2</v>
      </c>
      <c r="E1" s="146" t="s">
        <v>3</v>
      </c>
      <c r="F1" s="146" t="s">
        <v>4</v>
      </c>
      <c r="G1" s="147" t="s">
        <v>5</v>
      </c>
      <c r="H1" s="146" t="s">
        <v>6</v>
      </c>
      <c r="I1" s="146" t="s">
        <v>7</v>
      </c>
      <c r="J1" s="146" t="s">
        <v>8</v>
      </c>
      <c r="K1" s="146" t="s">
        <v>9</v>
      </c>
      <c r="L1" s="146" t="s">
        <v>10</v>
      </c>
      <c r="M1" s="146" t="s">
        <v>11</v>
      </c>
      <c r="N1" s="146" t="s">
        <v>12</v>
      </c>
      <c r="O1" s="146" t="s">
        <v>13</v>
      </c>
      <c r="P1" s="146" t="s">
        <v>14</v>
      </c>
      <c r="Q1" s="146" t="s">
        <v>15</v>
      </c>
      <c r="R1" s="55"/>
      <c r="S1" s="55"/>
    </row>
    <row r="2" spans="1:19" ht="14.55" customHeight="1" thickBot="1" x14ac:dyDescent="0.55000000000000004">
      <c r="A2" s="229"/>
      <c r="B2" s="148" t="s">
        <v>16</v>
      </c>
      <c r="C2" s="149">
        <f>SUM(C3:C5)</f>
        <v>33682.479999999996</v>
      </c>
      <c r="D2" s="149">
        <f t="shared" ref="D2:N2" si="0">SUM(D3:D5)</f>
        <v>38187.43</v>
      </c>
      <c r="E2" s="149">
        <f>SUM(E3:E5)</f>
        <v>38915.259999999995</v>
      </c>
      <c r="F2" s="149">
        <f t="shared" si="0"/>
        <v>27247.16</v>
      </c>
      <c r="G2" s="149">
        <f t="shared" si="0"/>
        <v>43520.44</v>
      </c>
      <c r="H2" s="149">
        <f t="shared" si="0"/>
        <v>56115.65</v>
      </c>
      <c r="I2" s="149">
        <f t="shared" si="0"/>
        <v>30098.120000000003</v>
      </c>
      <c r="J2" s="149">
        <f t="shared" si="0"/>
        <v>26994.400000000001</v>
      </c>
      <c r="K2" s="149">
        <f t="shared" si="0"/>
        <v>62845</v>
      </c>
      <c r="L2" s="149">
        <f t="shared" si="0"/>
        <v>34743.949999999997</v>
      </c>
      <c r="M2" s="149">
        <f t="shared" si="0"/>
        <v>40548.17</v>
      </c>
      <c r="N2" s="149">
        <f t="shared" si="0"/>
        <v>31895.510000000002</v>
      </c>
      <c r="O2" s="150">
        <f t="shared" ref="O2" si="1">SUM(C2:N2)</f>
        <v>464793.57</v>
      </c>
      <c r="P2" s="150">
        <f>O2/12</f>
        <v>38732.797500000001</v>
      </c>
      <c r="Q2" s="150">
        <f>P2</f>
        <v>38732.797500000001</v>
      </c>
      <c r="R2" s="55"/>
      <c r="S2" s="55"/>
    </row>
    <row r="3" spans="1:19" ht="14.55" customHeight="1" x14ac:dyDescent="0.5">
      <c r="A3" s="229"/>
      <c r="B3" s="140" t="s">
        <v>17</v>
      </c>
      <c r="C3" s="141">
        <v>19373.48</v>
      </c>
      <c r="D3" s="143">
        <v>22590.43</v>
      </c>
      <c r="E3" s="143">
        <v>19300.259999999998</v>
      </c>
      <c r="F3" s="143">
        <v>13795.16</v>
      </c>
      <c r="G3" s="143">
        <v>22468.44</v>
      </c>
      <c r="H3" s="143">
        <v>23589.75</v>
      </c>
      <c r="I3" s="143">
        <v>14915.12</v>
      </c>
      <c r="J3" s="143">
        <v>12189</v>
      </c>
      <c r="K3" s="143">
        <v>27621</v>
      </c>
      <c r="L3" s="143">
        <v>20006</v>
      </c>
      <c r="M3" s="143">
        <v>20695.490000000002</v>
      </c>
      <c r="N3" s="143">
        <v>16402.830000000002</v>
      </c>
      <c r="O3" s="144">
        <f>SUM(C3:N3)</f>
        <v>232946.96000000002</v>
      </c>
      <c r="P3" s="144">
        <f t="shared" ref="P3:P12" si="2">O3/12</f>
        <v>19412.24666666667</v>
      </c>
      <c r="Q3" s="230">
        <f>SUM(P3:P5)</f>
        <v>38732.797500000001</v>
      </c>
      <c r="R3" s="55"/>
      <c r="S3" s="55"/>
    </row>
    <row r="4" spans="1:19" ht="14.55" customHeight="1" x14ac:dyDescent="0.5">
      <c r="A4" s="229"/>
      <c r="B4" s="74" t="s">
        <v>18</v>
      </c>
      <c r="C4" s="124">
        <v>13137</v>
      </c>
      <c r="D4" s="124">
        <v>13137</v>
      </c>
      <c r="E4" s="124">
        <v>13137</v>
      </c>
      <c r="F4" s="124">
        <v>13137</v>
      </c>
      <c r="G4" s="124">
        <v>13137</v>
      </c>
      <c r="H4" s="124">
        <v>12807.9</v>
      </c>
      <c r="I4" s="124">
        <v>13137</v>
      </c>
      <c r="J4" s="124">
        <v>12916.4</v>
      </c>
      <c r="K4" s="124">
        <v>13137</v>
      </c>
      <c r="L4" s="124">
        <v>12817.95</v>
      </c>
      <c r="M4" s="124">
        <v>13037.68</v>
      </c>
      <c r="N4" s="124">
        <v>13037.68</v>
      </c>
      <c r="O4" s="130">
        <f>SUM(C4:N4)</f>
        <v>156576.60999999999</v>
      </c>
      <c r="P4" s="130">
        <f t="shared" si="2"/>
        <v>13048.050833333333</v>
      </c>
      <c r="Q4" s="231"/>
      <c r="R4" s="55"/>
      <c r="S4" s="55"/>
    </row>
    <row r="5" spans="1:19" ht="14.55" customHeight="1" x14ac:dyDescent="0.5">
      <c r="A5" s="229"/>
      <c r="B5" s="74" t="s">
        <v>19</v>
      </c>
      <c r="C5" s="124">
        <v>1172</v>
      </c>
      <c r="D5" s="124">
        <v>2460</v>
      </c>
      <c r="E5" s="124">
        <v>6478</v>
      </c>
      <c r="F5" s="124">
        <v>315</v>
      </c>
      <c r="G5" s="124">
        <v>7915</v>
      </c>
      <c r="H5" s="124">
        <v>19718</v>
      </c>
      <c r="I5" s="124">
        <v>2046</v>
      </c>
      <c r="J5" s="124">
        <v>1889</v>
      </c>
      <c r="K5" s="124">
        <v>22087</v>
      </c>
      <c r="L5" s="124">
        <v>1920</v>
      </c>
      <c r="M5" s="124">
        <v>6815</v>
      </c>
      <c r="N5" s="124">
        <v>2455</v>
      </c>
      <c r="O5" s="130">
        <f>SUM(C5:N5)</f>
        <v>75270</v>
      </c>
      <c r="P5" s="130">
        <f t="shared" si="2"/>
        <v>6272.5</v>
      </c>
      <c r="Q5" s="231"/>
      <c r="R5" s="55"/>
      <c r="S5" s="55"/>
    </row>
    <row r="6" spans="1:19" ht="14.55" customHeight="1" x14ac:dyDescent="0.5">
      <c r="A6" s="229"/>
      <c r="B6" s="32" t="s">
        <v>20</v>
      </c>
      <c r="C6" s="125">
        <v>3838.5</v>
      </c>
      <c r="D6" s="125">
        <v>1329</v>
      </c>
      <c r="E6" s="126">
        <v>3008</v>
      </c>
      <c r="F6" s="126">
        <v>-872.5</v>
      </c>
      <c r="G6" s="126">
        <v>4430</v>
      </c>
      <c r="H6" s="126">
        <v>954.05</v>
      </c>
      <c r="I6" s="126">
        <v>625.25</v>
      </c>
      <c r="J6" s="126">
        <v>2200.5</v>
      </c>
      <c r="K6" s="126">
        <v>1398</v>
      </c>
      <c r="L6" s="126">
        <v>245</v>
      </c>
      <c r="M6" s="126">
        <v>1701.5</v>
      </c>
      <c r="N6" s="126">
        <v>2425</v>
      </c>
      <c r="O6" s="131">
        <f>SUM(C6:N6)</f>
        <v>21282.3</v>
      </c>
      <c r="P6" s="131">
        <f t="shared" si="2"/>
        <v>1773.5249999999999</v>
      </c>
      <c r="Q6" s="232">
        <f>-P6-P7</f>
        <v>-1881.55</v>
      </c>
      <c r="R6" s="55"/>
      <c r="S6" s="55"/>
    </row>
    <row r="7" spans="1:19" ht="14.55" customHeight="1" x14ac:dyDescent="0.5">
      <c r="A7" s="229"/>
      <c r="B7" s="32" t="s">
        <v>21</v>
      </c>
      <c r="C7" s="126">
        <v>114.25</v>
      </c>
      <c r="D7" s="126">
        <v>107.45</v>
      </c>
      <c r="E7" s="126">
        <v>107.45</v>
      </c>
      <c r="F7" s="126">
        <v>107.45</v>
      </c>
      <c r="G7" s="126">
        <v>107.45</v>
      </c>
      <c r="H7" s="126">
        <v>107.45</v>
      </c>
      <c r="I7" s="126">
        <v>107.45</v>
      </c>
      <c r="J7" s="126">
        <v>107.45</v>
      </c>
      <c r="K7" s="126">
        <v>107.45</v>
      </c>
      <c r="L7" s="126">
        <v>107.45</v>
      </c>
      <c r="M7" s="126">
        <v>107.5</v>
      </c>
      <c r="N7" s="126">
        <v>107.5</v>
      </c>
      <c r="O7" s="131">
        <f>SUM(C7:N7)</f>
        <v>1296.3000000000002</v>
      </c>
      <c r="P7" s="131">
        <f t="shared" si="2"/>
        <v>108.02500000000002</v>
      </c>
      <c r="Q7" s="232"/>
      <c r="R7" s="55"/>
      <c r="S7" s="55"/>
    </row>
    <row r="8" spans="1:19" ht="14.55" customHeight="1" x14ac:dyDescent="0.5">
      <c r="A8" s="229"/>
      <c r="B8" s="35" t="s">
        <v>22</v>
      </c>
      <c r="C8" s="127">
        <v>25647.32</v>
      </c>
      <c r="D8" s="127">
        <v>24848.92</v>
      </c>
      <c r="E8" s="127">
        <v>25045.98</v>
      </c>
      <c r="F8" s="127">
        <v>25118.73</v>
      </c>
      <c r="G8" s="127">
        <v>24553.9</v>
      </c>
      <c r="H8" s="127">
        <v>27847.06</v>
      </c>
      <c r="I8" s="127">
        <v>37798.400000000001</v>
      </c>
      <c r="J8" s="127">
        <v>30398.89</v>
      </c>
      <c r="K8" s="127">
        <v>28361.95</v>
      </c>
      <c r="L8" s="127">
        <v>29525.14</v>
      </c>
      <c r="M8" s="127">
        <v>30149.119999999999</v>
      </c>
      <c r="N8" s="134">
        <v>40849.65</v>
      </c>
      <c r="O8" s="132">
        <f t="shared" ref="O8:O9" si="3">SUM(C8:N8)</f>
        <v>350145.06000000006</v>
      </c>
      <c r="P8" s="132">
        <f t="shared" si="2"/>
        <v>29178.755000000005</v>
      </c>
      <c r="Q8" s="233">
        <f>-P8-P9</f>
        <v>-32341.130000000005</v>
      </c>
      <c r="R8" s="55"/>
      <c r="S8" s="55"/>
    </row>
    <row r="9" spans="1:19" ht="14.55" customHeight="1" thickBot="1" x14ac:dyDescent="0.55000000000000004">
      <c r="A9" s="229"/>
      <c r="B9" s="158" t="s">
        <v>23</v>
      </c>
      <c r="C9" s="159">
        <v>2530</v>
      </c>
      <c r="D9" s="159">
        <v>2508</v>
      </c>
      <c r="E9" s="159">
        <v>2902</v>
      </c>
      <c r="F9" s="159">
        <v>2062.5</v>
      </c>
      <c r="G9" s="159">
        <v>3456</v>
      </c>
      <c r="H9" s="159">
        <v>3879</v>
      </c>
      <c r="I9" s="159">
        <v>2457</v>
      </c>
      <c r="J9" s="159">
        <v>2761</v>
      </c>
      <c r="K9" s="159">
        <v>7269</v>
      </c>
      <c r="L9" s="159">
        <v>2099</v>
      </c>
      <c r="M9" s="159">
        <v>3927</v>
      </c>
      <c r="N9" s="159">
        <v>2098</v>
      </c>
      <c r="O9" s="161">
        <f t="shared" si="3"/>
        <v>37948.5</v>
      </c>
      <c r="P9" s="161">
        <f t="shared" si="2"/>
        <v>3162.375</v>
      </c>
      <c r="Q9" s="233"/>
      <c r="R9" s="55"/>
      <c r="S9" s="55"/>
    </row>
    <row r="10" spans="1:19" ht="12.5" customHeight="1" thickBot="1" x14ac:dyDescent="0.55000000000000004">
      <c r="A10" s="229"/>
      <c r="B10" s="164" t="s">
        <v>24</v>
      </c>
      <c r="C10" s="165">
        <f>C2-C6-C7-C8-C9</f>
        <v>1552.4099999999962</v>
      </c>
      <c r="D10" s="165">
        <f t="shared" ref="D10:N10" si="4">D2-D6-D7-D8-D9</f>
        <v>9394.0600000000049</v>
      </c>
      <c r="E10" s="165">
        <f t="shared" si="4"/>
        <v>7851.8299999999981</v>
      </c>
      <c r="F10" s="165">
        <f t="shared" si="4"/>
        <v>830.97999999999956</v>
      </c>
      <c r="G10" s="165">
        <f t="shared" si="4"/>
        <v>10973.090000000004</v>
      </c>
      <c r="H10" s="165">
        <f t="shared" si="4"/>
        <v>23328.09</v>
      </c>
      <c r="I10" s="165">
        <f t="shared" si="4"/>
        <v>-10889.98</v>
      </c>
      <c r="J10" s="165">
        <f t="shared" si="4"/>
        <v>-8473.4399999999987</v>
      </c>
      <c r="K10" s="165">
        <f t="shared" si="4"/>
        <v>25708.600000000006</v>
      </c>
      <c r="L10" s="165">
        <f t="shared" si="4"/>
        <v>2767.3600000000006</v>
      </c>
      <c r="M10" s="165">
        <f t="shared" si="4"/>
        <v>4663.0499999999993</v>
      </c>
      <c r="N10" s="165">
        <f t="shared" si="4"/>
        <v>-13584.64</v>
      </c>
      <c r="O10" s="165">
        <f>O2-O6-O7-O8-O9</f>
        <v>54121.409999999974</v>
      </c>
      <c r="P10" s="165">
        <f t="shared" si="2"/>
        <v>4510.1174999999976</v>
      </c>
      <c r="Q10" s="101"/>
      <c r="R10" s="55"/>
      <c r="S10" s="55"/>
    </row>
    <row r="11" spans="1:19" ht="15.1" customHeight="1" x14ac:dyDescent="0.5">
      <c r="A11" s="229"/>
      <c r="B11" s="162" t="s">
        <v>20</v>
      </c>
      <c r="C11" s="163">
        <f>C6</f>
        <v>3838.5</v>
      </c>
      <c r="D11" s="163">
        <f t="shared" ref="D11:N12" si="5">D6</f>
        <v>1329</v>
      </c>
      <c r="E11" s="163">
        <f t="shared" si="5"/>
        <v>3008</v>
      </c>
      <c r="F11" s="163">
        <f t="shared" si="5"/>
        <v>-872.5</v>
      </c>
      <c r="G11" s="163">
        <f t="shared" si="5"/>
        <v>4430</v>
      </c>
      <c r="H11" s="163">
        <f t="shared" si="5"/>
        <v>954.05</v>
      </c>
      <c r="I11" s="163">
        <f t="shared" si="5"/>
        <v>625.25</v>
      </c>
      <c r="J11" s="163">
        <f t="shared" si="5"/>
        <v>2200.5</v>
      </c>
      <c r="K11" s="163">
        <f t="shared" si="5"/>
        <v>1398</v>
      </c>
      <c r="L11" s="163">
        <f t="shared" si="5"/>
        <v>245</v>
      </c>
      <c r="M11" s="163">
        <f t="shared" si="5"/>
        <v>1701.5</v>
      </c>
      <c r="N11" s="163">
        <f t="shared" si="5"/>
        <v>2425</v>
      </c>
      <c r="O11" s="163">
        <f>SUM(C11:N11)</f>
        <v>21282.3</v>
      </c>
      <c r="P11" s="163">
        <f t="shared" si="2"/>
        <v>1773.5249999999999</v>
      </c>
      <c r="Q11" s="102"/>
      <c r="R11" s="55"/>
      <c r="S11" s="55"/>
    </row>
    <row r="12" spans="1:19" ht="15.1" customHeight="1" thickBot="1" x14ac:dyDescent="0.55000000000000004">
      <c r="A12" s="229"/>
      <c r="B12" s="151" t="s">
        <v>25</v>
      </c>
      <c r="C12" s="152">
        <f>C7</f>
        <v>114.25</v>
      </c>
      <c r="D12" s="152">
        <f t="shared" si="5"/>
        <v>107.45</v>
      </c>
      <c r="E12" s="152">
        <f t="shared" si="5"/>
        <v>107.45</v>
      </c>
      <c r="F12" s="152">
        <f t="shared" si="5"/>
        <v>107.45</v>
      </c>
      <c r="G12" s="152">
        <f t="shared" si="5"/>
        <v>107.45</v>
      </c>
      <c r="H12" s="152">
        <f t="shared" si="5"/>
        <v>107.45</v>
      </c>
      <c r="I12" s="152">
        <f t="shared" si="5"/>
        <v>107.45</v>
      </c>
      <c r="J12" s="152">
        <f t="shared" si="5"/>
        <v>107.45</v>
      </c>
      <c r="K12" s="152">
        <f t="shared" si="5"/>
        <v>107.45</v>
      </c>
      <c r="L12" s="152">
        <f t="shared" si="5"/>
        <v>107.45</v>
      </c>
      <c r="M12" s="152">
        <f t="shared" si="5"/>
        <v>107.5</v>
      </c>
      <c r="N12" s="152">
        <f t="shared" si="5"/>
        <v>107.5</v>
      </c>
      <c r="O12" s="152">
        <f>SUM(C12:N12)</f>
        <v>1296.3000000000002</v>
      </c>
      <c r="P12" s="152">
        <f t="shared" si="2"/>
        <v>108.02500000000002</v>
      </c>
      <c r="Q12" s="102"/>
      <c r="R12" s="55"/>
      <c r="S12" s="55"/>
    </row>
    <row r="13" spans="1:19" ht="17.100000000000001" customHeight="1" thickBot="1" x14ac:dyDescent="0.55000000000000004">
      <c r="A13" s="229"/>
      <c r="B13" s="153" t="s">
        <v>26</v>
      </c>
      <c r="C13" s="154">
        <f>C10+C11+C12</f>
        <v>5505.1599999999962</v>
      </c>
      <c r="D13" s="154">
        <f t="shared" ref="D13:O13" si="6">D10+D11+D12</f>
        <v>10830.510000000006</v>
      </c>
      <c r="E13" s="154">
        <f t="shared" si="6"/>
        <v>10967.279999999999</v>
      </c>
      <c r="F13" s="154">
        <f t="shared" si="6"/>
        <v>65.929999999999566</v>
      </c>
      <c r="G13" s="154">
        <f t="shared" si="6"/>
        <v>15510.540000000005</v>
      </c>
      <c r="H13" s="154">
        <f t="shared" si="6"/>
        <v>24389.59</v>
      </c>
      <c r="I13" s="154">
        <f t="shared" si="6"/>
        <v>-10157.279999999999</v>
      </c>
      <c r="J13" s="154">
        <f t="shared" si="6"/>
        <v>-6165.4899999999989</v>
      </c>
      <c r="K13" s="154">
        <f t="shared" si="6"/>
        <v>27214.050000000007</v>
      </c>
      <c r="L13" s="154">
        <f t="shared" si="6"/>
        <v>3119.8100000000004</v>
      </c>
      <c r="M13" s="154">
        <f t="shared" si="6"/>
        <v>6472.0499999999993</v>
      </c>
      <c r="N13" s="154">
        <f t="shared" si="6"/>
        <v>-11052.14</v>
      </c>
      <c r="O13" s="155">
        <f t="shared" si="6"/>
        <v>76700.00999999998</v>
      </c>
      <c r="P13" s="155">
        <f>O13/12</f>
        <v>6391.6674999999987</v>
      </c>
      <c r="Q13" s="103"/>
      <c r="R13" s="55"/>
      <c r="S13" s="55"/>
    </row>
    <row r="14" spans="1:19" ht="5.0999999999999996" customHeight="1" thickBot="1" x14ac:dyDescent="0.55000000000000004">
      <c r="A14" s="229"/>
      <c r="B14" s="47"/>
      <c r="C14" s="42"/>
      <c r="D14" s="42"/>
      <c r="E14" s="42"/>
      <c r="F14" s="42"/>
      <c r="G14" s="42"/>
      <c r="H14" s="42"/>
      <c r="I14" s="77"/>
      <c r="J14" s="42"/>
      <c r="K14" s="42"/>
      <c r="L14" s="42"/>
      <c r="M14" s="42"/>
      <c r="N14" s="42"/>
      <c r="O14" s="46"/>
      <c r="P14" s="46"/>
      <c r="Q14" s="46"/>
      <c r="R14" s="55"/>
      <c r="S14" s="55"/>
    </row>
    <row r="15" spans="1:19" ht="17.100000000000001" customHeight="1" thickBot="1" x14ac:dyDescent="0.55000000000000004">
      <c r="A15" s="229"/>
      <c r="B15" s="148" t="s">
        <v>27</v>
      </c>
      <c r="C15" s="149">
        <f>SUM(C16:C20)</f>
        <v>24174.070000000003</v>
      </c>
      <c r="D15" s="149">
        <f t="shared" ref="D15:N15" si="7">SUM(D16:D20)</f>
        <v>25781.27</v>
      </c>
      <c r="E15" s="149">
        <f t="shared" si="7"/>
        <v>28582.730000000003</v>
      </c>
      <c r="F15" s="149">
        <f t="shared" si="7"/>
        <v>21530.17</v>
      </c>
      <c r="G15" s="149">
        <f t="shared" si="7"/>
        <v>21657.69</v>
      </c>
      <c r="H15" s="149">
        <f t="shared" si="7"/>
        <v>27995.32</v>
      </c>
      <c r="I15" s="149">
        <f t="shared" si="7"/>
        <v>25927.57</v>
      </c>
      <c r="J15" s="149">
        <f t="shared" si="7"/>
        <v>21945.25</v>
      </c>
      <c r="K15" s="149">
        <f t="shared" si="7"/>
        <v>26656.129999999997</v>
      </c>
      <c r="L15" s="149">
        <f>SUM(L16:L20)</f>
        <v>30266.51</v>
      </c>
      <c r="M15" s="149">
        <f t="shared" si="7"/>
        <v>27457.920000000002</v>
      </c>
      <c r="N15" s="149">
        <f t="shared" si="7"/>
        <v>21534.57</v>
      </c>
      <c r="O15" s="150">
        <f t="shared" ref="O15:O24" si="8">SUM(C15:N15)</f>
        <v>303509.2</v>
      </c>
      <c r="P15" s="150">
        <f>O15/12</f>
        <v>25292.433333333334</v>
      </c>
      <c r="Q15" s="150">
        <f>P15</f>
        <v>25292.433333333334</v>
      </c>
      <c r="R15" s="55"/>
      <c r="S15" s="55"/>
    </row>
    <row r="16" spans="1:19" ht="16.25" customHeight="1" x14ac:dyDescent="0.5">
      <c r="A16" s="229"/>
      <c r="B16" s="140" t="s">
        <v>28</v>
      </c>
      <c r="C16" s="141">
        <v>6772.26</v>
      </c>
      <c r="D16" s="141">
        <v>7386.14</v>
      </c>
      <c r="E16" s="141">
        <v>9533.4</v>
      </c>
      <c r="F16" s="143">
        <v>6824.48</v>
      </c>
      <c r="G16" s="143">
        <v>5869.92</v>
      </c>
      <c r="H16" s="143">
        <v>9303.11</v>
      </c>
      <c r="I16" s="143">
        <v>7419.43</v>
      </c>
      <c r="J16" s="143">
        <v>5243.13</v>
      </c>
      <c r="K16" s="143">
        <v>7813.94</v>
      </c>
      <c r="L16" s="143">
        <v>9128.24</v>
      </c>
      <c r="M16" s="143">
        <v>8816.01</v>
      </c>
      <c r="N16" s="143">
        <v>5147.07</v>
      </c>
      <c r="O16" s="144">
        <f t="shared" si="8"/>
        <v>89257.13</v>
      </c>
      <c r="P16" s="144">
        <f t="shared" ref="P16:P29" si="9">O16/12</f>
        <v>7438.0941666666668</v>
      </c>
      <c r="Q16" s="230">
        <f>SUM(P16:P20)</f>
        <v>25292.433333333331</v>
      </c>
      <c r="R16" s="55"/>
      <c r="S16" s="55"/>
    </row>
    <row r="17" spans="1:19" ht="16.25" customHeight="1" x14ac:dyDescent="0.5">
      <c r="A17" s="229"/>
      <c r="B17" s="100" t="s">
        <v>29</v>
      </c>
      <c r="C17" s="124">
        <v>12600</v>
      </c>
      <c r="D17" s="124">
        <v>12600</v>
      </c>
      <c r="E17" s="124">
        <v>12600</v>
      </c>
      <c r="F17" s="136">
        <v>12600</v>
      </c>
      <c r="G17" s="136">
        <v>12600</v>
      </c>
      <c r="H17" s="136">
        <v>12600</v>
      </c>
      <c r="I17" s="136">
        <v>12600</v>
      </c>
      <c r="J17" s="136">
        <v>12600</v>
      </c>
      <c r="K17" s="136">
        <v>12600</v>
      </c>
      <c r="L17" s="136">
        <v>12600</v>
      </c>
      <c r="M17" s="124">
        <v>12600</v>
      </c>
      <c r="N17" s="124">
        <v>12600</v>
      </c>
      <c r="O17" s="130">
        <f t="shared" si="8"/>
        <v>151200</v>
      </c>
      <c r="P17" s="130">
        <f t="shared" si="9"/>
        <v>12600</v>
      </c>
      <c r="Q17" s="231"/>
      <c r="R17" s="55"/>
      <c r="S17" s="55"/>
    </row>
    <row r="18" spans="1:19" ht="16.25" customHeight="1" x14ac:dyDescent="0.5">
      <c r="A18" s="229"/>
      <c r="B18" s="100" t="s">
        <v>30</v>
      </c>
      <c r="C18" s="124">
        <v>450</v>
      </c>
      <c r="D18" s="124">
        <v>2205</v>
      </c>
      <c r="E18" s="124">
        <v>2205</v>
      </c>
      <c r="F18" s="139">
        <v>1050</v>
      </c>
      <c r="G18" s="139">
        <v>2205</v>
      </c>
      <c r="H18" s="187">
        <v>2205</v>
      </c>
      <c r="I18" s="187">
        <v>3540</v>
      </c>
      <c r="J18" s="187">
        <v>2205</v>
      </c>
      <c r="K18" s="124">
        <v>2205</v>
      </c>
      <c r="L18" s="124">
        <v>3390</v>
      </c>
      <c r="M18" s="124">
        <v>2205</v>
      </c>
      <c r="N18" s="124">
        <v>2205</v>
      </c>
      <c r="O18" s="135">
        <f t="shared" si="8"/>
        <v>26070</v>
      </c>
      <c r="P18" s="130">
        <f t="shared" si="9"/>
        <v>2172.5</v>
      </c>
      <c r="Q18" s="231"/>
      <c r="R18" s="55"/>
      <c r="S18" s="55"/>
    </row>
    <row r="19" spans="1:19" ht="16.25" customHeight="1" x14ac:dyDescent="0.5">
      <c r="A19" s="229"/>
      <c r="B19" s="74" t="s">
        <v>131</v>
      </c>
      <c r="C19" s="123">
        <v>3205</v>
      </c>
      <c r="D19" s="168">
        <v>2412.31</v>
      </c>
      <c r="E19" s="168">
        <v>2593.13</v>
      </c>
      <c r="F19" s="139">
        <v>0</v>
      </c>
      <c r="G19" s="139">
        <v>385.71</v>
      </c>
      <c r="H19" s="187">
        <v>2303.9899999999998</v>
      </c>
      <c r="I19" s="124">
        <v>1010.26</v>
      </c>
      <c r="J19" s="124">
        <v>1897.12</v>
      </c>
      <c r="K19" s="124">
        <v>1912.45</v>
      </c>
      <c r="L19" s="124">
        <v>2955.08</v>
      </c>
      <c r="M19" s="124">
        <v>1620</v>
      </c>
      <c r="N19" s="124">
        <v>678.95</v>
      </c>
      <c r="O19" s="135">
        <f t="shared" si="8"/>
        <v>20973.999999999996</v>
      </c>
      <c r="P19" s="130">
        <f t="shared" si="9"/>
        <v>1747.833333333333</v>
      </c>
      <c r="Q19" s="231"/>
      <c r="R19" s="55"/>
      <c r="S19" s="55"/>
    </row>
    <row r="20" spans="1:19" ht="16.25" customHeight="1" x14ac:dyDescent="0.5">
      <c r="A20" s="229"/>
      <c r="B20" s="74" t="s">
        <v>130</v>
      </c>
      <c r="C20" s="123">
        <v>1146.81</v>
      </c>
      <c r="D20" s="168">
        <v>1177.82</v>
      </c>
      <c r="E20" s="168">
        <v>1651.2</v>
      </c>
      <c r="F20" s="139">
        <v>1055.69</v>
      </c>
      <c r="G20" s="139">
        <v>597.05999999999995</v>
      </c>
      <c r="H20" s="187">
        <v>1583.22</v>
      </c>
      <c r="I20" s="124">
        <v>1357.88</v>
      </c>
      <c r="J20" s="124">
        <v>0</v>
      </c>
      <c r="K20" s="124">
        <v>2124.7399999999998</v>
      </c>
      <c r="L20" s="124">
        <v>2193.19</v>
      </c>
      <c r="M20" s="124">
        <v>2216.91</v>
      </c>
      <c r="N20" s="124">
        <v>903.55</v>
      </c>
      <c r="O20" s="135">
        <f t="shared" si="8"/>
        <v>16008.07</v>
      </c>
      <c r="P20" s="130">
        <f t="shared" si="9"/>
        <v>1334.0058333333334</v>
      </c>
      <c r="Q20" s="231"/>
      <c r="R20" s="55"/>
      <c r="S20" s="55"/>
    </row>
    <row r="21" spans="1:19" ht="16.25" customHeight="1" x14ac:dyDescent="0.5">
      <c r="A21" s="229"/>
      <c r="B21" s="32" t="s">
        <v>20</v>
      </c>
      <c r="C21" s="125">
        <f>C6</f>
        <v>3838.5</v>
      </c>
      <c r="D21" s="125">
        <f>D6</f>
        <v>1329</v>
      </c>
      <c r="E21" s="171">
        <f t="shared" ref="E21:N22" si="10">E6</f>
        <v>3008</v>
      </c>
      <c r="F21" s="171">
        <f t="shared" si="10"/>
        <v>-872.5</v>
      </c>
      <c r="G21" s="171">
        <f t="shared" si="10"/>
        <v>4430</v>
      </c>
      <c r="H21" s="171">
        <f t="shared" si="10"/>
        <v>954.05</v>
      </c>
      <c r="I21" s="171">
        <f t="shared" si="10"/>
        <v>625.25</v>
      </c>
      <c r="J21" s="171">
        <f t="shared" si="10"/>
        <v>2200.5</v>
      </c>
      <c r="K21" s="171">
        <f t="shared" si="10"/>
        <v>1398</v>
      </c>
      <c r="L21" s="171">
        <f t="shared" si="10"/>
        <v>245</v>
      </c>
      <c r="M21" s="171">
        <f t="shared" si="10"/>
        <v>1701.5</v>
      </c>
      <c r="N21" s="171">
        <f t="shared" si="10"/>
        <v>2425</v>
      </c>
      <c r="O21" s="131">
        <f t="shared" si="8"/>
        <v>21282.3</v>
      </c>
      <c r="P21" s="131">
        <f t="shared" si="9"/>
        <v>1773.5249999999999</v>
      </c>
      <c r="Q21" s="232">
        <f>-P21-P22</f>
        <v>-1881.55</v>
      </c>
      <c r="R21" s="55"/>
      <c r="S21" s="55"/>
    </row>
    <row r="22" spans="1:19" ht="16.25" customHeight="1" x14ac:dyDescent="0.5">
      <c r="A22" s="229"/>
      <c r="B22" s="32" t="s">
        <v>21</v>
      </c>
      <c r="C22" s="126">
        <f t="shared" ref="C22:D22" si="11">C7</f>
        <v>114.25</v>
      </c>
      <c r="D22" s="126">
        <f t="shared" si="11"/>
        <v>107.45</v>
      </c>
      <c r="E22" s="126">
        <f>E7</f>
        <v>107.45</v>
      </c>
      <c r="F22" s="126">
        <f t="shared" si="10"/>
        <v>107.45</v>
      </c>
      <c r="G22" s="126">
        <f>G7</f>
        <v>107.45</v>
      </c>
      <c r="H22" s="126">
        <f t="shared" si="10"/>
        <v>107.45</v>
      </c>
      <c r="I22" s="126">
        <f t="shared" si="10"/>
        <v>107.45</v>
      </c>
      <c r="J22" s="126">
        <f t="shared" si="10"/>
        <v>107.45</v>
      </c>
      <c r="K22" s="126">
        <f t="shared" si="10"/>
        <v>107.45</v>
      </c>
      <c r="L22" s="126">
        <f t="shared" si="10"/>
        <v>107.45</v>
      </c>
      <c r="M22" s="126">
        <f t="shared" si="10"/>
        <v>107.5</v>
      </c>
      <c r="N22" s="126">
        <f t="shared" si="10"/>
        <v>107.5</v>
      </c>
      <c r="O22" s="131">
        <f t="shared" si="8"/>
        <v>1296.3000000000002</v>
      </c>
      <c r="P22" s="131">
        <f t="shared" si="9"/>
        <v>108.02500000000002</v>
      </c>
      <c r="Q22" s="232"/>
      <c r="R22" s="55"/>
      <c r="S22" s="55"/>
    </row>
    <row r="23" spans="1:19" ht="16.25" customHeight="1" x14ac:dyDescent="0.5">
      <c r="A23" s="229"/>
      <c r="B23" s="35" t="s">
        <v>33</v>
      </c>
      <c r="C23" s="127">
        <v>17235.12</v>
      </c>
      <c r="D23" s="127">
        <v>17574.5</v>
      </c>
      <c r="E23" s="127">
        <v>15950.62</v>
      </c>
      <c r="F23" s="127">
        <v>19014.939999999999</v>
      </c>
      <c r="G23" s="127">
        <v>19458.23</v>
      </c>
      <c r="H23" s="127">
        <v>21301.07</v>
      </c>
      <c r="I23" s="127">
        <v>31822.21</v>
      </c>
      <c r="J23" s="127">
        <v>21211.21</v>
      </c>
      <c r="K23" s="127">
        <v>21377.01</v>
      </c>
      <c r="L23" s="127">
        <v>22493.86</v>
      </c>
      <c r="M23" s="127">
        <v>21281.78</v>
      </c>
      <c r="N23" s="134">
        <v>33924.49</v>
      </c>
      <c r="O23" s="132">
        <f t="shared" si="8"/>
        <v>262645.03999999998</v>
      </c>
      <c r="P23" s="132">
        <f t="shared" si="9"/>
        <v>21887.086666666666</v>
      </c>
      <c r="Q23" s="233">
        <f>-P23-P24</f>
        <v>-24601.17</v>
      </c>
      <c r="R23" s="55"/>
      <c r="S23" s="55"/>
    </row>
    <row r="24" spans="1:19" ht="16.25" customHeight="1" thickBot="1" x14ac:dyDescent="0.55000000000000004">
      <c r="A24" s="229"/>
      <c r="B24" s="158" t="s">
        <v>34</v>
      </c>
      <c r="C24" s="159">
        <v>2639</v>
      </c>
      <c r="D24" s="159">
        <v>2848</v>
      </c>
      <c r="E24" s="159">
        <v>4738</v>
      </c>
      <c r="F24" s="159">
        <v>2742</v>
      </c>
      <c r="G24" s="159">
        <v>1772</v>
      </c>
      <c r="H24" s="159">
        <v>3210</v>
      </c>
      <c r="I24" s="159">
        <v>2067</v>
      </c>
      <c r="J24" s="159">
        <v>2806</v>
      </c>
      <c r="K24" s="159">
        <v>2454</v>
      </c>
      <c r="L24" s="159">
        <v>2945</v>
      </c>
      <c r="M24" s="159">
        <v>2853</v>
      </c>
      <c r="N24" s="159">
        <v>1495</v>
      </c>
      <c r="O24" s="161">
        <f t="shared" si="8"/>
        <v>32569</v>
      </c>
      <c r="P24" s="161">
        <f t="shared" si="9"/>
        <v>2714.0833333333335</v>
      </c>
      <c r="Q24" s="233"/>
      <c r="R24" s="55"/>
      <c r="S24" s="55"/>
    </row>
    <row r="25" spans="1:19" ht="13.8" customHeight="1" thickBot="1" x14ac:dyDescent="0.55000000000000004">
      <c r="A25" s="229"/>
      <c r="B25" s="164" t="s">
        <v>24</v>
      </c>
      <c r="C25" s="165">
        <f>C15-C21-C22-C23-C24</f>
        <v>347.20000000000437</v>
      </c>
      <c r="D25" s="165">
        <f t="shared" ref="D25:O25" si="12">D15-D21-D22-D23-D24</f>
        <v>3922.3199999999997</v>
      </c>
      <c r="E25" s="165">
        <f t="shared" si="12"/>
        <v>4778.6600000000017</v>
      </c>
      <c r="F25" s="165">
        <f t="shared" si="12"/>
        <v>538.27999999999884</v>
      </c>
      <c r="G25" s="165">
        <f t="shared" si="12"/>
        <v>-4109.9900000000016</v>
      </c>
      <c r="H25" s="165">
        <f t="shared" si="12"/>
        <v>2422.75</v>
      </c>
      <c r="I25" s="165">
        <f t="shared" si="12"/>
        <v>-8694.34</v>
      </c>
      <c r="J25" s="165">
        <f t="shared" si="12"/>
        <v>-4379.91</v>
      </c>
      <c r="K25" s="165">
        <f t="shared" si="12"/>
        <v>1319.6699999999983</v>
      </c>
      <c r="L25" s="165">
        <f t="shared" si="12"/>
        <v>4475.1999999999971</v>
      </c>
      <c r="M25" s="165">
        <f t="shared" si="12"/>
        <v>1514.1400000000031</v>
      </c>
      <c r="N25" s="165">
        <f t="shared" si="12"/>
        <v>-16417.419999999998</v>
      </c>
      <c r="O25" s="165">
        <f t="shared" si="12"/>
        <v>-14283.439999999944</v>
      </c>
      <c r="P25" s="165">
        <f t="shared" si="9"/>
        <v>-1190.2866666666621</v>
      </c>
      <c r="Q25" s="101"/>
      <c r="R25" s="55"/>
      <c r="S25" s="55"/>
    </row>
    <row r="26" spans="1:19" ht="14.55" customHeight="1" x14ac:dyDescent="0.5">
      <c r="A26" s="229"/>
      <c r="B26" s="162" t="s">
        <v>20</v>
      </c>
      <c r="C26" s="163">
        <f>C21</f>
        <v>3838.5</v>
      </c>
      <c r="D26" s="163">
        <f t="shared" ref="D26:N27" si="13">D21</f>
        <v>1329</v>
      </c>
      <c r="E26" s="163">
        <f t="shared" si="13"/>
        <v>3008</v>
      </c>
      <c r="F26" s="163">
        <f t="shared" si="13"/>
        <v>-872.5</v>
      </c>
      <c r="G26" s="163">
        <f t="shared" si="13"/>
        <v>4430</v>
      </c>
      <c r="H26" s="163">
        <f t="shared" si="13"/>
        <v>954.05</v>
      </c>
      <c r="I26" s="163">
        <f t="shared" si="13"/>
        <v>625.25</v>
      </c>
      <c r="J26" s="163">
        <f t="shared" si="13"/>
        <v>2200.5</v>
      </c>
      <c r="K26" s="163">
        <f t="shared" si="13"/>
        <v>1398</v>
      </c>
      <c r="L26" s="163">
        <f t="shared" si="13"/>
        <v>245</v>
      </c>
      <c r="M26" s="163">
        <f t="shared" si="13"/>
        <v>1701.5</v>
      </c>
      <c r="N26" s="163">
        <f t="shared" si="13"/>
        <v>2425</v>
      </c>
      <c r="O26" s="163">
        <f>SUM(C26:N26)</f>
        <v>21282.3</v>
      </c>
      <c r="P26" s="163">
        <f t="shared" si="9"/>
        <v>1773.5249999999999</v>
      </c>
      <c r="Q26" s="102"/>
      <c r="R26" s="55"/>
      <c r="S26" s="55"/>
    </row>
    <row r="27" spans="1:19" ht="14.55" customHeight="1" thickBot="1" x14ac:dyDescent="0.55000000000000004">
      <c r="A27" s="229"/>
      <c r="B27" s="151" t="s">
        <v>25</v>
      </c>
      <c r="C27" s="152">
        <f>C22</f>
        <v>114.25</v>
      </c>
      <c r="D27" s="152">
        <f t="shared" si="13"/>
        <v>107.45</v>
      </c>
      <c r="E27" s="152">
        <f t="shared" si="13"/>
        <v>107.45</v>
      </c>
      <c r="F27" s="152">
        <f t="shared" si="13"/>
        <v>107.45</v>
      </c>
      <c r="G27" s="152">
        <f t="shared" si="13"/>
        <v>107.45</v>
      </c>
      <c r="H27" s="152">
        <f t="shared" si="13"/>
        <v>107.45</v>
      </c>
      <c r="I27" s="152">
        <f t="shared" si="13"/>
        <v>107.45</v>
      </c>
      <c r="J27" s="152">
        <f t="shared" si="13"/>
        <v>107.45</v>
      </c>
      <c r="K27" s="152">
        <f t="shared" si="13"/>
        <v>107.45</v>
      </c>
      <c r="L27" s="152">
        <f t="shared" si="13"/>
        <v>107.45</v>
      </c>
      <c r="M27" s="152">
        <f t="shared" si="13"/>
        <v>107.5</v>
      </c>
      <c r="N27" s="152">
        <f t="shared" si="13"/>
        <v>107.5</v>
      </c>
      <c r="O27" s="152">
        <f>SUM(C27:N27)</f>
        <v>1296.3000000000002</v>
      </c>
      <c r="P27" s="152">
        <f t="shared" si="9"/>
        <v>108.02500000000002</v>
      </c>
      <c r="Q27" s="102"/>
      <c r="R27" s="55"/>
      <c r="S27" s="55"/>
    </row>
    <row r="28" spans="1:19" ht="17.100000000000001" customHeight="1" thickBot="1" x14ac:dyDescent="0.55000000000000004">
      <c r="A28" s="229"/>
      <c r="B28" s="153" t="s">
        <v>35</v>
      </c>
      <c r="C28" s="154">
        <f>C25+C26+C27</f>
        <v>4299.9500000000044</v>
      </c>
      <c r="D28" s="154">
        <f t="shared" ref="D28:O28" si="14">D25+D26+D27</f>
        <v>5358.7699999999995</v>
      </c>
      <c r="E28" s="154">
        <f t="shared" si="14"/>
        <v>7894.1100000000015</v>
      </c>
      <c r="F28" s="154">
        <f t="shared" si="14"/>
        <v>-226.77000000000118</v>
      </c>
      <c r="G28" s="154">
        <f t="shared" si="14"/>
        <v>427.45999999999839</v>
      </c>
      <c r="H28" s="154">
        <f t="shared" si="14"/>
        <v>3484.25</v>
      </c>
      <c r="I28" s="154">
        <f t="shared" si="14"/>
        <v>-7961.64</v>
      </c>
      <c r="J28" s="154">
        <f t="shared" si="14"/>
        <v>-2071.96</v>
      </c>
      <c r="K28" s="154">
        <f t="shared" si="14"/>
        <v>2825.1199999999981</v>
      </c>
      <c r="L28" s="154">
        <f t="shared" si="14"/>
        <v>4827.6499999999969</v>
      </c>
      <c r="M28" s="154">
        <f t="shared" si="14"/>
        <v>3323.1400000000031</v>
      </c>
      <c r="N28" s="154">
        <f t="shared" si="14"/>
        <v>-13884.919999999998</v>
      </c>
      <c r="O28" s="155">
        <f t="shared" si="14"/>
        <v>8295.1600000000544</v>
      </c>
      <c r="P28" s="155">
        <f t="shared" si="9"/>
        <v>691.26333333333787</v>
      </c>
      <c r="Q28" s="103"/>
      <c r="R28" s="55"/>
      <c r="S28" s="55"/>
    </row>
    <row r="29" spans="1:19" ht="24.1" customHeight="1" thickBot="1" x14ac:dyDescent="0.55000000000000004">
      <c r="A29" s="229"/>
      <c r="B29" s="156" t="s">
        <v>36</v>
      </c>
      <c r="C29" s="157">
        <f>C13+C28</f>
        <v>9805.11</v>
      </c>
      <c r="D29" s="157">
        <f t="shared" ref="D29:O29" si="15">D13+D28</f>
        <v>16189.280000000006</v>
      </c>
      <c r="E29" s="157">
        <f t="shared" si="15"/>
        <v>18861.39</v>
      </c>
      <c r="F29" s="157">
        <f t="shared" si="15"/>
        <v>-160.84000000000162</v>
      </c>
      <c r="G29" s="157">
        <f t="shared" si="15"/>
        <v>15938.000000000004</v>
      </c>
      <c r="H29" s="157">
        <f t="shared" si="15"/>
        <v>27873.84</v>
      </c>
      <c r="I29" s="157">
        <f t="shared" si="15"/>
        <v>-18118.919999999998</v>
      </c>
      <c r="J29" s="157">
        <f t="shared" si="15"/>
        <v>-8237.4499999999989</v>
      </c>
      <c r="K29" s="157">
        <f t="shared" si="15"/>
        <v>30039.170000000006</v>
      </c>
      <c r="L29" s="157">
        <f t="shared" si="15"/>
        <v>7947.4599999999973</v>
      </c>
      <c r="M29" s="157">
        <f t="shared" si="15"/>
        <v>9795.1900000000023</v>
      </c>
      <c r="N29" s="157">
        <f t="shared" si="15"/>
        <v>-24937.059999999998</v>
      </c>
      <c r="O29" s="166">
        <f t="shared" si="15"/>
        <v>84995.170000000042</v>
      </c>
      <c r="P29" s="157">
        <f t="shared" si="9"/>
        <v>7082.9308333333365</v>
      </c>
      <c r="Q29" s="104"/>
      <c r="R29" s="55"/>
      <c r="S29" s="55"/>
    </row>
    <row r="30" spans="1:19" ht="15.6" customHeight="1" x14ac:dyDescent="0.5">
      <c r="A30" s="9"/>
      <c r="B30" s="234">
        <v>2021</v>
      </c>
      <c r="C30" s="234"/>
      <c r="D30" s="234"/>
      <c r="E30" s="234"/>
      <c r="F30" s="234"/>
      <c r="G30" s="234"/>
      <c r="H30" s="234"/>
      <c r="I30" s="234"/>
      <c r="J30" s="234"/>
      <c r="K30" s="234"/>
      <c r="L30" s="234"/>
      <c r="M30" s="234"/>
      <c r="N30" s="234"/>
      <c r="O30" s="181"/>
      <c r="P30" s="182"/>
      <c r="Q30" s="104"/>
      <c r="R30" s="55"/>
      <c r="S30" s="55"/>
    </row>
    <row r="31" spans="1:19" ht="15.6" customHeight="1" x14ac:dyDescent="0.5">
      <c r="A31" s="9"/>
      <c r="B31" s="110" t="s">
        <v>37</v>
      </c>
      <c r="C31" s="111">
        <f>C15/6</f>
        <v>4029.0116666666672</v>
      </c>
      <c r="D31" s="111">
        <f t="shared" ref="D31:N31" si="16">D15/6</f>
        <v>4296.8783333333331</v>
      </c>
      <c r="E31" s="111">
        <f t="shared" si="16"/>
        <v>4763.7883333333339</v>
      </c>
      <c r="F31" s="111">
        <f t="shared" si="16"/>
        <v>3588.3616666666662</v>
      </c>
      <c r="G31" s="111">
        <f t="shared" si="16"/>
        <v>3609.6149999999998</v>
      </c>
      <c r="H31" s="111">
        <f t="shared" si="16"/>
        <v>4665.8866666666663</v>
      </c>
      <c r="I31" s="111">
        <f t="shared" si="16"/>
        <v>4321.2616666666663</v>
      </c>
      <c r="J31" s="111">
        <f t="shared" si="16"/>
        <v>3657.5416666666665</v>
      </c>
      <c r="K31" s="111">
        <f t="shared" si="16"/>
        <v>4442.6883333333326</v>
      </c>
      <c r="L31" s="111">
        <f t="shared" si="16"/>
        <v>5044.4183333333331</v>
      </c>
      <c r="M31" s="111">
        <f>M15/6</f>
        <v>4576.3200000000006</v>
      </c>
      <c r="N31" s="111">
        <f t="shared" si="16"/>
        <v>3589.0949999999998</v>
      </c>
      <c r="O31" s="183">
        <f>AVERAGE(C31:N31)</f>
        <v>4215.4055555555551</v>
      </c>
      <c r="P31" s="182"/>
      <c r="Q31" s="104"/>
      <c r="R31" s="55"/>
      <c r="S31" s="55"/>
    </row>
    <row r="32" spans="1:19" ht="15.6" customHeight="1" x14ac:dyDescent="0.5">
      <c r="A32" s="9"/>
      <c r="B32" s="174" t="s">
        <v>39</v>
      </c>
      <c r="C32" s="175">
        <f>C15/6.75</f>
        <v>3581.3437037037043</v>
      </c>
      <c r="D32" s="175">
        <f>D15/6.5</f>
        <v>3966.3492307692309</v>
      </c>
      <c r="E32" s="175">
        <f>E15/6</f>
        <v>4763.7883333333339</v>
      </c>
      <c r="F32" s="175">
        <f t="shared" ref="F32" si="17">F15/6.75</f>
        <v>3189.6548148148145</v>
      </c>
      <c r="G32" s="175">
        <f t="shared" ref="G32:N32" si="18">G15/8</f>
        <v>2707.2112499999998</v>
      </c>
      <c r="H32" s="175">
        <f t="shared" si="18"/>
        <v>3499.415</v>
      </c>
      <c r="I32" s="175">
        <f t="shared" si="18"/>
        <v>3240.94625</v>
      </c>
      <c r="J32" s="175">
        <f t="shared" si="18"/>
        <v>2743.15625</v>
      </c>
      <c r="K32" s="175">
        <f t="shared" si="18"/>
        <v>3332.0162499999997</v>
      </c>
      <c r="L32" s="175">
        <f t="shared" si="18"/>
        <v>3783.3137499999998</v>
      </c>
      <c r="M32" s="175">
        <f t="shared" si="18"/>
        <v>3432.2400000000002</v>
      </c>
      <c r="N32" s="175">
        <f t="shared" si="18"/>
        <v>2691.82125</v>
      </c>
      <c r="O32" s="183">
        <f>AVERAGE(C32:N32)</f>
        <v>3410.9380068850901</v>
      </c>
      <c r="P32" s="182"/>
      <c r="Q32" s="104"/>
      <c r="R32" s="55"/>
      <c r="S32" s="55"/>
    </row>
    <row r="33" spans="1:19" ht="16.25" customHeight="1" x14ac:dyDescent="0.5">
      <c r="A33" s="9"/>
      <c r="B33" s="234">
        <v>2020</v>
      </c>
      <c r="C33" s="234"/>
      <c r="D33" s="234"/>
      <c r="E33" s="234"/>
      <c r="F33" s="234"/>
      <c r="G33" s="234"/>
      <c r="H33" s="234"/>
      <c r="I33" s="234"/>
      <c r="J33" s="234"/>
      <c r="K33" s="234"/>
      <c r="L33" s="234"/>
      <c r="M33" s="234"/>
      <c r="N33" s="234"/>
      <c r="O33" s="181"/>
      <c r="P33" s="182"/>
      <c r="Q33" s="104"/>
      <c r="R33" s="55"/>
      <c r="S33" s="55"/>
    </row>
    <row r="34" spans="1:19" x14ac:dyDescent="0.5">
      <c r="A34" s="55"/>
      <c r="B34" s="110" t="s">
        <v>37</v>
      </c>
      <c r="C34" s="111">
        <v>4631.4066666666668</v>
      </c>
      <c r="D34" s="111">
        <v>5038.166666666667</v>
      </c>
      <c r="E34" s="111">
        <v>4851.1966666666667</v>
      </c>
      <c r="F34" s="111">
        <v>4096.0749999999998</v>
      </c>
      <c r="G34" s="111">
        <v>4196.666666666667</v>
      </c>
      <c r="H34" s="111">
        <v>4920.833333333333</v>
      </c>
      <c r="I34" s="111">
        <v>4191.628333333334</v>
      </c>
      <c r="J34" s="111">
        <v>4652.2483333333339</v>
      </c>
      <c r="K34" s="111">
        <v>4234.166666666667</v>
      </c>
      <c r="L34" s="111">
        <v>5310.5316666666668</v>
      </c>
      <c r="M34" s="111">
        <v>5319.0783333333338</v>
      </c>
      <c r="N34" s="111">
        <v>4989.7950000000001</v>
      </c>
      <c r="O34" s="183">
        <f>AVERAGE(C34:N34)</f>
        <v>4702.6494444444443</v>
      </c>
      <c r="P34" s="67"/>
      <c r="Q34" s="67"/>
      <c r="R34" s="55"/>
      <c r="S34" s="55"/>
    </row>
    <row r="35" spans="1:19" x14ac:dyDescent="0.5">
      <c r="A35" s="55"/>
      <c r="B35" s="174" t="s">
        <v>40</v>
      </c>
      <c r="C35" s="175">
        <v>3473.5549999999998</v>
      </c>
      <c r="D35" s="175">
        <v>3778.625</v>
      </c>
      <c r="E35" s="175">
        <v>4851.1966666666667</v>
      </c>
      <c r="F35" s="175">
        <v>4915.29</v>
      </c>
      <c r="G35" s="175">
        <v>5036</v>
      </c>
      <c r="H35" s="175">
        <v>4920.833333333333</v>
      </c>
      <c r="I35" s="175">
        <v>4191.628333333334</v>
      </c>
      <c r="J35" s="175">
        <v>4652.2483333333339</v>
      </c>
      <c r="K35" s="175">
        <v>3629.2857142857142</v>
      </c>
      <c r="L35" s="175">
        <v>4551.8842857142863</v>
      </c>
      <c r="M35" s="175">
        <v>4559.21</v>
      </c>
      <c r="N35" s="175">
        <v>4276.9671428571428</v>
      </c>
      <c r="O35" s="183">
        <f>AVERAGE(C35:N35)</f>
        <v>4403.0603174603184</v>
      </c>
      <c r="P35" s="67"/>
      <c r="Q35" s="67"/>
      <c r="R35" s="55"/>
      <c r="S35" s="55"/>
    </row>
    <row r="36" spans="1:19" ht="18" x14ac:dyDescent="0.5">
      <c r="A36" s="55"/>
      <c r="B36" s="234">
        <v>2019</v>
      </c>
      <c r="C36" s="234"/>
      <c r="D36" s="234"/>
      <c r="E36" s="234"/>
      <c r="F36" s="234"/>
      <c r="G36" s="234"/>
      <c r="H36" s="234"/>
      <c r="I36" s="234"/>
      <c r="J36" s="234"/>
      <c r="K36" s="234"/>
      <c r="L36" s="234"/>
      <c r="M36" s="234"/>
      <c r="N36" s="234"/>
      <c r="O36" s="67"/>
      <c r="P36" s="67"/>
      <c r="Q36" s="67"/>
      <c r="R36" s="55"/>
      <c r="S36" s="55"/>
    </row>
    <row r="37" spans="1:19" x14ac:dyDescent="0.5">
      <c r="A37" s="55"/>
      <c r="B37" s="108" t="s">
        <v>41</v>
      </c>
      <c r="C37" s="109">
        <v>4166.5157142857142</v>
      </c>
      <c r="D37" s="109">
        <v>4603.8571428571431</v>
      </c>
      <c r="E37" s="109">
        <v>4838.2857142857147</v>
      </c>
      <c r="F37" s="109">
        <v>4961.9185714285713</v>
      </c>
      <c r="G37" s="109">
        <v>5924.5714285714284</v>
      </c>
      <c r="H37" s="109">
        <v>4501.2857142857147</v>
      </c>
      <c r="I37" s="109">
        <v>5658.0333333333328</v>
      </c>
      <c r="J37" s="109">
        <v>4578.7333333333336</v>
      </c>
      <c r="K37" s="109">
        <v>4839.333333333333</v>
      </c>
      <c r="L37" s="109">
        <v>5226.2866666666669</v>
      </c>
      <c r="M37" s="109">
        <v>5469.333333333333</v>
      </c>
      <c r="N37" s="109">
        <v>5184.916666666667</v>
      </c>
      <c r="O37" s="183">
        <f>AVERAGE(C37:N37)</f>
        <v>4996.0892460317464</v>
      </c>
      <c r="P37" s="67"/>
      <c r="Q37" s="67"/>
      <c r="R37" s="55"/>
      <c r="S37" s="55"/>
    </row>
    <row r="38" spans="1:19" x14ac:dyDescent="0.5">
      <c r="A38" s="55"/>
      <c r="B38" s="174" t="s">
        <v>42</v>
      </c>
      <c r="C38" s="175">
        <v>2916.5610000000001</v>
      </c>
      <c r="D38" s="175">
        <v>3222.7</v>
      </c>
      <c r="E38" s="175">
        <v>3386.8</v>
      </c>
      <c r="F38" s="175">
        <v>3859.27</v>
      </c>
      <c r="G38" s="175">
        <v>4608</v>
      </c>
      <c r="H38" s="175">
        <v>3501</v>
      </c>
      <c r="I38" s="175">
        <v>4243.5249999999996</v>
      </c>
      <c r="J38" s="175">
        <v>3434.05</v>
      </c>
      <c r="K38" s="175">
        <v>3629.5</v>
      </c>
      <c r="L38" s="175">
        <v>3919.7150000000001</v>
      </c>
      <c r="M38" s="175">
        <v>4102</v>
      </c>
      <c r="N38" s="175">
        <v>3888.6875</v>
      </c>
      <c r="O38" s="183">
        <f>AVERAGE(C38:N38)</f>
        <v>3725.9840416666666</v>
      </c>
      <c r="P38" s="67"/>
      <c r="Q38" s="67"/>
      <c r="R38" s="55"/>
      <c r="S38" s="55"/>
    </row>
    <row r="39" spans="1:19" ht="18" x14ac:dyDescent="0.5">
      <c r="A39" s="55"/>
      <c r="B39" s="234">
        <v>2018</v>
      </c>
      <c r="C39" s="234"/>
      <c r="D39" s="234"/>
      <c r="E39" s="234"/>
      <c r="F39" s="234"/>
      <c r="G39" s="234"/>
      <c r="H39" s="234"/>
      <c r="I39" s="234"/>
      <c r="J39" s="234"/>
      <c r="K39" s="234"/>
      <c r="L39" s="234"/>
      <c r="M39" s="234"/>
      <c r="N39" s="234"/>
      <c r="O39" s="67"/>
      <c r="P39" s="67"/>
      <c r="Q39" s="67"/>
      <c r="R39" s="55"/>
      <c r="S39" s="55"/>
    </row>
    <row r="40" spans="1:19" x14ac:dyDescent="0.5">
      <c r="A40" s="55"/>
      <c r="B40" s="113" t="s">
        <v>43</v>
      </c>
      <c r="C40" s="114">
        <v>4758.3285714285721</v>
      </c>
      <c r="D40" s="114">
        <v>5051.5714285714284</v>
      </c>
      <c r="E40" s="114">
        <v>6206.8571428571431</v>
      </c>
      <c r="F40" s="114">
        <v>5050.1428571428569</v>
      </c>
      <c r="G40" s="114">
        <v>4891.8571428571431</v>
      </c>
      <c r="H40" s="114">
        <v>6049</v>
      </c>
      <c r="I40" s="114">
        <v>5937.1642857142861</v>
      </c>
      <c r="J40" s="114">
        <v>4201.7142857142853</v>
      </c>
      <c r="K40" s="114">
        <v>4655</v>
      </c>
      <c r="L40" s="114">
        <v>4756</v>
      </c>
      <c r="M40" s="114">
        <v>4744.5714285714284</v>
      </c>
      <c r="N40" s="114">
        <v>4506.1428571428569</v>
      </c>
      <c r="O40" s="183">
        <f>AVERAGE(C40:N40)</f>
        <v>5067.3625000000002</v>
      </c>
      <c r="P40" s="67"/>
      <c r="Q40" s="67"/>
    </row>
    <row r="41" spans="1:19" x14ac:dyDescent="0.5">
      <c r="B41" s="174" t="s">
        <v>44</v>
      </c>
      <c r="C41" s="175">
        <v>3330.8300000000004</v>
      </c>
      <c r="D41" s="175">
        <v>3536.1</v>
      </c>
      <c r="E41" s="175">
        <v>4344.8</v>
      </c>
      <c r="F41" s="175">
        <v>3927.8888888888887</v>
      </c>
      <c r="G41" s="175">
        <v>3804.7777777777778</v>
      </c>
      <c r="H41" s="175">
        <v>4234.3</v>
      </c>
      <c r="I41" s="175">
        <v>4156.0150000000003</v>
      </c>
      <c r="J41" s="175">
        <v>2941.2</v>
      </c>
      <c r="K41" s="175">
        <v>3258.5</v>
      </c>
      <c r="L41" s="175">
        <v>3329.2</v>
      </c>
      <c r="M41" s="175">
        <v>3321.2</v>
      </c>
      <c r="N41" s="175">
        <v>3154.3</v>
      </c>
      <c r="O41" s="183">
        <f>AVERAGE(C41:N41)</f>
        <v>3611.5926388888888</v>
      </c>
      <c r="P41" s="67"/>
      <c r="Q41" s="67"/>
    </row>
    <row r="42" spans="1:19" x14ac:dyDescent="0.5">
      <c r="F42" s="119"/>
      <c r="G42" s="1"/>
      <c r="H42" s="1"/>
      <c r="I42" s="1"/>
    </row>
    <row r="43" spans="1:19" x14ac:dyDescent="0.5">
      <c r="C43" s="188"/>
      <c r="D43" s="188"/>
      <c r="E43" s="188"/>
      <c r="F43" s="188"/>
      <c r="G43" s="188"/>
      <c r="H43" s="188"/>
      <c r="I43" s="188"/>
      <c r="J43" s="188"/>
      <c r="K43" s="188"/>
      <c r="L43" s="188"/>
      <c r="M43" s="188"/>
      <c r="N43" s="188"/>
    </row>
    <row r="44" spans="1:19" x14ac:dyDescent="0.5">
      <c r="F44" s="119"/>
      <c r="G44" s="1"/>
      <c r="H44" s="1"/>
      <c r="I44" s="1"/>
    </row>
    <row r="45" spans="1:19" x14ac:dyDescent="0.5">
      <c r="F45" s="120"/>
      <c r="G45" s="121"/>
      <c r="H45" s="122"/>
      <c r="I45" s="122"/>
    </row>
    <row r="46" spans="1:19" x14ac:dyDescent="0.5">
      <c r="F46" s="119"/>
      <c r="G46" s="1"/>
      <c r="H46" s="1"/>
      <c r="I46" s="1"/>
    </row>
    <row r="47" spans="1:19" x14ac:dyDescent="0.5">
      <c r="F47" s="120"/>
      <c r="G47" s="121"/>
      <c r="H47" s="122"/>
      <c r="I47" s="122"/>
    </row>
    <row r="48" spans="1:19" x14ac:dyDescent="0.5">
      <c r="F48" s="119"/>
      <c r="G48" s="1"/>
      <c r="H48" s="1"/>
      <c r="I48" s="1"/>
    </row>
    <row r="49" spans="6:9" x14ac:dyDescent="0.5">
      <c r="F49" s="120"/>
      <c r="G49" s="121"/>
      <c r="H49" s="122"/>
      <c r="I49" s="122"/>
    </row>
  </sheetData>
  <mergeCells count="11">
    <mergeCell ref="Q23:Q24"/>
    <mergeCell ref="Q3:Q5"/>
    <mergeCell ref="Q6:Q7"/>
    <mergeCell ref="Q8:Q9"/>
    <mergeCell ref="Q16:Q20"/>
    <mergeCell ref="Q21:Q22"/>
    <mergeCell ref="B36:N36"/>
    <mergeCell ref="B39:N39"/>
    <mergeCell ref="B30:N30"/>
    <mergeCell ref="B33:N33"/>
    <mergeCell ref="A1:A29"/>
  </mergeCells>
  <pageMargins left="0.7" right="0.7" top="0.75" bottom="0.75" header="0.3" footer="0.3"/>
  <pageSetup paperSize="9" orientation="portrait" r:id="rId1"/>
  <ignoredErrors>
    <ignoredError sqref="G32" formula="1"/>
  </ignoredErrors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E0863C-DA18-4EE1-9E86-F7A897E5B84C}">
  <dimension ref="A1:S45"/>
  <sheetViews>
    <sheetView zoomScale="80" zoomScaleNormal="93" zoomScalePageLayoutView="112" workbookViewId="0">
      <selection activeCell="C29" sqref="C29:E29"/>
    </sheetView>
  </sheetViews>
  <sheetFormatPr baseColWidth="10" defaultColWidth="10.6875" defaultRowHeight="15.75" x14ac:dyDescent="0.5"/>
  <cols>
    <col min="1" max="1" width="0.6875" style="1" customWidth="1"/>
    <col min="2" max="2" width="25.125" style="1" customWidth="1"/>
    <col min="3" max="3" width="12.3125" style="9" bestFit="1" customWidth="1"/>
    <col min="4" max="9" width="11.3125" style="9" bestFit="1" customWidth="1"/>
    <col min="10" max="10" width="11.4375" style="9" customWidth="1"/>
    <col min="11" max="11" width="11.125" style="9" customWidth="1"/>
    <col min="12" max="12" width="12" style="9" customWidth="1"/>
    <col min="13" max="13" width="11.4375" style="9" customWidth="1"/>
    <col min="14" max="14" width="11.6875" style="9" customWidth="1"/>
    <col min="15" max="15" width="14.4375" style="9" bestFit="1" customWidth="1"/>
    <col min="16" max="16" width="13.8125" style="9" customWidth="1"/>
    <col min="17" max="17" width="11.4375" style="9" bestFit="1" customWidth="1"/>
    <col min="18" max="18" width="34.4375" style="1" customWidth="1"/>
    <col min="19" max="16384" width="10.6875" style="1"/>
  </cols>
  <sheetData>
    <row r="1" spans="1:19" ht="14.55" customHeight="1" thickBot="1" x14ac:dyDescent="0.55000000000000004">
      <c r="A1" s="229"/>
      <c r="B1" s="145" t="s">
        <v>46</v>
      </c>
      <c r="C1" s="146" t="s">
        <v>1</v>
      </c>
      <c r="D1" s="146" t="s">
        <v>2</v>
      </c>
      <c r="E1" s="146" t="s">
        <v>3</v>
      </c>
      <c r="F1" s="146" t="s">
        <v>4</v>
      </c>
      <c r="G1" s="147" t="s">
        <v>5</v>
      </c>
      <c r="H1" s="146" t="s">
        <v>6</v>
      </c>
      <c r="I1" s="146" t="s">
        <v>7</v>
      </c>
      <c r="J1" s="146" t="s">
        <v>8</v>
      </c>
      <c r="K1" s="146" t="s">
        <v>9</v>
      </c>
      <c r="L1" s="146" t="s">
        <v>10</v>
      </c>
      <c r="M1" s="146" t="s">
        <v>11</v>
      </c>
      <c r="N1" s="146" t="s">
        <v>12</v>
      </c>
      <c r="O1" s="146" t="s">
        <v>13</v>
      </c>
      <c r="P1" s="146" t="s">
        <v>14</v>
      </c>
      <c r="Q1" s="146" t="s">
        <v>15</v>
      </c>
      <c r="R1" s="55"/>
      <c r="S1" s="55"/>
    </row>
    <row r="2" spans="1:19" ht="14.55" customHeight="1" thickBot="1" x14ac:dyDescent="0.55000000000000004">
      <c r="A2" s="229"/>
      <c r="B2" s="148" t="s">
        <v>16</v>
      </c>
      <c r="C2" s="149">
        <f>SUM(C3:C5)</f>
        <v>50905.119999999995</v>
      </c>
      <c r="D2" s="149">
        <f t="shared" ref="D2:N2" si="0">SUM(D3:D5)</f>
        <v>33542.1</v>
      </c>
      <c r="E2" s="149">
        <f>SUM(E3:E5)</f>
        <v>38764.04</v>
      </c>
      <c r="F2" s="149">
        <f t="shared" si="0"/>
        <v>12031.3</v>
      </c>
      <c r="G2" s="149">
        <f t="shared" si="0"/>
        <v>25412</v>
      </c>
      <c r="H2" s="149">
        <f t="shared" si="0"/>
        <v>35974</v>
      </c>
      <c r="I2" s="149">
        <f t="shared" si="0"/>
        <v>38781</v>
      </c>
      <c r="J2" s="149">
        <f t="shared" si="0"/>
        <v>36954.14</v>
      </c>
      <c r="K2" s="149">
        <f t="shared" si="0"/>
        <v>49968.44</v>
      </c>
      <c r="L2" s="149">
        <f t="shared" si="0"/>
        <v>38352.949999999997</v>
      </c>
      <c r="M2" s="149">
        <f t="shared" si="0"/>
        <v>34111.040000000001</v>
      </c>
      <c r="N2" s="149">
        <f t="shared" si="0"/>
        <v>35244.949999999997</v>
      </c>
      <c r="O2" s="150">
        <f t="shared" ref="O2" si="1">SUM(C2:N2)</f>
        <v>430041.08</v>
      </c>
      <c r="P2" s="150">
        <f>O2/12</f>
        <v>35836.756666666668</v>
      </c>
      <c r="Q2" s="150">
        <f>P2</f>
        <v>35836.756666666668</v>
      </c>
      <c r="R2" s="55"/>
      <c r="S2" s="55"/>
    </row>
    <row r="3" spans="1:19" ht="14.55" customHeight="1" x14ac:dyDescent="0.5">
      <c r="A3" s="229"/>
      <c r="B3" s="140" t="s">
        <v>17</v>
      </c>
      <c r="C3" s="141">
        <v>32208.12</v>
      </c>
      <c r="D3" s="143">
        <v>16750.099999999999</v>
      </c>
      <c r="E3" s="143">
        <v>38764.04</v>
      </c>
      <c r="F3" s="143">
        <v>208</v>
      </c>
      <c r="G3" s="143">
        <v>4844</v>
      </c>
      <c r="H3" s="143">
        <v>20224</v>
      </c>
      <c r="I3" s="143">
        <v>22976</v>
      </c>
      <c r="J3" s="143">
        <v>22450.14</v>
      </c>
      <c r="K3" s="143">
        <v>33955.440000000002</v>
      </c>
      <c r="L3" s="143">
        <v>23658.95</v>
      </c>
      <c r="M3" s="143">
        <v>19792.04</v>
      </c>
      <c r="N3" s="143">
        <v>20704.95</v>
      </c>
      <c r="O3" s="144">
        <f>SUM(C3:N3)</f>
        <v>256535.78000000006</v>
      </c>
      <c r="P3" s="144">
        <f t="shared" ref="P3:P13" si="2">O3/12</f>
        <v>21377.98166666667</v>
      </c>
      <c r="Q3" s="230">
        <f>SUM(P3:P5)</f>
        <v>35836.756666666668</v>
      </c>
      <c r="R3" s="55"/>
      <c r="S3" s="55"/>
    </row>
    <row r="4" spans="1:19" ht="14.55" customHeight="1" x14ac:dyDescent="0.5">
      <c r="A4" s="229"/>
      <c r="B4" s="74" t="s">
        <v>18</v>
      </c>
      <c r="C4" s="124">
        <v>13137</v>
      </c>
      <c r="D4" s="124">
        <v>13137</v>
      </c>
      <c r="E4" s="172"/>
      <c r="F4" s="124">
        <v>11823.3</v>
      </c>
      <c r="G4" s="124">
        <v>13137</v>
      </c>
      <c r="H4" s="124">
        <v>13137</v>
      </c>
      <c r="I4" s="124">
        <v>13137</v>
      </c>
      <c r="J4" s="124">
        <v>13137</v>
      </c>
      <c r="K4" s="124">
        <v>13137</v>
      </c>
      <c r="L4" s="124">
        <v>13137</v>
      </c>
      <c r="M4" s="124">
        <v>13137</v>
      </c>
      <c r="N4" s="124">
        <v>13137</v>
      </c>
      <c r="O4" s="130">
        <f>SUM(C4:N4)</f>
        <v>143193.29999999999</v>
      </c>
      <c r="P4" s="130">
        <f t="shared" si="2"/>
        <v>11932.775</v>
      </c>
      <c r="Q4" s="231"/>
      <c r="R4" s="55"/>
      <c r="S4" s="55"/>
    </row>
    <row r="5" spans="1:19" ht="14.55" customHeight="1" x14ac:dyDescent="0.5">
      <c r="A5" s="229"/>
      <c r="B5" s="74" t="s">
        <v>19</v>
      </c>
      <c r="C5" s="124">
        <v>5560</v>
      </c>
      <c r="D5" s="124">
        <v>3655</v>
      </c>
      <c r="E5" s="172"/>
      <c r="F5" s="173"/>
      <c r="G5" s="124">
        <v>7431</v>
      </c>
      <c r="H5" s="124">
        <v>2613</v>
      </c>
      <c r="I5" s="124">
        <v>2668</v>
      </c>
      <c r="J5" s="124">
        <v>1367</v>
      </c>
      <c r="K5" s="124">
        <v>2876</v>
      </c>
      <c r="L5" s="124">
        <v>1557</v>
      </c>
      <c r="M5" s="124">
        <v>1182</v>
      </c>
      <c r="N5" s="124">
        <v>1403</v>
      </c>
      <c r="O5" s="130">
        <f>SUM(C5:N5)</f>
        <v>30312</v>
      </c>
      <c r="P5" s="130">
        <f t="shared" si="2"/>
        <v>2526</v>
      </c>
      <c r="Q5" s="231"/>
      <c r="R5" s="55"/>
      <c r="S5" s="55"/>
    </row>
    <row r="6" spans="1:19" ht="14.55" customHeight="1" x14ac:dyDescent="0.5">
      <c r="A6" s="229"/>
      <c r="B6" s="32" t="s">
        <v>20</v>
      </c>
      <c r="C6" s="125">
        <v>1150</v>
      </c>
      <c r="D6" s="125">
        <v>800</v>
      </c>
      <c r="E6" s="126"/>
      <c r="F6" s="126">
        <v>-2489.75</v>
      </c>
      <c r="G6" s="126">
        <v>378.95</v>
      </c>
      <c r="H6" s="126">
        <v>2917.8</v>
      </c>
      <c r="I6" s="126">
        <v>3012.1</v>
      </c>
      <c r="J6" s="126">
        <v>175.85000000000036</v>
      </c>
      <c r="K6" s="126">
        <v>1315.5</v>
      </c>
      <c r="L6" s="126">
        <v>1323.75</v>
      </c>
      <c r="M6" s="126">
        <v>2529.85</v>
      </c>
      <c r="N6" s="126">
        <v>943</v>
      </c>
      <c r="O6" s="131">
        <f>SUM(C6:N6)</f>
        <v>12057.050000000001</v>
      </c>
      <c r="P6" s="131">
        <f t="shared" si="2"/>
        <v>1004.7541666666667</v>
      </c>
      <c r="Q6" s="232">
        <f>-P6-P7</f>
        <v>-1132.1941666666667</v>
      </c>
      <c r="R6" s="55"/>
      <c r="S6" s="55"/>
    </row>
    <row r="7" spans="1:19" ht="14.55" customHeight="1" x14ac:dyDescent="0.5">
      <c r="A7" s="229"/>
      <c r="B7" s="32" t="s">
        <v>21</v>
      </c>
      <c r="C7" s="126">
        <v>127.44</v>
      </c>
      <c r="D7" s="126">
        <v>127.44</v>
      </c>
      <c r="E7" s="126">
        <v>127.44</v>
      </c>
      <c r="F7" s="126">
        <v>127.44</v>
      </c>
      <c r="G7" s="126">
        <v>127.44</v>
      </c>
      <c r="H7" s="126">
        <v>127.44</v>
      </c>
      <c r="I7" s="126">
        <v>127.44</v>
      </c>
      <c r="J7" s="126">
        <v>127.44</v>
      </c>
      <c r="K7" s="126">
        <v>127.44</v>
      </c>
      <c r="L7" s="126">
        <v>127.44</v>
      </c>
      <c r="M7" s="126">
        <v>127.44</v>
      </c>
      <c r="N7" s="126">
        <v>127.44</v>
      </c>
      <c r="O7" s="131">
        <f>SUM(C7:N7)</f>
        <v>1529.2800000000004</v>
      </c>
      <c r="P7" s="131">
        <f t="shared" si="2"/>
        <v>127.44000000000004</v>
      </c>
      <c r="Q7" s="232"/>
      <c r="R7" s="55"/>
      <c r="S7" s="55"/>
    </row>
    <row r="8" spans="1:19" ht="14.55" customHeight="1" x14ac:dyDescent="0.5">
      <c r="A8" s="229"/>
      <c r="B8" s="35" t="s">
        <v>22</v>
      </c>
      <c r="C8" s="127">
        <v>30818.12</v>
      </c>
      <c r="D8" s="127">
        <v>30367.95</v>
      </c>
      <c r="E8" s="127">
        <v>22352.598000000002</v>
      </c>
      <c r="F8" s="127">
        <v>5764.59</v>
      </c>
      <c r="G8" s="127">
        <v>9937.76</v>
      </c>
      <c r="H8" s="127">
        <v>17795.45</v>
      </c>
      <c r="I8" s="127">
        <v>32261.38</v>
      </c>
      <c r="J8" s="127">
        <v>21732.97</v>
      </c>
      <c r="K8" s="127">
        <v>22263.24</v>
      </c>
      <c r="L8" s="127">
        <v>26281.53</v>
      </c>
      <c r="M8" s="127">
        <v>28204.09</v>
      </c>
      <c r="N8" s="134">
        <v>35580.65</v>
      </c>
      <c r="O8" s="132">
        <f t="shared" ref="O8:O9" si="3">SUM(C8:N8)</f>
        <v>283360.32799999998</v>
      </c>
      <c r="P8" s="132">
        <f t="shared" si="2"/>
        <v>23613.360666666664</v>
      </c>
      <c r="Q8" s="233">
        <f>-P8-P9</f>
        <v>-26581.777333333332</v>
      </c>
      <c r="R8" s="55"/>
      <c r="S8" s="55"/>
    </row>
    <row r="9" spans="1:19" ht="14.55" customHeight="1" thickBot="1" x14ac:dyDescent="0.55000000000000004">
      <c r="A9" s="229"/>
      <c r="B9" s="158" t="s">
        <v>23</v>
      </c>
      <c r="C9" s="159">
        <v>3334</v>
      </c>
      <c r="D9" s="159">
        <v>2229</v>
      </c>
      <c r="E9" s="159">
        <v>2257</v>
      </c>
      <c r="F9" s="159">
        <v>600</v>
      </c>
      <c r="G9" s="159">
        <v>1903</v>
      </c>
      <c r="H9" s="159">
        <v>2975</v>
      </c>
      <c r="I9" s="159">
        <v>3083</v>
      </c>
      <c r="J9" s="159">
        <v>3083</v>
      </c>
      <c r="K9" s="159">
        <v>5704</v>
      </c>
      <c r="L9" s="159">
        <v>4003</v>
      </c>
      <c r="M9" s="159">
        <v>3115</v>
      </c>
      <c r="N9" s="159">
        <v>3335</v>
      </c>
      <c r="O9" s="161">
        <f t="shared" si="3"/>
        <v>35621</v>
      </c>
      <c r="P9" s="161">
        <f t="shared" si="2"/>
        <v>2968.4166666666665</v>
      </c>
      <c r="Q9" s="233"/>
      <c r="R9" s="55"/>
      <c r="S9" s="55"/>
    </row>
    <row r="10" spans="1:19" ht="12.5" customHeight="1" thickBot="1" x14ac:dyDescent="0.55000000000000004">
      <c r="A10" s="229"/>
      <c r="B10" s="164" t="s">
        <v>24</v>
      </c>
      <c r="C10" s="165">
        <f>C2-C6-C7-C8-C9</f>
        <v>15475.559999999994</v>
      </c>
      <c r="D10" s="165">
        <f t="shared" ref="D10:N10" si="4">D2-D6-D7-D8-D9</f>
        <v>17.709999999999127</v>
      </c>
      <c r="E10" s="165">
        <f t="shared" si="4"/>
        <v>14027.001999999997</v>
      </c>
      <c r="F10" s="165">
        <f t="shared" si="4"/>
        <v>8029.0199999999986</v>
      </c>
      <c r="G10" s="165">
        <f t="shared" si="4"/>
        <v>13064.85</v>
      </c>
      <c r="H10" s="165">
        <f t="shared" si="4"/>
        <v>12158.309999999994</v>
      </c>
      <c r="I10" s="165">
        <f t="shared" si="4"/>
        <v>297.07999999999811</v>
      </c>
      <c r="J10" s="165">
        <f t="shared" si="4"/>
        <v>11834.879999999997</v>
      </c>
      <c r="K10" s="165">
        <f t="shared" si="4"/>
        <v>20558.259999999998</v>
      </c>
      <c r="L10" s="165">
        <f t="shared" si="4"/>
        <v>6617.2299999999959</v>
      </c>
      <c r="M10" s="165">
        <f t="shared" si="4"/>
        <v>134.66000000000349</v>
      </c>
      <c r="N10" s="165">
        <f t="shared" si="4"/>
        <v>-4741.1400000000067</v>
      </c>
      <c r="O10" s="165">
        <f>O2-O6-O7-O8-O9</f>
        <v>97473.42200000002</v>
      </c>
      <c r="P10" s="165">
        <f t="shared" si="2"/>
        <v>8122.7851666666684</v>
      </c>
      <c r="Q10" s="101"/>
      <c r="R10" s="55"/>
      <c r="S10" s="55"/>
    </row>
    <row r="11" spans="1:19" ht="15.1" customHeight="1" x14ac:dyDescent="0.5">
      <c r="A11" s="229"/>
      <c r="B11" s="162" t="s">
        <v>20</v>
      </c>
      <c r="C11" s="163">
        <f>C6</f>
        <v>1150</v>
      </c>
      <c r="D11" s="163">
        <f t="shared" ref="D11:N12" si="5">D6</f>
        <v>800</v>
      </c>
      <c r="E11" s="163">
        <f t="shared" si="5"/>
        <v>0</v>
      </c>
      <c r="F11" s="163">
        <f t="shared" si="5"/>
        <v>-2489.75</v>
      </c>
      <c r="G11" s="163">
        <f t="shared" si="5"/>
        <v>378.95</v>
      </c>
      <c r="H11" s="163">
        <f t="shared" si="5"/>
        <v>2917.8</v>
      </c>
      <c r="I11" s="163">
        <f t="shared" si="5"/>
        <v>3012.1</v>
      </c>
      <c r="J11" s="163">
        <f t="shared" si="5"/>
        <v>175.85000000000036</v>
      </c>
      <c r="K11" s="163">
        <f t="shared" si="5"/>
        <v>1315.5</v>
      </c>
      <c r="L11" s="163">
        <f t="shared" si="5"/>
        <v>1323.75</v>
      </c>
      <c r="M11" s="163">
        <f t="shared" si="5"/>
        <v>2529.85</v>
      </c>
      <c r="N11" s="163">
        <f t="shared" si="5"/>
        <v>943</v>
      </c>
      <c r="O11" s="163">
        <f>SUM(C11:N11)</f>
        <v>12057.050000000001</v>
      </c>
      <c r="P11" s="163">
        <f t="shared" si="2"/>
        <v>1004.7541666666667</v>
      </c>
      <c r="Q11" s="102"/>
      <c r="R11" s="55"/>
      <c r="S11" s="55"/>
    </row>
    <row r="12" spans="1:19" ht="15.1" customHeight="1" thickBot="1" x14ac:dyDescent="0.55000000000000004">
      <c r="A12" s="229"/>
      <c r="B12" s="151" t="s">
        <v>25</v>
      </c>
      <c r="C12" s="152">
        <f>C7</f>
        <v>127.44</v>
      </c>
      <c r="D12" s="152">
        <f t="shared" si="5"/>
        <v>127.44</v>
      </c>
      <c r="E12" s="152">
        <f t="shared" si="5"/>
        <v>127.44</v>
      </c>
      <c r="F12" s="152">
        <f t="shared" si="5"/>
        <v>127.44</v>
      </c>
      <c r="G12" s="152">
        <f t="shared" si="5"/>
        <v>127.44</v>
      </c>
      <c r="H12" s="152">
        <f t="shared" si="5"/>
        <v>127.44</v>
      </c>
      <c r="I12" s="152">
        <f t="shared" si="5"/>
        <v>127.44</v>
      </c>
      <c r="J12" s="152">
        <f t="shared" si="5"/>
        <v>127.44</v>
      </c>
      <c r="K12" s="152">
        <f t="shared" si="5"/>
        <v>127.44</v>
      </c>
      <c r="L12" s="152">
        <f t="shared" si="5"/>
        <v>127.44</v>
      </c>
      <c r="M12" s="152">
        <f t="shared" si="5"/>
        <v>127.44</v>
      </c>
      <c r="N12" s="152">
        <f t="shared" si="5"/>
        <v>127.44</v>
      </c>
      <c r="O12" s="152">
        <f>SUM(C12:N12)</f>
        <v>1529.2800000000004</v>
      </c>
      <c r="P12" s="152">
        <f t="shared" si="2"/>
        <v>127.44000000000004</v>
      </c>
      <c r="Q12" s="102"/>
      <c r="R12" s="55"/>
      <c r="S12" s="55"/>
    </row>
    <row r="13" spans="1:19" ht="17.100000000000001" customHeight="1" thickBot="1" x14ac:dyDescent="0.55000000000000004">
      <c r="A13" s="229"/>
      <c r="B13" s="153" t="s">
        <v>26</v>
      </c>
      <c r="C13" s="154">
        <f>C10+C11+C12</f>
        <v>16752.999999999993</v>
      </c>
      <c r="D13" s="154">
        <f t="shared" ref="D13:O13" si="6">D10+D11+D12</f>
        <v>945.14999999999918</v>
      </c>
      <c r="E13" s="154">
        <f t="shared" si="6"/>
        <v>14154.441999999997</v>
      </c>
      <c r="F13" s="154">
        <f t="shared" si="6"/>
        <v>5666.7099999999982</v>
      </c>
      <c r="G13" s="154">
        <f t="shared" si="6"/>
        <v>13571.240000000002</v>
      </c>
      <c r="H13" s="154">
        <f t="shared" si="6"/>
        <v>15203.549999999994</v>
      </c>
      <c r="I13" s="154">
        <f t="shared" si="6"/>
        <v>3436.6199999999981</v>
      </c>
      <c r="J13" s="154">
        <f t="shared" si="6"/>
        <v>12138.169999999998</v>
      </c>
      <c r="K13" s="154">
        <f t="shared" si="6"/>
        <v>22001.199999999997</v>
      </c>
      <c r="L13" s="154">
        <f t="shared" si="6"/>
        <v>8068.4199999999955</v>
      </c>
      <c r="M13" s="154">
        <f t="shared" si="6"/>
        <v>2791.9500000000035</v>
      </c>
      <c r="N13" s="154">
        <f t="shared" si="6"/>
        <v>-3670.7000000000066</v>
      </c>
      <c r="O13" s="155">
        <f t="shared" si="6"/>
        <v>111059.75200000002</v>
      </c>
      <c r="P13" s="155">
        <f t="shared" si="2"/>
        <v>9254.9793333333346</v>
      </c>
      <c r="Q13" s="103"/>
      <c r="R13" s="55"/>
      <c r="S13" s="55"/>
    </row>
    <row r="14" spans="1:19" ht="5.0999999999999996" customHeight="1" thickBot="1" x14ac:dyDescent="0.55000000000000004">
      <c r="A14" s="229"/>
      <c r="B14" s="47"/>
      <c r="C14" s="42"/>
      <c r="D14" s="42"/>
      <c r="E14" s="42"/>
      <c r="F14" s="42"/>
      <c r="G14" s="42"/>
      <c r="H14" s="42"/>
      <c r="I14" s="77"/>
      <c r="J14" s="42"/>
      <c r="K14" s="42"/>
      <c r="L14" s="42"/>
      <c r="M14" s="42"/>
      <c r="N14" s="42"/>
      <c r="O14" s="46"/>
      <c r="P14" s="46"/>
      <c r="Q14" s="46"/>
      <c r="R14" s="55"/>
      <c r="S14" s="55"/>
    </row>
    <row r="15" spans="1:19" ht="17.100000000000001" customHeight="1" thickBot="1" x14ac:dyDescent="0.55000000000000004">
      <c r="A15" s="229"/>
      <c r="B15" s="148" t="s">
        <v>27</v>
      </c>
      <c r="C15" s="149">
        <f>SUM(C16:C20)</f>
        <v>27788.44</v>
      </c>
      <c r="D15" s="149">
        <f t="shared" ref="D15:N15" si="7">SUM(D16:D20)</f>
        <v>30229</v>
      </c>
      <c r="E15" s="149">
        <f t="shared" si="7"/>
        <v>29107.18</v>
      </c>
      <c r="F15" s="149">
        <f t="shared" si="7"/>
        <v>24576.45</v>
      </c>
      <c r="G15" s="149">
        <f t="shared" si="7"/>
        <v>25180</v>
      </c>
      <c r="H15" s="149">
        <f t="shared" si="7"/>
        <v>29525</v>
      </c>
      <c r="I15" s="149">
        <f t="shared" si="7"/>
        <v>25149.770000000004</v>
      </c>
      <c r="J15" s="149">
        <f t="shared" si="7"/>
        <v>27913.49</v>
      </c>
      <c r="K15" s="149">
        <f t="shared" si="7"/>
        <v>24352.49</v>
      </c>
      <c r="L15" s="149">
        <f>SUM(L16:L20)</f>
        <v>31012.059999999998</v>
      </c>
      <c r="M15" s="149">
        <f t="shared" si="7"/>
        <v>29875.209999999995</v>
      </c>
      <c r="N15" s="149">
        <f t="shared" si="7"/>
        <v>28038.950000000004</v>
      </c>
      <c r="O15" s="150">
        <f t="shared" ref="O15:O24" si="8">SUM(C15:N15)</f>
        <v>332748.04000000004</v>
      </c>
      <c r="P15" s="150">
        <f>O15/12</f>
        <v>27729.003333333338</v>
      </c>
      <c r="Q15" s="150">
        <f>P15</f>
        <v>27729.003333333338</v>
      </c>
      <c r="R15" s="55"/>
      <c r="S15" s="55"/>
    </row>
    <row r="16" spans="1:19" ht="16.25" customHeight="1" x14ac:dyDescent="0.5">
      <c r="A16" s="229"/>
      <c r="B16" s="140" t="s">
        <v>28</v>
      </c>
      <c r="C16" s="141">
        <v>3348</v>
      </c>
      <c r="D16" s="143">
        <v>4719</v>
      </c>
      <c r="E16" s="143">
        <v>8707.18</v>
      </c>
      <c r="F16" s="143">
        <v>5820</v>
      </c>
      <c r="G16" s="143">
        <v>8980</v>
      </c>
      <c r="H16" s="143">
        <v>13325</v>
      </c>
      <c r="I16" s="143">
        <v>6575.81</v>
      </c>
      <c r="J16" s="143">
        <v>6327.36</v>
      </c>
      <c r="K16" s="143">
        <v>6347.8</v>
      </c>
      <c r="L16" s="143">
        <v>8742.2099999999991</v>
      </c>
      <c r="M16" s="143">
        <v>8564.6299999999992</v>
      </c>
      <c r="N16" s="143">
        <v>7786.04</v>
      </c>
      <c r="O16" s="144">
        <f t="shared" si="8"/>
        <v>89243.03</v>
      </c>
      <c r="P16" s="144">
        <f t="shared" ref="P16:P29" si="9">O16/12</f>
        <v>7436.9191666666666</v>
      </c>
      <c r="Q16" s="230">
        <f>SUM(P16:P20)</f>
        <v>27729.003333333334</v>
      </c>
      <c r="R16" s="55"/>
      <c r="S16" s="55"/>
    </row>
    <row r="17" spans="1:19" ht="16.25" customHeight="1" x14ac:dyDescent="0.5">
      <c r="A17" s="229"/>
      <c r="B17" s="100" t="s">
        <v>29</v>
      </c>
      <c r="C17" s="123">
        <v>16200</v>
      </c>
      <c r="D17" s="123">
        <v>16200</v>
      </c>
      <c r="E17" s="123">
        <v>16200</v>
      </c>
      <c r="F17" s="136">
        <v>16200</v>
      </c>
      <c r="G17" s="136">
        <v>16200</v>
      </c>
      <c r="H17" s="136">
        <v>16200</v>
      </c>
      <c r="I17" s="136">
        <v>12600</v>
      </c>
      <c r="J17" s="136">
        <v>12600</v>
      </c>
      <c r="K17" s="136">
        <v>12600</v>
      </c>
      <c r="L17" s="136">
        <v>12600</v>
      </c>
      <c r="M17" s="124">
        <v>12600</v>
      </c>
      <c r="N17" s="124">
        <v>12600</v>
      </c>
      <c r="O17" s="130">
        <f t="shared" si="8"/>
        <v>172800</v>
      </c>
      <c r="P17" s="130">
        <f t="shared" si="9"/>
        <v>14400</v>
      </c>
      <c r="Q17" s="231"/>
      <c r="R17" s="55"/>
      <c r="S17" s="55"/>
    </row>
    <row r="18" spans="1:19" ht="16.25" customHeight="1" x14ac:dyDescent="0.5">
      <c r="A18" s="229"/>
      <c r="B18" s="100" t="s">
        <v>30</v>
      </c>
      <c r="C18" s="124">
        <v>5338.44</v>
      </c>
      <c r="D18" s="124">
        <v>4200</v>
      </c>
      <c r="E18" s="138">
        <v>4200</v>
      </c>
      <c r="F18" s="139">
        <v>2556.4499999999998</v>
      </c>
      <c r="G18" s="169"/>
      <c r="H18" s="170"/>
      <c r="I18" s="124">
        <v>2205</v>
      </c>
      <c r="J18" s="124">
        <v>2205</v>
      </c>
      <c r="K18" s="124">
        <v>2205</v>
      </c>
      <c r="L18" s="124">
        <v>4075</v>
      </c>
      <c r="M18" s="124">
        <v>2380</v>
      </c>
      <c r="N18" s="124">
        <v>2380</v>
      </c>
      <c r="O18" s="135">
        <f t="shared" si="8"/>
        <v>31744.89</v>
      </c>
      <c r="P18" s="130">
        <f t="shared" si="9"/>
        <v>2645.4074999999998</v>
      </c>
      <c r="Q18" s="231"/>
      <c r="R18" s="55"/>
      <c r="S18" s="55"/>
    </row>
    <row r="19" spans="1:19" ht="16.25" customHeight="1" x14ac:dyDescent="0.5">
      <c r="A19" s="229"/>
      <c r="B19" s="74" t="s">
        <v>131</v>
      </c>
      <c r="C19" s="123">
        <v>1325</v>
      </c>
      <c r="D19" s="168">
        <v>3083</v>
      </c>
      <c r="E19" s="169"/>
      <c r="F19" s="169"/>
      <c r="G19" s="169"/>
      <c r="H19" s="170"/>
      <c r="I19" s="124">
        <v>1712.42</v>
      </c>
      <c r="J19" s="124">
        <v>2496.0100000000002</v>
      </c>
      <c r="K19" s="124">
        <v>1234.6500000000001</v>
      </c>
      <c r="L19" s="124">
        <v>2366.84</v>
      </c>
      <c r="M19" s="124">
        <v>3156.3</v>
      </c>
      <c r="N19" s="124">
        <v>3228.83</v>
      </c>
      <c r="O19" s="135">
        <f t="shared" si="8"/>
        <v>18603.050000000003</v>
      </c>
      <c r="P19" s="130">
        <f t="shared" si="9"/>
        <v>1550.2541666666668</v>
      </c>
      <c r="Q19" s="231"/>
      <c r="R19" s="55"/>
      <c r="S19" s="55"/>
    </row>
    <row r="20" spans="1:19" ht="16.25" customHeight="1" x14ac:dyDescent="0.5">
      <c r="A20" s="229"/>
      <c r="B20" s="74" t="s">
        <v>130</v>
      </c>
      <c r="C20" s="123">
        <v>1577</v>
      </c>
      <c r="D20" s="168">
        <v>2027</v>
      </c>
      <c r="E20" s="169"/>
      <c r="F20" s="169"/>
      <c r="G20" s="169"/>
      <c r="H20" s="170"/>
      <c r="I20" s="124">
        <v>2056.54</v>
      </c>
      <c r="J20" s="124">
        <v>4285.12</v>
      </c>
      <c r="K20" s="124">
        <v>1965.04</v>
      </c>
      <c r="L20" s="124">
        <v>3228.01</v>
      </c>
      <c r="M20" s="124">
        <v>3174.28</v>
      </c>
      <c r="N20" s="124">
        <v>2044.08</v>
      </c>
      <c r="O20" s="135">
        <f t="shared" si="8"/>
        <v>20357.07</v>
      </c>
      <c r="P20" s="130">
        <f t="shared" si="9"/>
        <v>1696.4224999999999</v>
      </c>
      <c r="Q20" s="231"/>
      <c r="R20" s="55"/>
      <c r="S20" s="55"/>
    </row>
    <row r="21" spans="1:19" ht="16.25" customHeight="1" x14ac:dyDescent="0.5">
      <c r="A21" s="229"/>
      <c r="B21" s="32" t="s">
        <v>20</v>
      </c>
      <c r="C21" s="125">
        <f>C6</f>
        <v>1150</v>
      </c>
      <c r="D21" s="125">
        <f>D6</f>
        <v>800</v>
      </c>
      <c r="E21" s="171">
        <f t="shared" ref="E21:N22" si="10">E6</f>
        <v>0</v>
      </c>
      <c r="F21" s="171">
        <f t="shared" si="10"/>
        <v>-2489.75</v>
      </c>
      <c r="G21" s="171">
        <f t="shared" si="10"/>
        <v>378.95</v>
      </c>
      <c r="H21" s="171">
        <f t="shared" si="10"/>
        <v>2917.8</v>
      </c>
      <c r="I21" s="171">
        <f t="shared" si="10"/>
        <v>3012.1</v>
      </c>
      <c r="J21" s="171">
        <f t="shared" si="10"/>
        <v>175.85000000000036</v>
      </c>
      <c r="K21" s="171">
        <f t="shared" si="10"/>
        <v>1315.5</v>
      </c>
      <c r="L21" s="171">
        <f t="shared" si="10"/>
        <v>1323.75</v>
      </c>
      <c r="M21" s="171">
        <f t="shared" si="10"/>
        <v>2529.85</v>
      </c>
      <c r="N21" s="171">
        <f t="shared" si="10"/>
        <v>943</v>
      </c>
      <c r="O21" s="131">
        <f t="shared" si="8"/>
        <v>12057.050000000001</v>
      </c>
      <c r="P21" s="131">
        <f t="shared" si="9"/>
        <v>1004.7541666666667</v>
      </c>
      <c r="Q21" s="232">
        <f>-P21-P22</f>
        <v>-1132.1941666666667</v>
      </c>
      <c r="R21" s="55"/>
      <c r="S21" s="55"/>
    </row>
    <row r="22" spans="1:19" ht="16.25" customHeight="1" x14ac:dyDescent="0.5">
      <c r="A22" s="229"/>
      <c r="B22" s="32" t="s">
        <v>21</v>
      </c>
      <c r="C22" s="126">
        <f t="shared" ref="C22:D22" si="11">C7</f>
        <v>127.44</v>
      </c>
      <c r="D22" s="126">
        <f t="shared" si="11"/>
        <v>127.44</v>
      </c>
      <c r="E22" s="126">
        <f>E7</f>
        <v>127.44</v>
      </c>
      <c r="F22" s="126">
        <f t="shared" si="10"/>
        <v>127.44</v>
      </c>
      <c r="G22" s="126">
        <f t="shared" si="10"/>
        <v>127.44</v>
      </c>
      <c r="H22" s="126">
        <f t="shared" si="10"/>
        <v>127.44</v>
      </c>
      <c r="I22" s="126">
        <f t="shared" si="10"/>
        <v>127.44</v>
      </c>
      <c r="J22" s="126">
        <f t="shared" si="10"/>
        <v>127.44</v>
      </c>
      <c r="K22" s="126">
        <f t="shared" si="10"/>
        <v>127.44</v>
      </c>
      <c r="L22" s="126">
        <f t="shared" si="10"/>
        <v>127.44</v>
      </c>
      <c r="M22" s="126">
        <f t="shared" si="10"/>
        <v>127.44</v>
      </c>
      <c r="N22" s="126">
        <f t="shared" si="10"/>
        <v>127.44</v>
      </c>
      <c r="O22" s="131">
        <f t="shared" si="8"/>
        <v>1529.2800000000004</v>
      </c>
      <c r="P22" s="131">
        <f t="shared" si="9"/>
        <v>127.44000000000004</v>
      </c>
      <c r="Q22" s="232"/>
      <c r="R22" s="55"/>
      <c r="S22" s="55"/>
    </row>
    <row r="23" spans="1:19" ht="16.25" customHeight="1" x14ac:dyDescent="0.5">
      <c r="A23" s="229"/>
      <c r="B23" s="35" t="s">
        <v>33</v>
      </c>
      <c r="C23" s="127">
        <v>22149.17</v>
      </c>
      <c r="D23" s="127">
        <v>22666.799999999999</v>
      </c>
      <c r="E23" s="127">
        <v>17714.68</v>
      </c>
      <c r="F23" s="127">
        <v>14465.13</v>
      </c>
      <c r="G23" s="127">
        <v>15101.93</v>
      </c>
      <c r="H23" s="127">
        <v>20894.04</v>
      </c>
      <c r="I23" s="127">
        <v>28990.76</v>
      </c>
      <c r="J23" s="127">
        <v>15846</v>
      </c>
      <c r="K23" s="127">
        <v>14836.11</v>
      </c>
      <c r="L23" s="127">
        <v>17067.849999999999</v>
      </c>
      <c r="M23" s="127">
        <v>17532.310000000001</v>
      </c>
      <c r="N23" s="134">
        <v>27616.23</v>
      </c>
      <c r="O23" s="132">
        <f t="shared" si="8"/>
        <v>234881.01</v>
      </c>
      <c r="P23" s="132">
        <f t="shared" si="9"/>
        <v>19573.4175</v>
      </c>
      <c r="Q23" s="233">
        <f>-P23-P24</f>
        <v>-22622.784166666665</v>
      </c>
      <c r="R23" s="55"/>
      <c r="S23" s="55"/>
    </row>
    <row r="24" spans="1:19" ht="16.25" customHeight="1" thickBot="1" x14ac:dyDescent="0.55000000000000004">
      <c r="A24" s="229"/>
      <c r="B24" s="158" t="s">
        <v>34</v>
      </c>
      <c r="C24" s="159">
        <v>1484.4</v>
      </c>
      <c r="D24" s="159">
        <v>4153.8</v>
      </c>
      <c r="E24" s="159">
        <v>2916.9</v>
      </c>
      <c r="F24" s="159">
        <v>3024</v>
      </c>
      <c r="G24" s="159">
        <v>3363</v>
      </c>
      <c r="H24" s="159">
        <v>3399.3</v>
      </c>
      <c r="I24" s="159">
        <v>1900</v>
      </c>
      <c r="J24" s="159">
        <v>2592</v>
      </c>
      <c r="K24" s="159">
        <v>2440</v>
      </c>
      <c r="L24" s="159">
        <v>3525</v>
      </c>
      <c r="M24" s="159">
        <v>3849</v>
      </c>
      <c r="N24" s="159">
        <v>3945</v>
      </c>
      <c r="O24" s="161">
        <f t="shared" si="8"/>
        <v>36592.400000000001</v>
      </c>
      <c r="P24" s="161">
        <f t="shared" si="9"/>
        <v>3049.3666666666668</v>
      </c>
      <c r="Q24" s="233"/>
      <c r="R24" s="55"/>
      <c r="S24" s="55"/>
    </row>
    <row r="25" spans="1:19" ht="13.8" customHeight="1" thickBot="1" x14ac:dyDescent="0.55000000000000004">
      <c r="A25" s="229"/>
      <c r="B25" s="164" t="s">
        <v>24</v>
      </c>
      <c r="C25" s="165">
        <f>C15-C21-C22-C23-C24</f>
        <v>2877.4300000000017</v>
      </c>
      <c r="D25" s="165">
        <f t="shared" ref="D25:O25" si="12">D15-D21-D22-D23-D24</f>
        <v>2480.9600000000019</v>
      </c>
      <c r="E25" s="165">
        <f t="shared" si="12"/>
        <v>8348.1600000000017</v>
      </c>
      <c r="F25" s="165">
        <f t="shared" si="12"/>
        <v>9449.6300000000028</v>
      </c>
      <c r="G25" s="165">
        <f t="shared" si="12"/>
        <v>6208.68</v>
      </c>
      <c r="H25" s="165">
        <f t="shared" si="12"/>
        <v>2186.420000000001</v>
      </c>
      <c r="I25" s="165">
        <f t="shared" si="12"/>
        <v>-8880.5299999999916</v>
      </c>
      <c r="J25" s="165">
        <f t="shared" si="12"/>
        <v>9172.2000000000007</v>
      </c>
      <c r="K25" s="165">
        <f t="shared" si="12"/>
        <v>5633.4400000000023</v>
      </c>
      <c r="L25" s="165">
        <f t="shared" si="12"/>
        <v>8968.02</v>
      </c>
      <c r="M25" s="165">
        <f t="shared" si="12"/>
        <v>5836.6099999999969</v>
      </c>
      <c r="N25" s="165">
        <f t="shared" si="12"/>
        <v>-4592.7199999999939</v>
      </c>
      <c r="O25" s="165">
        <f t="shared" si="12"/>
        <v>47688.30000000001</v>
      </c>
      <c r="P25" s="165">
        <f t="shared" si="9"/>
        <v>3974.025000000001</v>
      </c>
      <c r="Q25" s="101"/>
      <c r="R25" s="55"/>
      <c r="S25" s="55"/>
    </row>
    <row r="26" spans="1:19" ht="14.55" customHeight="1" x14ac:dyDescent="0.5">
      <c r="A26" s="229"/>
      <c r="B26" s="162" t="s">
        <v>20</v>
      </c>
      <c r="C26" s="163">
        <f>C21</f>
        <v>1150</v>
      </c>
      <c r="D26" s="163">
        <f t="shared" ref="D26:N27" si="13">D21</f>
        <v>800</v>
      </c>
      <c r="E26" s="163">
        <f t="shared" si="13"/>
        <v>0</v>
      </c>
      <c r="F26" s="163">
        <f t="shared" si="13"/>
        <v>-2489.75</v>
      </c>
      <c r="G26" s="163">
        <f t="shared" si="13"/>
        <v>378.95</v>
      </c>
      <c r="H26" s="163">
        <f t="shared" si="13"/>
        <v>2917.8</v>
      </c>
      <c r="I26" s="163">
        <f t="shared" si="13"/>
        <v>3012.1</v>
      </c>
      <c r="J26" s="163">
        <f t="shared" si="13"/>
        <v>175.85000000000036</v>
      </c>
      <c r="K26" s="163">
        <f t="shared" si="13"/>
        <v>1315.5</v>
      </c>
      <c r="L26" s="163">
        <f t="shared" si="13"/>
        <v>1323.75</v>
      </c>
      <c r="M26" s="163">
        <f t="shared" si="13"/>
        <v>2529.85</v>
      </c>
      <c r="N26" s="163">
        <f t="shared" si="13"/>
        <v>943</v>
      </c>
      <c r="O26" s="163">
        <f>SUM(C26:N26)</f>
        <v>12057.050000000001</v>
      </c>
      <c r="P26" s="163">
        <f t="shared" si="9"/>
        <v>1004.7541666666667</v>
      </c>
      <c r="Q26" s="102"/>
      <c r="R26" s="55"/>
      <c r="S26" s="55"/>
    </row>
    <row r="27" spans="1:19" ht="14.55" customHeight="1" thickBot="1" x14ac:dyDescent="0.55000000000000004">
      <c r="A27" s="229"/>
      <c r="B27" s="151" t="s">
        <v>25</v>
      </c>
      <c r="C27" s="152">
        <f>C22</f>
        <v>127.44</v>
      </c>
      <c r="D27" s="152">
        <f t="shared" si="13"/>
        <v>127.44</v>
      </c>
      <c r="E27" s="152">
        <f t="shared" si="13"/>
        <v>127.44</v>
      </c>
      <c r="F27" s="152">
        <f t="shared" si="13"/>
        <v>127.44</v>
      </c>
      <c r="G27" s="152">
        <f t="shared" si="13"/>
        <v>127.44</v>
      </c>
      <c r="H27" s="152">
        <f t="shared" si="13"/>
        <v>127.44</v>
      </c>
      <c r="I27" s="152">
        <f t="shared" si="13"/>
        <v>127.44</v>
      </c>
      <c r="J27" s="152">
        <f t="shared" si="13"/>
        <v>127.44</v>
      </c>
      <c r="K27" s="152">
        <f t="shared" si="13"/>
        <v>127.44</v>
      </c>
      <c r="L27" s="152">
        <f t="shared" si="13"/>
        <v>127.44</v>
      </c>
      <c r="M27" s="152">
        <f t="shared" si="13"/>
        <v>127.44</v>
      </c>
      <c r="N27" s="152">
        <f t="shared" si="13"/>
        <v>127.44</v>
      </c>
      <c r="O27" s="152">
        <f>SUM(C27:N27)</f>
        <v>1529.2800000000004</v>
      </c>
      <c r="P27" s="152">
        <f t="shared" si="9"/>
        <v>127.44000000000004</v>
      </c>
      <c r="Q27" s="102"/>
      <c r="R27" s="55"/>
      <c r="S27" s="55"/>
    </row>
    <row r="28" spans="1:19" ht="17.100000000000001" customHeight="1" thickBot="1" x14ac:dyDescent="0.55000000000000004">
      <c r="A28" s="229"/>
      <c r="B28" s="153" t="s">
        <v>35</v>
      </c>
      <c r="C28" s="154">
        <f>C25+C26+C27</f>
        <v>4154.8700000000017</v>
      </c>
      <c r="D28" s="154">
        <f t="shared" ref="D28:O28" si="14">D25+D26+D27</f>
        <v>3408.4000000000019</v>
      </c>
      <c r="E28" s="154">
        <f t="shared" si="14"/>
        <v>8475.6000000000022</v>
      </c>
      <c r="F28" s="154">
        <f t="shared" si="14"/>
        <v>7087.3200000000024</v>
      </c>
      <c r="G28" s="154">
        <f t="shared" si="14"/>
        <v>6715.07</v>
      </c>
      <c r="H28" s="154">
        <f t="shared" si="14"/>
        <v>5231.6600000000008</v>
      </c>
      <c r="I28" s="154">
        <f t="shared" si="14"/>
        <v>-5740.9899999999916</v>
      </c>
      <c r="J28" s="154">
        <f t="shared" si="14"/>
        <v>9475.4900000000016</v>
      </c>
      <c r="K28" s="154">
        <f t="shared" si="14"/>
        <v>7076.3800000000019</v>
      </c>
      <c r="L28" s="154">
        <f t="shared" si="14"/>
        <v>10419.210000000001</v>
      </c>
      <c r="M28" s="154">
        <f t="shared" si="14"/>
        <v>8493.8999999999978</v>
      </c>
      <c r="N28" s="154">
        <f t="shared" si="14"/>
        <v>-3522.2799999999938</v>
      </c>
      <c r="O28" s="155">
        <f t="shared" si="14"/>
        <v>61274.630000000012</v>
      </c>
      <c r="P28" s="155">
        <f t="shared" si="9"/>
        <v>5106.2191666666677</v>
      </c>
      <c r="Q28" s="103"/>
      <c r="R28" s="55"/>
      <c r="S28" s="55"/>
    </row>
    <row r="29" spans="1:19" ht="24.1" customHeight="1" thickBot="1" x14ac:dyDescent="0.55000000000000004">
      <c r="A29" s="229"/>
      <c r="B29" s="156" t="s">
        <v>36</v>
      </c>
      <c r="C29" s="157">
        <f>C13+C28</f>
        <v>20907.869999999995</v>
      </c>
      <c r="D29" s="157">
        <f t="shared" ref="D29:O29" si="15">D13+D28</f>
        <v>4353.5500000000011</v>
      </c>
      <c r="E29" s="157">
        <f t="shared" si="15"/>
        <v>22630.042000000001</v>
      </c>
      <c r="F29" s="157">
        <f t="shared" si="15"/>
        <v>12754.03</v>
      </c>
      <c r="G29" s="157">
        <f t="shared" si="15"/>
        <v>20286.310000000001</v>
      </c>
      <c r="H29" s="157">
        <f t="shared" si="15"/>
        <v>20435.209999999995</v>
      </c>
      <c r="I29" s="157">
        <f t="shared" si="15"/>
        <v>-2304.3699999999935</v>
      </c>
      <c r="J29" s="157">
        <f t="shared" si="15"/>
        <v>21613.66</v>
      </c>
      <c r="K29" s="157">
        <f t="shared" si="15"/>
        <v>29077.579999999998</v>
      </c>
      <c r="L29" s="157">
        <f t="shared" si="15"/>
        <v>18487.629999999997</v>
      </c>
      <c r="M29" s="157">
        <f t="shared" si="15"/>
        <v>11285.850000000002</v>
      </c>
      <c r="N29" s="157">
        <f t="shared" si="15"/>
        <v>-7192.9800000000005</v>
      </c>
      <c r="O29" s="166">
        <f t="shared" si="15"/>
        <v>172334.38200000004</v>
      </c>
      <c r="P29" s="157">
        <f t="shared" si="9"/>
        <v>14361.198500000004</v>
      </c>
      <c r="Q29" s="104"/>
      <c r="R29" s="55"/>
      <c r="S29" s="55"/>
    </row>
    <row r="30" spans="1:19" x14ac:dyDescent="0.5">
      <c r="A30" s="55"/>
      <c r="B30" s="110" t="s">
        <v>37</v>
      </c>
      <c r="C30" s="111">
        <f>C15/6</f>
        <v>4631.4066666666668</v>
      </c>
      <c r="D30" s="111">
        <f t="shared" ref="D30:N30" si="16">D15/6</f>
        <v>5038.166666666667</v>
      </c>
      <c r="E30" s="111">
        <f t="shared" si="16"/>
        <v>4851.1966666666667</v>
      </c>
      <c r="F30" s="111">
        <f t="shared" si="16"/>
        <v>4096.0749999999998</v>
      </c>
      <c r="G30" s="111">
        <f t="shared" si="16"/>
        <v>4196.666666666667</v>
      </c>
      <c r="H30" s="111">
        <f t="shared" si="16"/>
        <v>4920.833333333333</v>
      </c>
      <c r="I30" s="111">
        <f t="shared" si="16"/>
        <v>4191.628333333334</v>
      </c>
      <c r="J30" s="111">
        <f t="shared" si="16"/>
        <v>4652.2483333333339</v>
      </c>
      <c r="K30" s="111">
        <f t="shared" si="16"/>
        <v>4058.7483333333334</v>
      </c>
      <c r="L30" s="111">
        <f t="shared" si="16"/>
        <v>5168.6766666666663</v>
      </c>
      <c r="M30" s="111">
        <f t="shared" si="16"/>
        <v>4979.2016666666659</v>
      </c>
      <c r="N30" s="111">
        <f t="shared" si="16"/>
        <v>4673.1583333333338</v>
      </c>
      <c r="O30" s="185">
        <f>AVERAGE(C30:N30)</f>
        <v>4621.5005555555563</v>
      </c>
      <c r="P30" s="67"/>
      <c r="Q30" s="67"/>
      <c r="R30" s="55"/>
      <c r="S30" s="55"/>
    </row>
    <row r="31" spans="1:19" x14ac:dyDescent="0.5">
      <c r="A31" s="55"/>
      <c r="B31" s="174" t="s">
        <v>47</v>
      </c>
      <c r="C31" s="175">
        <f>C15/8</f>
        <v>3473.5549999999998</v>
      </c>
      <c r="D31" s="175">
        <f t="shared" ref="D31" si="17">D15/8</f>
        <v>3778.625</v>
      </c>
      <c r="E31" s="175">
        <f>E15/6</f>
        <v>4851.1966666666667</v>
      </c>
      <c r="F31" s="175">
        <f>F15/5</f>
        <v>4915.29</v>
      </c>
      <c r="G31" s="175">
        <f>G15/5</f>
        <v>5036</v>
      </c>
      <c r="H31" s="175">
        <f>H15/6</f>
        <v>4920.833333333333</v>
      </c>
      <c r="I31" s="175">
        <f>I15/6</f>
        <v>4191.628333333334</v>
      </c>
      <c r="J31" s="175">
        <f t="shared" ref="J31" si="18">J15/6</f>
        <v>4652.2483333333339</v>
      </c>
      <c r="K31" s="175">
        <f>K15/7</f>
        <v>3478.9271428571433</v>
      </c>
      <c r="L31" s="175">
        <f>L15/7</f>
        <v>4430.2942857142853</v>
      </c>
      <c r="M31" s="175">
        <f>M15/7</f>
        <v>4267.887142857142</v>
      </c>
      <c r="N31" s="175">
        <f>N15/7</f>
        <v>4005.5642857142861</v>
      </c>
      <c r="O31" s="185">
        <f>AVERAGE(C31:N31)</f>
        <v>4333.5041269841277</v>
      </c>
      <c r="P31" s="67"/>
      <c r="Q31" s="67"/>
      <c r="R31" s="55"/>
      <c r="S31" s="55"/>
    </row>
    <row r="32" spans="1:19" ht="18" x14ac:dyDescent="0.5">
      <c r="A32" s="55"/>
      <c r="B32" s="234">
        <v>2019</v>
      </c>
      <c r="C32" s="234"/>
      <c r="D32" s="234"/>
      <c r="E32" s="234"/>
      <c r="F32" s="234"/>
      <c r="G32" s="234"/>
      <c r="H32" s="234"/>
      <c r="I32" s="234"/>
      <c r="J32" s="234"/>
      <c r="K32" s="234"/>
      <c r="L32" s="234"/>
      <c r="M32" s="234"/>
      <c r="N32" s="234"/>
      <c r="O32" s="67"/>
      <c r="P32" s="67"/>
      <c r="Q32" s="67"/>
      <c r="R32" s="55"/>
      <c r="S32" s="55"/>
    </row>
    <row r="33" spans="1:19" x14ac:dyDescent="0.5">
      <c r="A33" s="55"/>
      <c r="B33" s="108" t="s">
        <v>41</v>
      </c>
      <c r="C33" s="109">
        <v>4166.5157142857142</v>
      </c>
      <c r="D33" s="109">
        <v>4603.8571428571431</v>
      </c>
      <c r="E33" s="109">
        <v>4838.2857142857147</v>
      </c>
      <c r="F33" s="109">
        <v>4961.9185714285713</v>
      </c>
      <c r="G33" s="109">
        <v>5924.5714285714284</v>
      </c>
      <c r="H33" s="109">
        <v>4501.2857142857147</v>
      </c>
      <c r="I33" s="109">
        <v>5658.0333333333328</v>
      </c>
      <c r="J33" s="109">
        <v>4578.7333333333336</v>
      </c>
      <c r="K33" s="109">
        <v>4839.333333333333</v>
      </c>
      <c r="L33" s="109">
        <v>5226.2866666666669</v>
      </c>
      <c r="M33" s="109">
        <v>5469.333333333333</v>
      </c>
      <c r="N33" s="109">
        <v>5184.916666666667</v>
      </c>
      <c r="O33" s="183">
        <f>AVERAGE(C33:N33)</f>
        <v>4996.0892460317464</v>
      </c>
      <c r="P33" s="67"/>
      <c r="Q33" s="67"/>
      <c r="R33" s="55"/>
      <c r="S33" s="55"/>
    </row>
    <row r="34" spans="1:19" x14ac:dyDescent="0.5">
      <c r="A34" s="55"/>
      <c r="B34" s="174" t="s">
        <v>42</v>
      </c>
      <c r="C34" s="175">
        <v>2916.5610000000001</v>
      </c>
      <c r="D34" s="175">
        <v>3222.7</v>
      </c>
      <c r="E34" s="175">
        <v>3386.8</v>
      </c>
      <c r="F34" s="175">
        <v>3859.27</v>
      </c>
      <c r="G34" s="175">
        <v>4608</v>
      </c>
      <c r="H34" s="175">
        <v>3501</v>
      </c>
      <c r="I34" s="175">
        <v>4243.5249999999996</v>
      </c>
      <c r="J34" s="175">
        <v>3434.05</v>
      </c>
      <c r="K34" s="175">
        <v>3629.5</v>
      </c>
      <c r="L34" s="175">
        <v>3919.7150000000001</v>
      </c>
      <c r="M34" s="175">
        <v>4102</v>
      </c>
      <c r="N34" s="175">
        <v>3888.6875</v>
      </c>
      <c r="O34" s="183">
        <f>AVERAGE(C34:N34)</f>
        <v>3725.9840416666666</v>
      </c>
      <c r="P34" s="67"/>
      <c r="Q34" s="67"/>
      <c r="R34" s="55"/>
      <c r="S34" s="55"/>
    </row>
    <row r="35" spans="1:19" ht="18" x14ac:dyDescent="0.5">
      <c r="A35" s="55"/>
      <c r="B35" s="234">
        <v>2018</v>
      </c>
      <c r="C35" s="234"/>
      <c r="D35" s="234"/>
      <c r="E35" s="234"/>
      <c r="F35" s="234"/>
      <c r="G35" s="234"/>
      <c r="H35" s="234"/>
      <c r="I35" s="234"/>
      <c r="J35" s="234"/>
      <c r="K35" s="234"/>
      <c r="L35" s="234"/>
      <c r="M35" s="234"/>
      <c r="N35" s="234"/>
      <c r="O35" s="67"/>
      <c r="P35" s="67"/>
      <c r="Q35" s="67"/>
      <c r="R35" s="55"/>
      <c r="S35" s="55"/>
    </row>
    <row r="36" spans="1:19" x14ac:dyDescent="0.5">
      <c r="A36" s="55"/>
      <c r="B36" s="113" t="s">
        <v>43</v>
      </c>
      <c r="C36" s="114">
        <v>4758.3285714285721</v>
      </c>
      <c r="D36" s="114">
        <v>5051.5714285714284</v>
      </c>
      <c r="E36" s="114">
        <v>6206.8571428571431</v>
      </c>
      <c r="F36" s="114">
        <v>5050.1428571428569</v>
      </c>
      <c r="G36" s="114">
        <v>4891.8571428571431</v>
      </c>
      <c r="H36" s="114">
        <v>6049</v>
      </c>
      <c r="I36" s="114">
        <v>5937.1642857142861</v>
      </c>
      <c r="J36" s="114">
        <v>4201.7142857142853</v>
      </c>
      <c r="K36" s="114">
        <v>4655</v>
      </c>
      <c r="L36" s="114">
        <v>4756</v>
      </c>
      <c r="M36" s="114">
        <v>4744.5714285714284</v>
      </c>
      <c r="N36" s="114">
        <v>4506.1428571428569</v>
      </c>
      <c r="O36" s="183">
        <f>AVERAGE(C36:N36)</f>
        <v>5067.3625000000002</v>
      </c>
      <c r="P36" s="67"/>
      <c r="Q36" s="67"/>
    </row>
    <row r="37" spans="1:19" x14ac:dyDescent="0.5">
      <c r="B37" s="174" t="s">
        <v>48</v>
      </c>
      <c r="C37" s="175">
        <v>3330.8300000000004</v>
      </c>
      <c r="D37" s="175">
        <v>3536.1</v>
      </c>
      <c r="E37" s="175">
        <v>4344.8</v>
      </c>
      <c r="F37" s="175">
        <v>3927.8888888888887</v>
      </c>
      <c r="G37" s="175">
        <v>3804.7777777777778</v>
      </c>
      <c r="H37" s="175">
        <v>4234.3</v>
      </c>
      <c r="I37" s="175">
        <v>4156.0150000000003</v>
      </c>
      <c r="J37" s="175">
        <v>2941.2</v>
      </c>
      <c r="K37" s="175">
        <v>3258.5</v>
      </c>
      <c r="L37" s="175">
        <v>3329.2</v>
      </c>
      <c r="M37" s="175">
        <v>3321.2</v>
      </c>
      <c r="N37" s="175">
        <v>3154.3</v>
      </c>
      <c r="O37" s="183">
        <f>AVERAGE(C37:N37)</f>
        <v>3611.5926388888888</v>
      </c>
      <c r="P37" s="67"/>
      <c r="Q37" s="67"/>
    </row>
    <row r="38" spans="1:19" x14ac:dyDescent="0.5">
      <c r="F38" s="119"/>
      <c r="G38" s="1"/>
      <c r="H38" s="1"/>
      <c r="I38" s="1"/>
    </row>
    <row r="39" spans="1:19" x14ac:dyDescent="0.5">
      <c r="C39" s="186">
        <f>O28/7</f>
        <v>8753.5185714285726</v>
      </c>
      <c r="D39" s="186">
        <f>C39/12</f>
        <v>729.45988095238101</v>
      </c>
      <c r="F39" s="120"/>
      <c r="G39" s="121"/>
      <c r="H39" s="122"/>
      <c r="I39" s="122"/>
    </row>
    <row r="40" spans="1:19" x14ac:dyDescent="0.5">
      <c r="F40" s="119"/>
      <c r="G40" s="1"/>
      <c r="H40" s="1"/>
      <c r="I40" s="1"/>
    </row>
    <row r="41" spans="1:19" x14ac:dyDescent="0.5">
      <c r="F41" s="120"/>
      <c r="G41" s="121"/>
      <c r="H41" s="122"/>
      <c r="I41" s="122"/>
    </row>
    <row r="42" spans="1:19" x14ac:dyDescent="0.5">
      <c r="F42" s="119"/>
      <c r="G42" s="1"/>
      <c r="H42" s="1"/>
      <c r="I42" s="1"/>
    </row>
    <row r="43" spans="1:19" x14ac:dyDescent="0.5">
      <c r="F43" s="120"/>
      <c r="G43" s="121"/>
      <c r="H43" s="122"/>
      <c r="I43" s="122"/>
    </row>
    <row r="44" spans="1:19" x14ac:dyDescent="0.5">
      <c r="F44" s="119"/>
      <c r="G44" s="1"/>
      <c r="H44" s="1"/>
      <c r="I44" s="1"/>
    </row>
    <row r="45" spans="1:19" x14ac:dyDescent="0.5">
      <c r="F45" s="120"/>
      <c r="G45" s="121"/>
      <c r="H45" s="122"/>
      <c r="I45" s="122"/>
    </row>
  </sheetData>
  <mergeCells count="9">
    <mergeCell ref="B35:N35"/>
    <mergeCell ref="A1:A29"/>
    <mergeCell ref="Q3:Q5"/>
    <mergeCell ref="Q6:Q7"/>
    <mergeCell ref="Q8:Q9"/>
    <mergeCell ref="Q16:Q20"/>
    <mergeCell ref="Q21:Q22"/>
    <mergeCell ref="Q23:Q24"/>
    <mergeCell ref="B32:N32"/>
  </mergeCells>
  <pageMargins left="0.7" right="0.7" top="0.75" bottom="0.75" header="0.3" footer="0.3"/>
  <pageSetup paperSize="9" orientation="portrait" r:id="rId1"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2B31AB-879C-AC46-B0AE-DC8B12753D08}">
  <dimension ref="A1:S40"/>
  <sheetViews>
    <sheetView zoomScale="85" zoomScaleNormal="92" zoomScalePageLayoutView="112" workbookViewId="0">
      <selection activeCell="C30" sqref="C30:E30"/>
    </sheetView>
  </sheetViews>
  <sheetFormatPr baseColWidth="10" defaultColWidth="10.6875" defaultRowHeight="15.75" x14ac:dyDescent="0.5"/>
  <cols>
    <col min="1" max="1" width="0.6875" style="1" customWidth="1"/>
    <col min="2" max="2" width="26.3125" style="1" bestFit="1" customWidth="1"/>
    <col min="3" max="10" width="10.6875" style="9" customWidth="1"/>
    <col min="11" max="11" width="11.125" style="9" customWidth="1"/>
    <col min="12" max="14" width="10.6875" style="9" customWidth="1"/>
    <col min="15" max="16" width="14.125" style="9" bestFit="1" customWidth="1"/>
    <col min="17" max="17" width="13" style="9" bestFit="1" customWidth="1"/>
    <col min="18" max="18" width="34.4375" style="1" customWidth="1"/>
    <col min="19" max="16384" width="10.6875" style="1"/>
  </cols>
  <sheetData>
    <row r="1" spans="1:19" ht="20" customHeight="1" x14ac:dyDescent="0.5">
      <c r="A1" s="229"/>
      <c r="B1" s="80" t="s">
        <v>49</v>
      </c>
      <c r="C1" s="81" t="s">
        <v>1</v>
      </c>
      <c r="D1" s="81" t="s">
        <v>2</v>
      </c>
      <c r="E1" s="81" t="s">
        <v>3</v>
      </c>
      <c r="F1" s="81" t="s">
        <v>4</v>
      </c>
      <c r="G1" s="82" t="s">
        <v>5</v>
      </c>
      <c r="H1" s="81" t="s">
        <v>6</v>
      </c>
      <c r="I1" s="81" t="s">
        <v>7</v>
      </c>
      <c r="J1" s="81" t="s">
        <v>8</v>
      </c>
      <c r="K1" s="81" t="s">
        <v>9</v>
      </c>
      <c r="L1" s="81" t="s">
        <v>10</v>
      </c>
      <c r="M1" s="81" t="s">
        <v>11</v>
      </c>
      <c r="N1" s="81" t="s">
        <v>12</v>
      </c>
      <c r="O1" s="81" t="s">
        <v>13</v>
      </c>
      <c r="P1" s="81" t="s">
        <v>14</v>
      </c>
      <c r="Q1" s="81" t="s">
        <v>15</v>
      </c>
      <c r="R1" s="55"/>
      <c r="S1" s="55"/>
    </row>
    <row r="2" spans="1:19" ht="3" customHeight="1" x14ac:dyDescent="0.5">
      <c r="A2" s="229"/>
      <c r="B2" s="47"/>
      <c r="C2" s="42"/>
      <c r="D2" s="42"/>
      <c r="E2" s="42"/>
      <c r="F2" s="42"/>
      <c r="G2" s="42"/>
      <c r="H2" s="42"/>
      <c r="I2" s="42"/>
      <c r="J2" s="42"/>
      <c r="K2" s="42"/>
      <c r="L2" s="42"/>
      <c r="M2" s="42"/>
      <c r="N2" s="42"/>
      <c r="O2" s="46"/>
      <c r="P2" s="46"/>
      <c r="Q2" s="46"/>
      <c r="R2" s="55"/>
      <c r="S2" s="55"/>
    </row>
    <row r="3" spans="1:19" ht="17.100000000000001" customHeight="1" x14ac:dyDescent="0.5">
      <c r="A3" s="229"/>
      <c r="B3" s="48" t="s">
        <v>16</v>
      </c>
      <c r="C3" s="49">
        <f>SUM(C4:C6)</f>
        <v>42321.64</v>
      </c>
      <c r="D3" s="49">
        <f t="shared" ref="D3:N3" si="0">SUM(D4:D6)</f>
        <v>32022.02</v>
      </c>
      <c r="E3" s="49">
        <f t="shared" si="0"/>
        <v>39903.020000000004</v>
      </c>
      <c r="F3" s="49">
        <f t="shared" si="0"/>
        <v>33057.32</v>
      </c>
      <c r="G3" s="49">
        <f t="shared" si="0"/>
        <v>37437.520000000004</v>
      </c>
      <c r="H3" s="49">
        <f t="shared" si="0"/>
        <v>44488.97</v>
      </c>
      <c r="I3" s="49">
        <f t="shared" si="0"/>
        <v>40525.770000000004</v>
      </c>
      <c r="J3" s="49">
        <f t="shared" si="0"/>
        <v>43351.83</v>
      </c>
      <c r="K3" s="49">
        <f t="shared" si="0"/>
        <v>52921</v>
      </c>
      <c r="L3" s="49">
        <f t="shared" si="0"/>
        <v>36597.619999999995</v>
      </c>
      <c r="M3" s="49">
        <f t="shared" si="0"/>
        <v>36803.19</v>
      </c>
      <c r="N3" s="49">
        <f t="shared" si="0"/>
        <v>41294.410000000003</v>
      </c>
      <c r="O3" s="50">
        <f t="shared" ref="O3" si="1">SUM(C3:N3)</f>
        <v>480724.31000000006</v>
      </c>
      <c r="P3" s="50">
        <f>O3/12</f>
        <v>40060.359166666669</v>
      </c>
      <c r="Q3" s="50">
        <f>P3</f>
        <v>40060.359166666669</v>
      </c>
      <c r="R3" s="55"/>
      <c r="S3" s="55"/>
    </row>
    <row r="4" spans="1:19" ht="14.55" customHeight="1" x14ac:dyDescent="0.5">
      <c r="A4" s="229"/>
      <c r="B4" s="74" t="s">
        <v>17</v>
      </c>
      <c r="C4" s="123">
        <v>21394.639999999999</v>
      </c>
      <c r="D4" s="124">
        <v>15375.02</v>
      </c>
      <c r="E4" s="124">
        <v>21996.02</v>
      </c>
      <c r="F4" s="124">
        <v>17300.32</v>
      </c>
      <c r="G4" s="124">
        <v>20290.52</v>
      </c>
      <c r="H4" s="124">
        <v>27071.97</v>
      </c>
      <c r="I4" s="124">
        <v>23948.77</v>
      </c>
      <c r="J4" s="124">
        <v>23674.83</v>
      </c>
      <c r="K4" s="124">
        <v>29494</v>
      </c>
      <c r="L4" s="124">
        <v>18440.62</v>
      </c>
      <c r="M4" s="124">
        <v>19211.189999999999</v>
      </c>
      <c r="N4" s="124">
        <v>17777.41</v>
      </c>
      <c r="O4" s="130">
        <f>SUM(C4:N4)</f>
        <v>255975.31000000003</v>
      </c>
      <c r="P4" s="130">
        <f>O4/12</f>
        <v>21331.275833333337</v>
      </c>
      <c r="Q4" s="231">
        <f>SUM(P4:P6)</f>
        <v>40060.359166666669</v>
      </c>
      <c r="R4" s="55"/>
      <c r="S4" s="55"/>
    </row>
    <row r="5" spans="1:19" ht="14.55" customHeight="1" x14ac:dyDescent="0.5">
      <c r="A5" s="229"/>
      <c r="B5" s="74" t="s">
        <v>18</v>
      </c>
      <c r="C5" s="124">
        <v>13137</v>
      </c>
      <c r="D5" s="124">
        <v>13137</v>
      </c>
      <c r="E5" s="124">
        <v>13137</v>
      </c>
      <c r="F5" s="124">
        <v>13137</v>
      </c>
      <c r="G5" s="124">
        <v>13137</v>
      </c>
      <c r="H5" s="124">
        <v>13137</v>
      </c>
      <c r="I5" s="124">
        <v>13137</v>
      </c>
      <c r="J5" s="124">
        <v>13137</v>
      </c>
      <c r="K5" s="124">
        <v>13137</v>
      </c>
      <c r="L5" s="124">
        <v>13137</v>
      </c>
      <c r="M5" s="124">
        <v>13137</v>
      </c>
      <c r="N5" s="124">
        <v>13137</v>
      </c>
      <c r="O5" s="130">
        <f>SUM(C5:N5)</f>
        <v>157644</v>
      </c>
      <c r="P5" s="130">
        <f t="shared" ref="P5:P14" si="2">O5/12</f>
        <v>13137</v>
      </c>
      <c r="Q5" s="231"/>
      <c r="R5" s="55"/>
      <c r="S5" s="55"/>
    </row>
    <row r="6" spans="1:19" ht="14.55" customHeight="1" x14ac:dyDescent="0.5">
      <c r="A6" s="229"/>
      <c r="B6" s="74" t="s">
        <v>19</v>
      </c>
      <c r="C6" s="124">
        <v>7790</v>
      </c>
      <c r="D6" s="124">
        <v>3510</v>
      </c>
      <c r="E6" s="124">
        <v>4770</v>
      </c>
      <c r="F6" s="124">
        <v>2620</v>
      </c>
      <c r="G6" s="124">
        <v>4010</v>
      </c>
      <c r="H6" s="124">
        <v>4280</v>
      </c>
      <c r="I6" s="124">
        <v>3440</v>
      </c>
      <c r="J6" s="124">
        <v>6540</v>
      </c>
      <c r="K6" s="124">
        <v>10290</v>
      </c>
      <c r="L6" s="124">
        <v>5020</v>
      </c>
      <c r="M6" s="124">
        <v>4455</v>
      </c>
      <c r="N6" s="124">
        <v>10380</v>
      </c>
      <c r="O6" s="130">
        <f>SUM(C6:N6)</f>
        <v>67105</v>
      </c>
      <c r="P6" s="130">
        <f t="shared" si="2"/>
        <v>5592.083333333333</v>
      </c>
      <c r="Q6" s="231"/>
      <c r="R6" s="55"/>
      <c r="S6" s="55"/>
    </row>
    <row r="7" spans="1:19" ht="14.55" customHeight="1" x14ac:dyDescent="0.5">
      <c r="A7" s="229"/>
      <c r="B7" s="32" t="s">
        <v>20</v>
      </c>
      <c r="C7" s="125">
        <v>290</v>
      </c>
      <c r="D7" s="125">
        <v>500</v>
      </c>
      <c r="E7" s="126">
        <v>2357.5</v>
      </c>
      <c r="F7" s="126">
        <v>-50</v>
      </c>
      <c r="G7" s="126">
        <v>2000</v>
      </c>
      <c r="H7" s="126">
        <v>950</v>
      </c>
      <c r="I7" s="126">
        <v>1500</v>
      </c>
      <c r="J7" s="126">
        <v>100</v>
      </c>
      <c r="K7" s="126">
        <v>1425</v>
      </c>
      <c r="L7" s="126">
        <v>2400</v>
      </c>
      <c r="M7" s="126">
        <v>1600</v>
      </c>
      <c r="N7" s="126">
        <v>150</v>
      </c>
      <c r="O7" s="131">
        <f>SUM(C7:N7)</f>
        <v>13222.5</v>
      </c>
      <c r="P7" s="131">
        <f t="shared" si="2"/>
        <v>1101.875</v>
      </c>
      <c r="Q7" s="232">
        <f>-P7-P8</f>
        <v>-1284.9166666666667</v>
      </c>
      <c r="R7" s="55"/>
      <c r="S7" s="55"/>
    </row>
    <row r="8" spans="1:19" ht="14.55" customHeight="1" x14ac:dyDescent="0.5">
      <c r="A8" s="229"/>
      <c r="B8" s="112" t="s">
        <v>50</v>
      </c>
      <c r="C8" s="126">
        <v>522.65</v>
      </c>
      <c r="D8" s="126">
        <v>154.65</v>
      </c>
      <c r="E8" s="126">
        <v>151.91999999999999</v>
      </c>
      <c r="F8" s="126">
        <v>151.91999999999999</v>
      </c>
      <c r="G8" s="126">
        <v>151.91999999999999</v>
      </c>
      <c r="H8" s="126">
        <v>151.91999999999999</v>
      </c>
      <c r="I8" s="126">
        <v>151.91999999999999</v>
      </c>
      <c r="J8" s="126">
        <v>151.91999999999999</v>
      </c>
      <c r="K8" s="126">
        <v>151.91999999999999</v>
      </c>
      <c r="L8" s="126">
        <v>151.91999999999999</v>
      </c>
      <c r="M8" s="126">
        <v>151.91999999999999</v>
      </c>
      <c r="N8" s="126">
        <v>151.91999999999999</v>
      </c>
      <c r="O8" s="131">
        <f>SUM(C8:N8)</f>
        <v>2196.5000000000005</v>
      </c>
      <c r="P8" s="131">
        <f t="shared" si="2"/>
        <v>183.04166666666671</v>
      </c>
      <c r="Q8" s="232"/>
      <c r="R8" s="55"/>
      <c r="S8" s="55"/>
    </row>
    <row r="9" spans="1:19" ht="14.55" customHeight="1" x14ac:dyDescent="0.5">
      <c r="A9" s="229"/>
      <c r="B9" s="35" t="s">
        <v>22</v>
      </c>
      <c r="C9" s="127">
        <v>30476.799999999999</v>
      </c>
      <c r="D9" s="127">
        <v>29969.67</v>
      </c>
      <c r="E9" s="127">
        <v>31281.19</v>
      </c>
      <c r="F9" s="127">
        <v>31047.84</v>
      </c>
      <c r="G9" s="127">
        <v>30415.38</v>
      </c>
      <c r="H9" s="127">
        <v>30064.12</v>
      </c>
      <c r="I9" s="127">
        <v>44124.83</v>
      </c>
      <c r="J9" s="127">
        <v>31020.32</v>
      </c>
      <c r="K9" s="127">
        <v>31585.94</v>
      </c>
      <c r="L9" s="127">
        <v>29842.94</v>
      </c>
      <c r="M9" s="127">
        <v>29730.82</v>
      </c>
      <c r="N9" s="134">
        <v>48407.38</v>
      </c>
      <c r="O9" s="132">
        <f t="shared" ref="O9:O10" si="3">SUM(C9:N9)</f>
        <v>397967.23000000004</v>
      </c>
      <c r="P9" s="132">
        <f t="shared" si="2"/>
        <v>33163.935833333337</v>
      </c>
      <c r="Q9" s="233">
        <f>-P9-P10</f>
        <v>-35923.477500000001</v>
      </c>
      <c r="R9" s="55"/>
      <c r="S9" s="55"/>
    </row>
    <row r="10" spans="1:19" ht="14.55" customHeight="1" x14ac:dyDescent="0.5">
      <c r="A10" s="229"/>
      <c r="B10" s="35" t="s">
        <v>23</v>
      </c>
      <c r="C10" s="127">
        <v>2445</v>
      </c>
      <c r="D10" s="127">
        <v>1654</v>
      </c>
      <c r="E10" s="127">
        <v>2845</v>
      </c>
      <c r="F10" s="127">
        <v>2030</v>
      </c>
      <c r="G10" s="127">
        <v>2514</v>
      </c>
      <c r="H10" s="127">
        <v>4208</v>
      </c>
      <c r="I10" s="127">
        <v>2391</v>
      </c>
      <c r="J10" s="127">
        <v>2687</v>
      </c>
      <c r="K10" s="127">
        <v>3700</v>
      </c>
      <c r="L10" s="127">
        <v>2495.5</v>
      </c>
      <c r="M10" s="127">
        <v>2634</v>
      </c>
      <c r="N10" s="127">
        <v>3511</v>
      </c>
      <c r="O10" s="132">
        <f t="shared" si="3"/>
        <v>33114.5</v>
      </c>
      <c r="P10" s="132">
        <f t="shared" si="2"/>
        <v>2759.5416666666665</v>
      </c>
      <c r="Q10" s="233"/>
      <c r="R10" s="55"/>
      <c r="S10" s="55"/>
    </row>
    <row r="11" spans="1:19" x14ac:dyDescent="0.5">
      <c r="A11" s="229"/>
      <c r="B11" s="37" t="s">
        <v>24</v>
      </c>
      <c r="C11" s="38">
        <f>C3-C7-C8-C9-C10</f>
        <v>8587.1899999999987</v>
      </c>
      <c r="D11" s="38">
        <f t="shared" ref="D11:N11" si="4">D3-D7-D8-D9-D10</f>
        <v>-256.29999999999927</v>
      </c>
      <c r="E11" s="38">
        <f t="shared" si="4"/>
        <v>3267.4100000000071</v>
      </c>
      <c r="F11" s="38">
        <f t="shared" si="4"/>
        <v>-122.43999999999869</v>
      </c>
      <c r="G11" s="38">
        <f t="shared" si="4"/>
        <v>2356.2200000000048</v>
      </c>
      <c r="H11" s="38">
        <f t="shared" si="4"/>
        <v>9114.9300000000039</v>
      </c>
      <c r="I11" s="38">
        <f t="shared" si="4"/>
        <v>-7641.9799999999959</v>
      </c>
      <c r="J11" s="38">
        <f t="shared" si="4"/>
        <v>9392.5900000000038</v>
      </c>
      <c r="K11" s="38">
        <f t="shared" si="4"/>
        <v>16058.140000000003</v>
      </c>
      <c r="L11" s="38">
        <f t="shared" si="4"/>
        <v>1707.2599999999984</v>
      </c>
      <c r="M11" s="38">
        <f t="shared" si="4"/>
        <v>2686.4500000000044</v>
      </c>
      <c r="N11" s="38">
        <f t="shared" si="4"/>
        <v>-10925.889999999992</v>
      </c>
      <c r="O11" s="38">
        <f>O3-O7-O8-O9-O10</f>
        <v>34223.580000000016</v>
      </c>
      <c r="P11" s="38">
        <f t="shared" si="2"/>
        <v>2851.9650000000015</v>
      </c>
      <c r="Q11" s="101"/>
      <c r="R11" s="55"/>
      <c r="S11" s="55"/>
    </row>
    <row r="12" spans="1:19" ht="17.100000000000001" customHeight="1" x14ac:dyDescent="0.5">
      <c r="A12" s="229"/>
      <c r="B12" s="40" t="s">
        <v>20</v>
      </c>
      <c r="C12" s="41">
        <f>C7</f>
        <v>290</v>
      </c>
      <c r="D12" s="41">
        <f t="shared" ref="D12:N13" si="5">D7</f>
        <v>500</v>
      </c>
      <c r="E12" s="41">
        <f t="shared" si="5"/>
        <v>2357.5</v>
      </c>
      <c r="F12" s="41">
        <f t="shared" si="5"/>
        <v>-50</v>
      </c>
      <c r="G12" s="41">
        <f t="shared" si="5"/>
        <v>2000</v>
      </c>
      <c r="H12" s="41">
        <f t="shared" si="5"/>
        <v>950</v>
      </c>
      <c r="I12" s="41">
        <f t="shared" si="5"/>
        <v>1500</v>
      </c>
      <c r="J12" s="41">
        <f t="shared" si="5"/>
        <v>100</v>
      </c>
      <c r="K12" s="41">
        <f t="shared" si="5"/>
        <v>1425</v>
      </c>
      <c r="L12" s="41">
        <f t="shared" si="5"/>
        <v>2400</v>
      </c>
      <c r="M12" s="41">
        <f t="shared" si="5"/>
        <v>1600</v>
      </c>
      <c r="N12" s="41">
        <f t="shared" si="5"/>
        <v>150</v>
      </c>
      <c r="O12" s="41">
        <f>SUM(C12:N12)</f>
        <v>13222.5</v>
      </c>
      <c r="P12" s="41">
        <f t="shared" si="2"/>
        <v>1101.875</v>
      </c>
      <c r="Q12" s="102"/>
      <c r="R12" s="55"/>
      <c r="S12" s="55"/>
    </row>
    <row r="13" spans="1:19" ht="17.100000000000001" customHeight="1" x14ac:dyDescent="0.5">
      <c r="A13" s="229"/>
      <c r="B13" s="40" t="s">
        <v>25</v>
      </c>
      <c r="C13" s="41">
        <f>C8</f>
        <v>522.65</v>
      </c>
      <c r="D13" s="41">
        <f t="shared" si="5"/>
        <v>154.65</v>
      </c>
      <c r="E13" s="41">
        <f t="shared" si="5"/>
        <v>151.91999999999999</v>
      </c>
      <c r="F13" s="41">
        <f t="shared" si="5"/>
        <v>151.91999999999999</v>
      </c>
      <c r="G13" s="41">
        <f t="shared" si="5"/>
        <v>151.91999999999999</v>
      </c>
      <c r="H13" s="41">
        <f t="shared" si="5"/>
        <v>151.91999999999999</v>
      </c>
      <c r="I13" s="41">
        <f t="shared" si="5"/>
        <v>151.91999999999999</v>
      </c>
      <c r="J13" s="41">
        <f t="shared" si="5"/>
        <v>151.91999999999999</v>
      </c>
      <c r="K13" s="41">
        <f t="shared" si="5"/>
        <v>151.91999999999999</v>
      </c>
      <c r="L13" s="41">
        <f t="shared" si="5"/>
        <v>151.91999999999999</v>
      </c>
      <c r="M13" s="41">
        <f t="shared" si="5"/>
        <v>151.91999999999999</v>
      </c>
      <c r="N13" s="41">
        <f t="shared" si="5"/>
        <v>151.91999999999999</v>
      </c>
      <c r="O13" s="41">
        <f>SUM(C13:N13)</f>
        <v>2196.5000000000005</v>
      </c>
      <c r="P13" s="41">
        <f t="shared" si="2"/>
        <v>183.04166666666671</v>
      </c>
      <c r="Q13" s="102"/>
      <c r="R13" s="55"/>
      <c r="S13" s="55"/>
    </row>
    <row r="14" spans="1:19" ht="17.100000000000001" customHeight="1" x14ac:dyDescent="0.5">
      <c r="A14" s="229"/>
      <c r="B14" s="51" t="s">
        <v>26</v>
      </c>
      <c r="C14" s="52">
        <f>C11+C12+C13</f>
        <v>9399.8399999999983</v>
      </c>
      <c r="D14" s="52">
        <f t="shared" ref="D14:O14" si="6">D11+D12+D13</f>
        <v>398.3500000000007</v>
      </c>
      <c r="E14" s="52">
        <f t="shared" si="6"/>
        <v>5776.8300000000072</v>
      </c>
      <c r="F14" s="52">
        <f t="shared" si="6"/>
        <v>-20.519999999998703</v>
      </c>
      <c r="G14" s="52">
        <f t="shared" si="6"/>
        <v>4508.1400000000049</v>
      </c>
      <c r="H14" s="52">
        <f t="shared" si="6"/>
        <v>10216.850000000004</v>
      </c>
      <c r="I14" s="52">
        <f t="shared" si="6"/>
        <v>-5990.0599999999959</v>
      </c>
      <c r="J14" s="52">
        <f t="shared" si="6"/>
        <v>9644.5100000000039</v>
      </c>
      <c r="K14" s="52">
        <f t="shared" si="6"/>
        <v>17635.060000000001</v>
      </c>
      <c r="L14" s="52">
        <f t="shared" si="6"/>
        <v>4259.1799999999985</v>
      </c>
      <c r="M14" s="52">
        <f t="shared" si="6"/>
        <v>4438.3700000000044</v>
      </c>
      <c r="N14" s="52">
        <f t="shared" si="6"/>
        <v>-10623.969999999992</v>
      </c>
      <c r="O14" s="76">
        <f t="shared" si="6"/>
        <v>49642.580000000016</v>
      </c>
      <c r="P14" s="76">
        <f t="shared" si="2"/>
        <v>4136.881666666668</v>
      </c>
      <c r="Q14" s="103"/>
      <c r="R14" s="55"/>
      <c r="S14" s="55"/>
    </row>
    <row r="15" spans="1:19" ht="5.0999999999999996" customHeight="1" x14ac:dyDescent="0.5">
      <c r="A15" s="229"/>
      <c r="B15" s="47"/>
      <c r="C15" s="42"/>
      <c r="D15" s="42"/>
      <c r="E15" s="42"/>
      <c r="F15" s="42"/>
      <c r="G15" s="42"/>
      <c r="H15" s="42"/>
      <c r="I15" s="77"/>
      <c r="J15" s="42"/>
      <c r="K15" s="42"/>
      <c r="L15" s="42"/>
      <c r="M15" s="42"/>
      <c r="N15" s="42"/>
      <c r="O15" s="46"/>
      <c r="P15" s="46"/>
      <c r="Q15" s="46"/>
      <c r="R15" s="55"/>
      <c r="S15" s="55"/>
    </row>
    <row r="16" spans="1:19" x14ac:dyDescent="0.5">
      <c r="A16" s="229"/>
      <c r="B16" s="48" t="s">
        <v>27</v>
      </c>
      <c r="C16" s="49">
        <f>SUM(C17:C21)</f>
        <v>29165.61</v>
      </c>
      <c r="D16" s="49">
        <f t="shared" ref="D16:N16" si="7">SUM(D17:D21)</f>
        <v>32227</v>
      </c>
      <c r="E16" s="49">
        <f t="shared" si="7"/>
        <v>33868</v>
      </c>
      <c r="F16" s="49">
        <f t="shared" si="7"/>
        <v>34733.43</v>
      </c>
      <c r="G16" s="49">
        <f t="shared" si="7"/>
        <v>41472</v>
      </c>
      <c r="H16" s="49">
        <f t="shared" si="7"/>
        <v>31509</v>
      </c>
      <c r="I16" s="49">
        <f t="shared" si="7"/>
        <v>33948.199999999997</v>
      </c>
      <c r="J16" s="49">
        <f t="shared" si="7"/>
        <v>27472.400000000001</v>
      </c>
      <c r="K16" s="49">
        <f t="shared" si="7"/>
        <v>29036</v>
      </c>
      <c r="L16" s="49">
        <f>SUM(L17:L21)</f>
        <v>31357.72</v>
      </c>
      <c r="M16" s="49">
        <f t="shared" si="7"/>
        <v>32816</v>
      </c>
      <c r="N16" s="49">
        <f t="shared" si="7"/>
        <v>31109.5</v>
      </c>
      <c r="O16" s="50">
        <f t="shared" ref="O16:O25" si="8">SUM(C16:N16)</f>
        <v>388714.86</v>
      </c>
      <c r="P16" s="50">
        <f>O16/12</f>
        <v>32392.904999999999</v>
      </c>
      <c r="Q16" s="50">
        <f>P16</f>
        <v>32392.904999999999</v>
      </c>
      <c r="R16" s="55"/>
      <c r="S16" s="55"/>
    </row>
    <row r="17" spans="1:19" ht="17.100000000000001" customHeight="1" x14ac:dyDescent="0.5">
      <c r="A17" s="229"/>
      <c r="B17" s="74" t="s">
        <v>28</v>
      </c>
      <c r="C17" s="123">
        <v>4365</v>
      </c>
      <c r="D17" s="124">
        <v>4219</v>
      </c>
      <c r="E17" s="124">
        <v>3704</v>
      </c>
      <c r="F17" s="124">
        <v>4001</v>
      </c>
      <c r="G17" s="124">
        <v>5417</v>
      </c>
      <c r="H17" s="124">
        <v>4521</v>
      </c>
      <c r="I17" s="124">
        <v>5304.8</v>
      </c>
      <c r="J17" s="124">
        <v>4499.3999999999996</v>
      </c>
      <c r="K17" s="124">
        <v>4803</v>
      </c>
      <c r="L17" s="124">
        <v>4733</v>
      </c>
      <c r="M17" s="124">
        <v>5161</v>
      </c>
      <c r="N17" s="124">
        <v>4984</v>
      </c>
      <c r="O17" s="130">
        <f t="shared" si="8"/>
        <v>55712.2</v>
      </c>
      <c r="P17" s="130">
        <f t="shared" ref="P17:P30" si="9">O17/12</f>
        <v>4642.6833333333334</v>
      </c>
      <c r="Q17" s="231">
        <f>SUM(P17:P21)</f>
        <v>32392.904999999999</v>
      </c>
      <c r="R17" s="55"/>
      <c r="S17" s="55"/>
    </row>
    <row r="18" spans="1:19" ht="17.100000000000001" customHeight="1" x14ac:dyDescent="0.5">
      <c r="A18" s="229"/>
      <c r="B18" s="107" t="s">
        <v>29</v>
      </c>
      <c r="C18" s="123">
        <v>15087.61</v>
      </c>
      <c r="D18" s="123">
        <v>17900</v>
      </c>
      <c r="E18" s="123">
        <v>18400</v>
      </c>
      <c r="F18" s="123">
        <v>18900</v>
      </c>
      <c r="G18" s="123">
        <v>17900</v>
      </c>
      <c r="H18" s="123">
        <v>18400</v>
      </c>
      <c r="I18" s="123">
        <v>14700</v>
      </c>
      <c r="J18" s="124">
        <v>16200</v>
      </c>
      <c r="K18" s="124">
        <v>15700</v>
      </c>
      <c r="L18" s="124">
        <v>16200</v>
      </c>
      <c r="M18" s="124">
        <v>16200</v>
      </c>
      <c r="N18" s="124">
        <v>15700</v>
      </c>
      <c r="O18" s="130">
        <f t="shared" si="8"/>
        <v>201287.61</v>
      </c>
      <c r="P18" s="130">
        <f t="shared" si="9"/>
        <v>16773.967499999999</v>
      </c>
      <c r="Q18" s="231"/>
      <c r="R18" s="55"/>
      <c r="S18" s="55"/>
    </row>
    <row r="19" spans="1:19" ht="17.100000000000001" customHeight="1" x14ac:dyDescent="0.5">
      <c r="A19" s="229"/>
      <c r="B19" s="107" t="s">
        <v>30</v>
      </c>
      <c r="C19" s="124">
        <v>4200</v>
      </c>
      <c r="D19" s="124">
        <v>4200</v>
      </c>
      <c r="E19" s="124">
        <v>4200</v>
      </c>
      <c r="F19" s="124">
        <v>9262.43</v>
      </c>
      <c r="G19" s="124">
        <v>4200</v>
      </c>
      <c r="H19" s="124">
        <v>4200</v>
      </c>
      <c r="I19" s="124">
        <v>10397.4</v>
      </c>
      <c r="J19" s="124">
        <v>4200</v>
      </c>
      <c r="K19" s="124">
        <v>4200</v>
      </c>
      <c r="L19" s="124">
        <v>5270.72</v>
      </c>
      <c r="M19" s="124">
        <v>4200</v>
      </c>
      <c r="N19" s="124">
        <v>4200</v>
      </c>
      <c r="O19" s="130">
        <f t="shared" si="8"/>
        <v>62730.55</v>
      </c>
      <c r="P19" s="130">
        <f t="shared" si="9"/>
        <v>5227.5458333333336</v>
      </c>
      <c r="Q19" s="231"/>
      <c r="R19" s="55"/>
      <c r="S19" s="55"/>
    </row>
    <row r="20" spans="1:19" ht="17.100000000000001" customHeight="1" x14ac:dyDescent="0.5">
      <c r="A20" s="229"/>
      <c r="B20" s="74" t="s">
        <v>131</v>
      </c>
      <c r="C20" s="123">
        <v>5323</v>
      </c>
      <c r="D20" s="124">
        <v>1550</v>
      </c>
      <c r="E20" s="124">
        <v>3430</v>
      </c>
      <c r="F20" s="128">
        <v>1240</v>
      </c>
      <c r="G20" s="128">
        <v>6465</v>
      </c>
      <c r="H20" s="124">
        <v>2480</v>
      </c>
      <c r="I20" s="124">
        <v>734</v>
      </c>
      <c r="J20" s="124">
        <v>2220</v>
      </c>
      <c r="K20" s="133">
        <v>2264</v>
      </c>
      <c r="L20" s="124">
        <v>853</v>
      </c>
      <c r="M20" s="124">
        <v>5676</v>
      </c>
      <c r="N20" s="124">
        <v>3399.25</v>
      </c>
      <c r="O20" s="130">
        <f t="shared" si="8"/>
        <v>35634.25</v>
      </c>
      <c r="P20" s="130">
        <f t="shared" si="9"/>
        <v>2969.5208333333335</v>
      </c>
      <c r="Q20" s="231"/>
      <c r="R20" s="55"/>
      <c r="S20" s="55"/>
    </row>
    <row r="21" spans="1:19" ht="17.100000000000001" customHeight="1" x14ac:dyDescent="0.5">
      <c r="A21" s="229"/>
      <c r="B21" s="74" t="s">
        <v>130</v>
      </c>
      <c r="C21" s="123">
        <v>190</v>
      </c>
      <c r="D21" s="124">
        <v>4358</v>
      </c>
      <c r="E21" s="124">
        <v>4134</v>
      </c>
      <c r="F21" s="128">
        <v>1330</v>
      </c>
      <c r="G21" s="124">
        <v>7490</v>
      </c>
      <c r="H21" s="124">
        <v>1908</v>
      </c>
      <c r="I21" s="124">
        <v>2812</v>
      </c>
      <c r="J21" s="124">
        <v>353</v>
      </c>
      <c r="K21" s="133">
        <v>2069</v>
      </c>
      <c r="L21" s="124">
        <v>4301</v>
      </c>
      <c r="M21" s="124">
        <v>1579</v>
      </c>
      <c r="N21" s="124">
        <v>2826.25</v>
      </c>
      <c r="O21" s="130">
        <f t="shared" si="8"/>
        <v>33350.25</v>
      </c>
      <c r="P21" s="130">
        <f t="shared" si="9"/>
        <v>2779.1875</v>
      </c>
      <c r="Q21" s="231"/>
      <c r="R21" s="55"/>
      <c r="S21" s="55"/>
    </row>
    <row r="22" spans="1:19" ht="17.100000000000001" customHeight="1" x14ac:dyDescent="0.5">
      <c r="A22" s="229"/>
      <c r="B22" s="32" t="s">
        <v>20</v>
      </c>
      <c r="C22" s="125">
        <v>290</v>
      </c>
      <c r="D22" s="125">
        <f>D7</f>
        <v>500</v>
      </c>
      <c r="E22" s="125">
        <f t="shared" ref="E22:N22" si="10">E7</f>
        <v>2357.5</v>
      </c>
      <c r="F22" s="125">
        <f t="shared" si="10"/>
        <v>-50</v>
      </c>
      <c r="G22" s="125">
        <f t="shared" si="10"/>
        <v>2000</v>
      </c>
      <c r="H22" s="125">
        <f t="shared" si="10"/>
        <v>950</v>
      </c>
      <c r="I22" s="125">
        <f t="shared" si="10"/>
        <v>1500</v>
      </c>
      <c r="J22" s="125">
        <f t="shared" si="10"/>
        <v>100</v>
      </c>
      <c r="K22" s="125">
        <f t="shared" si="10"/>
        <v>1425</v>
      </c>
      <c r="L22" s="125">
        <f t="shared" si="10"/>
        <v>2400</v>
      </c>
      <c r="M22" s="125">
        <f t="shared" si="10"/>
        <v>1600</v>
      </c>
      <c r="N22" s="125">
        <f t="shared" si="10"/>
        <v>150</v>
      </c>
      <c r="O22" s="131">
        <f t="shared" si="8"/>
        <v>13222.5</v>
      </c>
      <c r="P22" s="131">
        <f t="shared" si="9"/>
        <v>1101.875</v>
      </c>
      <c r="Q22" s="232">
        <f>-P22-P23</f>
        <v>-1284.9166666666667</v>
      </c>
      <c r="R22" s="55"/>
      <c r="S22" s="55"/>
    </row>
    <row r="23" spans="1:19" ht="17.100000000000001" customHeight="1" x14ac:dyDescent="0.5">
      <c r="A23" s="229"/>
      <c r="B23" s="112" t="s">
        <v>50</v>
      </c>
      <c r="C23" s="126">
        <v>522.65</v>
      </c>
      <c r="D23" s="126">
        <v>154.65</v>
      </c>
      <c r="E23" s="126">
        <f>E8</f>
        <v>151.91999999999999</v>
      </c>
      <c r="F23" s="126">
        <f t="shared" ref="F23:N23" si="11">F8</f>
        <v>151.91999999999999</v>
      </c>
      <c r="G23" s="126">
        <f t="shared" si="11"/>
        <v>151.91999999999999</v>
      </c>
      <c r="H23" s="126">
        <f t="shared" si="11"/>
        <v>151.91999999999999</v>
      </c>
      <c r="I23" s="126">
        <f t="shared" si="11"/>
        <v>151.91999999999999</v>
      </c>
      <c r="J23" s="126">
        <f t="shared" si="11"/>
        <v>151.91999999999999</v>
      </c>
      <c r="K23" s="126">
        <f t="shared" si="11"/>
        <v>151.91999999999999</v>
      </c>
      <c r="L23" s="126">
        <f t="shared" si="11"/>
        <v>151.91999999999999</v>
      </c>
      <c r="M23" s="126">
        <f t="shared" si="11"/>
        <v>151.91999999999999</v>
      </c>
      <c r="N23" s="126">
        <f t="shared" si="11"/>
        <v>151.91999999999999</v>
      </c>
      <c r="O23" s="131">
        <f t="shared" si="8"/>
        <v>2196.5000000000005</v>
      </c>
      <c r="P23" s="131">
        <f t="shared" si="9"/>
        <v>183.04166666666671</v>
      </c>
      <c r="Q23" s="232"/>
      <c r="R23" s="55"/>
      <c r="S23" s="55"/>
    </row>
    <row r="24" spans="1:19" ht="17.100000000000001" customHeight="1" x14ac:dyDescent="0.5">
      <c r="A24" s="229"/>
      <c r="B24" s="35" t="s">
        <v>33</v>
      </c>
      <c r="C24" s="127">
        <v>22416.2</v>
      </c>
      <c r="D24" s="127">
        <v>24360.12</v>
      </c>
      <c r="E24" s="127">
        <v>24332.03</v>
      </c>
      <c r="F24" s="127">
        <v>28100.78</v>
      </c>
      <c r="G24" s="127">
        <v>26247.200000000001</v>
      </c>
      <c r="H24" s="127">
        <v>25554.33</v>
      </c>
      <c r="I24" s="127">
        <v>35428.36</v>
      </c>
      <c r="J24" s="127">
        <v>21919.74</v>
      </c>
      <c r="K24" s="127">
        <v>22515.599999999999</v>
      </c>
      <c r="L24" s="127">
        <v>23157.14</v>
      </c>
      <c r="M24" s="127">
        <v>21356.799999999999</v>
      </c>
      <c r="N24" s="134">
        <v>35639.26</v>
      </c>
      <c r="O24" s="132">
        <f t="shared" si="8"/>
        <v>311027.56</v>
      </c>
      <c r="P24" s="132">
        <f t="shared" si="9"/>
        <v>25918.963333333333</v>
      </c>
      <c r="Q24" s="233">
        <f>-P24-P25</f>
        <v>-28637.713333333333</v>
      </c>
      <c r="R24" s="55"/>
      <c r="S24" s="55"/>
    </row>
    <row r="25" spans="1:19" ht="17.100000000000001" customHeight="1" x14ac:dyDescent="0.5">
      <c r="A25" s="229"/>
      <c r="B25" s="35" t="s">
        <v>34</v>
      </c>
      <c r="C25" s="127">
        <v>2840</v>
      </c>
      <c r="D25" s="127">
        <v>2617</v>
      </c>
      <c r="E25" s="127">
        <v>3518</v>
      </c>
      <c r="F25" s="127">
        <v>1800</v>
      </c>
      <c r="G25" s="127">
        <v>3204.5</v>
      </c>
      <c r="H25" s="127">
        <v>2777</v>
      </c>
      <c r="I25" s="127">
        <v>2327.5</v>
      </c>
      <c r="J25" s="127">
        <v>1988.5</v>
      </c>
      <c r="K25" s="127">
        <v>2552</v>
      </c>
      <c r="L25" s="127">
        <v>2572.4</v>
      </c>
      <c r="M25" s="127">
        <v>3525</v>
      </c>
      <c r="N25" s="127">
        <v>2903.1</v>
      </c>
      <c r="O25" s="132">
        <f t="shared" si="8"/>
        <v>32625</v>
      </c>
      <c r="P25" s="132">
        <f t="shared" si="9"/>
        <v>2718.75</v>
      </c>
      <c r="Q25" s="233"/>
      <c r="R25" s="55"/>
      <c r="S25" s="55"/>
    </row>
    <row r="26" spans="1:19" x14ac:dyDescent="0.5">
      <c r="A26" s="229"/>
      <c r="B26" s="37" t="s">
        <v>24</v>
      </c>
      <c r="C26" s="38">
        <f>C16-C22-C23-C24-C25</f>
        <v>3096.7599999999984</v>
      </c>
      <c r="D26" s="38">
        <f t="shared" ref="D26:O26" si="12">D16-D22-D23-D24-D25</f>
        <v>4595.2299999999996</v>
      </c>
      <c r="E26" s="38">
        <f t="shared" si="12"/>
        <v>3508.5500000000029</v>
      </c>
      <c r="F26" s="38">
        <f t="shared" si="12"/>
        <v>4730.7300000000032</v>
      </c>
      <c r="G26" s="38">
        <f t="shared" si="12"/>
        <v>9868.380000000001</v>
      </c>
      <c r="H26" s="38">
        <f t="shared" si="12"/>
        <v>2075.75</v>
      </c>
      <c r="I26" s="38">
        <f t="shared" si="12"/>
        <v>-5459.5800000000017</v>
      </c>
      <c r="J26" s="38">
        <f t="shared" si="12"/>
        <v>3312.2400000000016</v>
      </c>
      <c r="K26" s="38">
        <f t="shared" si="12"/>
        <v>2391.4800000000032</v>
      </c>
      <c r="L26" s="38">
        <f t="shared" si="12"/>
        <v>3076.2600000000034</v>
      </c>
      <c r="M26" s="38">
        <f t="shared" si="12"/>
        <v>6182.2800000000025</v>
      </c>
      <c r="N26" s="38">
        <f t="shared" si="12"/>
        <v>-7734.7800000000007</v>
      </c>
      <c r="O26" s="38">
        <f t="shared" si="12"/>
        <v>29643.299999999988</v>
      </c>
      <c r="P26" s="38">
        <f t="shared" si="9"/>
        <v>2470.2749999999992</v>
      </c>
      <c r="Q26" s="101"/>
      <c r="R26" s="55"/>
      <c r="S26" s="55"/>
    </row>
    <row r="27" spans="1:19" ht="17.100000000000001" customHeight="1" x14ac:dyDescent="0.5">
      <c r="A27" s="229"/>
      <c r="B27" s="40" t="s">
        <v>20</v>
      </c>
      <c r="C27" s="41">
        <f>C22</f>
        <v>290</v>
      </c>
      <c r="D27" s="41">
        <f t="shared" ref="D27:N28" si="13">D22</f>
        <v>500</v>
      </c>
      <c r="E27" s="41">
        <f t="shared" si="13"/>
        <v>2357.5</v>
      </c>
      <c r="F27" s="41">
        <f t="shared" si="13"/>
        <v>-50</v>
      </c>
      <c r="G27" s="41">
        <f t="shared" si="13"/>
        <v>2000</v>
      </c>
      <c r="H27" s="41">
        <f t="shared" si="13"/>
        <v>950</v>
      </c>
      <c r="I27" s="41">
        <f t="shared" si="13"/>
        <v>1500</v>
      </c>
      <c r="J27" s="41">
        <f t="shared" si="13"/>
        <v>100</v>
      </c>
      <c r="K27" s="41">
        <f t="shared" si="13"/>
        <v>1425</v>
      </c>
      <c r="L27" s="41">
        <f t="shared" si="13"/>
        <v>2400</v>
      </c>
      <c r="M27" s="41">
        <f t="shared" si="13"/>
        <v>1600</v>
      </c>
      <c r="N27" s="41">
        <f t="shared" si="13"/>
        <v>150</v>
      </c>
      <c r="O27" s="41">
        <f>SUM(C27:N27)</f>
        <v>13222.5</v>
      </c>
      <c r="P27" s="41">
        <f t="shared" si="9"/>
        <v>1101.875</v>
      </c>
      <c r="Q27" s="102"/>
      <c r="R27" s="55"/>
      <c r="S27" s="55"/>
    </row>
    <row r="28" spans="1:19" ht="17.100000000000001" customHeight="1" x14ac:dyDescent="0.5">
      <c r="A28" s="229"/>
      <c r="B28" s="40" t="s">
        <v>25</v>
      </c>
      <c r="C28" s="41">
        <f>C23</f>
        <v>522.65</v>
      </c>
      <c r="D28" s="41">
        <f t="shared" si="13"/>
        <v>154.65</v>
      </c>
      <c r="E28" s="41">
        <f t="shared" si="13"/>
        <v>151.91999999999999</v>
      </c>
      <c r="F28" s="41">
        <f t="shared" si="13"/>
        <v>151.91999999999999</v>
      </c>
      <c r="G28" s="41">
        <f t="shared" si="13"/>
        <v>151.91999999999999</v>
      </c>
      <c r="H28" s="41">
        <f t="shared" si="13"/>
        <v>151.91999999999999</v>
      </c>
      <c r="I28" s="41">
        <f t="shared" si="13"/>
        <v>151.91999999999999</v>
      </c>
      <c r="J28" s="41">
        <f t="shared" si="13"/>
        <v>151.91999999999999</v>
      </c>
      <c r="K28" s="41">
        <f t="shared" si="13"/>
        <v>151.91999999999999</v>
      </c>
      <c r="L28" s="41">
        <f t="shared" si="13"/>
        <v>151.91999999999999</v>
      </c>
      <c r="M28" s="41">
        <f t="shared" si="13"/>
        <v>151.91999999999999</v>
      </c>
      <c r="N28" s="41">
        <f t="shared" si="13"/>
        <v>151.91999999999999</v>
      </c>
      <c r="O28" s="41">
        <f>SUM(C28:N28)</f>
        <v>2196.5000000000005</v>
      </c>
      <c r="P28" s="41">
        <f t="shared" si="9"/>
        <v>183.04166666666671</v>
      </c>
      <c r="Q28" s="102"/>
      <c r="R28" s="55"/>
      <c r="S28" s="55"/>
    </row>
    <row r="29" spans="1:19" ht="17.100000000000001" customHeight="1" x14ac:dyDescent="0.5">
      <c r="A29" s="229"/>
      <c r="B29" s="51" t="s">
        <v>35</v>
      </c>
      <c r="C29" s="52">
        <f>C26+C27+C28</f>
        <v>3909.4099999999985</v>
      </c>
      <c r="D29" s="52">
        <f t="shared" ref="D29:O29" si="14">D26+D27+D28</f>
        <v>5249.8799999999992</v>
      </c>
      <c r="E29" s="52">
        <f t="shared" si="14"/>
        <v>6017.970000000003</v>
      </c>
      <c r="F29" s="52">
        <f t="shared" si="14"/>
        <v>4832.6500000000033</v>
      </c>
      <c r="G29" s="52">
        <f t="shared" si="14"/>
        <v>12020.300000000001</v>
      </c>
      <c r="H29" s="52">
        <f t="shared" si="14"/>
        <v>3177.67</v>
      </c>
      <c r="I29" s="52">
        <f t="shared" si="14"/>
        <v>-3807.6600000000017</v>
      </c>
      <c r="J29" s="52">
        <f t="shared" si="14"/>
        <v>3564.1600000000017</v>
      </c>
      <c r="K29" s="52">
        <f t="shared" si="14"/>
        <v>3968.4000000000033</v>
      </c>
      <c r="L29" s="52">
        <f t="shared" si="14"/>
        <v>5628.1800000000039</v>
      </c>
      <c r="M29" s="52">
        <f t="shared" si="14"/>
        <v>7934.2000000000025</v>
      </c>
      <c r="N29" s="52">
        <f t="shared" si="14"/>
        <v>-7432.8600000000006</v>
      </c>
      <c r="O29" s="76">
        <f t="shared" si="14"/>
        <v>45062.299999999988</v>
      </c>
      <c r="P29" s="76">
        <f t="shared" si="9"/>
        <v>3755.1916666666657</v>
      </c>
      <c r="Q29" s="103"/>
      <c r="R29" s="55"/>
      <c r="S29" s="55"/>
    </row>
    <row r="30" spans="1:19" ht="17.649999999999999" x14ac:dyDescent="0.5">
      <c r="A30" s="229"/>
      <c r="B30" s="106" t="s">
        <v>36</v>
      </c>
      <c r="C30" s="105">
        <f>C14+C29</f>
        <v>13309.249999999996</v>
      </c>
      <c r="D30" s="105">
        <f t="shared" ref="D30:O30" si="15">D14+D29</f>
        <v>5648.23</v>
      </c>
      <c r="E30" s="105">
        <f t="shared" si="15"/>
        <v>11794.80000000001</v>
      </c>
      <c r="F30" s="105">
        <f t="shared" si="15"/>
        <v>4812.1300000000047</v>
      </c>
      <c r="G30" s="105">
        <f t="shared" si="15"/>
        <v>16528.440000000006</v>
      </c>
      <c r="H30" s="105">
        <f t="shared" si="15"/>
        <v>13394.520000000004</v>
      </c>
      <c r="I30" s="105">
        <f t="shared" si="15"/>
        <v>-9797.7199999999975</v>
      </c>
      <c r="J30" s="105">
        <f t="shared" si="15"/>
        <v>13208.670000000006</v>
      </c>
      <c r="K30" s="105">
        <f t="shared" si="15"/>
        <v>21603.460000000006</v>
      </c>
      <c r="L30" s="105">
        <f t="shared" si="15"/>
        <v>9887.3600000000024</v>
      </c>
      <c r="M30" s="105">
        <f t="shared" si="15"/>
        <v>12372.570000000007</v>
      </c>
      <c r="N30" s="105">
        <f t="shared" si="15"/>
        <v>-18056.829999999994</v>
      </c>
      <c r="O30" s="167">
        <f t="shared" si="15"/>
        <v>94704.88</v>
      </c>
      <c r="P30" s="105">
        <f t="shared" si="9"/>
        <v>7892.0733333333337</v>
      </c>
      <c r="Q30" s="104"/>
      <c r="R30" s="55"/>
      <c r="S30" s="55"/>
    </row>
    <row r="31" spans="1:19" x14ac:dyDescent="0.5">
      <c r="A31" s="229"/>
      <c r="B31" s="108" t="s">
        <v>51</v>
      </c>
      <c r="C31" s="109">
        <f>C16/7</f>
        <v>4166.5157142857142</v>
      </c>
      <c r="D31" s="109">
        <f t="shared" ref="D31:H31" si="16">D16/7</f>
        <v>4603.8571428571431</v>
      </c>
      <c r="E31" s="109">
        <f t="shared" si="16"/>
        <v>4838.2857142857147</v>
      </c>
      <c r="F31" s="109">
        <f t="shared" si="16"/>
        <v>4961.9185714285713</v>
      </c>
      <c r="G31" s="109">
        <f t="shared" si="16"/>
        <v>5924.5714285714284</v>
      </c>
      <c r="H31" s="109">
        <f t="shared" si="16"/>
        <v>4501.2857142857147</v>
      </c>
      <c r="I31" s="109">
        <f>I16/6</f>
        <v>5658.0333333333328</v>
      </c>
      <c r="J31" s="109">
        <f>J16/6</f>
        <v>4578.7333333333336</v>
      </c>
      <c r="K31" s="109">
        <f t="shared" ref="K31:N31" si="17">K16/6</f>
        <v>4839.333333333333</v>
      </c>
      <c r="L31" s="109">
        <f t="shared" si="17"/>
        <v>5226.2866666666669</v>
      </c>
      <c r="M31" s="109">
        <f t="shared" si="17"/>
        <v>5469.333333333333</v>
      </c>
      <c r="N31" s="109">
        <f t="shared" si="17"/>
        <v>5184.916666666667</v>
      </c>
      <c r="O31" s="183">
        <f>AVERAGE(C31:N31)</f>
        <v>4996.0892460317464</v>
      </c>
      <c r="P31" s="65"/>
      <c r="Q31" s="65"/>
      <c r="R31" s="55"/>
      <c r="S31" s="55"/>
    </row>
    <row r="32" spans="1:19" x14ac:dyDescent="0.5">
      <c r="A32" s="55"/>
      <c r="B32" s="110" t="s">
        <v>42</v>
      </c>
      <c r="C32" s="111">
        <f>C16/10</f>
        <v>2916.5610000000001</v>
      </c>
      <c r="D32" s="111">
        <f t="shared" ref="D32:E32" si="18">D16/10</f>
        <v>3222.7</v>
      </c>
      <c r="E32" s="111">
        <f t="shared" si="18"/>
        <v>3386.8</v>
      </c>
      <c r="F32" s="111">
        <f>F16/9</f>
        <v>3859.27</v>
      </c>
      <c r="G32" s="111">
        <f>G16/9</f>
        <v>4608</v>
      </c>
      <c r="H32" s="111">
        <f>H16/9</f>
        <v>3501</v>
      </c>
      <c r="I32" s="111">
        <f>I16/8</f>
        <v>4243.5249999999996</v>
      </c>
      <c r="J32" s="111">
        <f t="shared" ref="J32:N32" si="19">J16/8</f>
        <v>3434.05</v>
      </c>
      <c r="K32" s="111">
        <f t="shared" si="19"/>
        <v>3629.5</v>
      </c>
      <c r="L32" s="111">
        <f t="shared" si="19"/>
        <v>3919.7150000000001</v>
      </c>
      <c r="M32" s="111">
        <f t="shared" si="19"/>
        <v>4102</v>
      </c>
      <c r="N32" s="111">
        <f t="shared" si="19"/>
        <v>3888.6875</v>
      </c>
      <c r="O32" s="183">
        <f>AVERAGE(C32:N32)</f>
        <v>3725.9840416666666</v>
      </c>
      <c r="P32" s="67"/>
      <c r="Q32" s="67"/>
      <c r="R32" s="55"/>
      <c r="S32" s="55"/>
    </row>
    <row r="33" spans="6:9" x14ac:dyDescent="0.25">
      <c r="F33" s="31"/>
    </row>
    <row r="34" spans="6:9" x14ac:dyDescent="0.25">
      <c r="F34" s="28"/>
      <c r="G34" s="29"/>
      <c r="H34" s="30"/>
      <c r="I34" s="30"/>
    </row>
    <row r="35" spans="6:9" x14ac:dyDescent="0.5">
      <c r="F35" s="31"/>
      <c r="G35"/>
      <c r="H35"/>
      <c r="I35"/>
    </row>
    <row r="36" spans="6:9" x14ac:dyDescent="0.25">
      <c r="F36" s="28"/>
      <c r="G36" s="29"/>
      <c r="H36" s="30"/>
      <c r="I36" s="30"/>
    </row>
    <row r="37" spans="6:9" x14ac:dyDescent="0.5">
      <c r="F37" s="31"/>
      <c r="G37"/>
      <c r="H37"/>
      <c r="I37"/>
    </row>
    <row r="38" spans="6:9" x14ac:dyDescent="0.25">
      <c r="F38" s="28"/>
      <c r="G38" s="29"/>
      <c r="H38" s="30"/>
      <c r="I38" s="30"/>
    </row>
    <row r="39" spans="6:9" x14ac:dyDescent="0.5">
      <c r="F39" s="31"/>
      <c r="G39"/>
      <c r="H39"/>
      <c r="I39"/>
    </row>
    <row r="40" spans="6:9" x14ac:dyDescent="0.25">
      <c r="F40" s="28"/>
      <c r="G40" s="29"/>
      <c r="H40" s="30"/>
      <c r="I40" s="30"/>
    </row>
  </sheetData>
  <mergeCells count="7">
    <mergeCell ref="A1:A31"/>
    <mergeCell ref="Q4:Q6"/>
    <mergeCell ref="Q7:Q8"/>
    <mergeCell ref="Q9:Q10"/>
    <mergeCell ref="Q17:Q21"/>
    <mergeCell ref="Q22:Q23"/>
    <mergeCell ref="Q24:Q25"/>
  </mergeCells>
  <pageMargins left="0.7" right="0.7" top="0.75" bottom="0.75" header="0.3" footer="0.3"/>
  <pageSetup paperSize="9" orientation="portrait" r:id="rId1"/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47"/>
  <sheetViews>
    <sheetView zoomScale="92" zoomScaleNormal="92" zoomScalePageLayoutView="112" workbookViewId="0">
      <selection activeCell="C30" sqref="C30:J30"/>
    </sheetView>
  </sheetViews>
  <sheetFormatPr baseColWidth="10" defaultColWidth="10.6875" defaultRowHeight="15.75" x14ac:dyDescent="0.5"/>
  <cols>
    <col min="1" max="1" width="0.6875" style="1" customWidth="1"/>
    <col min="2" max="2" width="29.4375" style="1" customWidth="1"/>
    <col min="3" max="10" width="10.6875" style="9" customWidth="1"/>
    <col min="11" max="11" width="11.125" style="9" customWidth="1"/>
    <col min="12" max="14" width="10.6875" style="9" customWidth="1"/>
    <col min="15" max="16" width="14.125" style="9" bestFit="1" customWidth="1"/>
    <col min="17" max="17" width="13" style="9" bestFit="1" customWidth="1"/>
    <col min="18" max="18" width="34.4375" style="1" customWidth="1"/>
    <col min="19" max="16384" width="10.6875" style="1"/>
  </cols>
  <sheetData>
    <row r="1" spans="1:21" ht="20" customHeight="1" x14ac:dyDescent="0.5">
      <c r="A1" s="229"/>
      <c r="B1" s="80" t="s">
        <v>52</v>
      </c>
      <c r="C1" s="81" t="s">
        <v>1</v>
      </c>
      <c r="D1" s="81" t="s">
        <v>2</v>
      </c>
      <c r="E1" s="81" t="s">
        <v>3</v>
      </c>
      <c r="F1" s="81" t="s">
        <v>4</v>
      </c>
      <c r="G1" s="82" t="s">
        <v>5</v>
      </c>
      <c r="H1" s="81" t="s">
        <v>6</v>
      </c>
      <c r="I1" s="81" t="s">
        <v>7</v>
      </c>
      <c r="J1" s="81" t="s">
        <v>8</v>
      </c>
      <c r="K1" s="81" t="s">
        <v>9</v>
      </c>
      <c r="L1" s="81" t="s">
        <v>10</v>
      </c>
      <c r="M1" s="81" t="s">
        <v>11</v>
      </c>
      <c r="N1" s="81" t="s">
        <v>12</v>
      </c>
      <c r="O1" s="81" t="s">
        <v>13</v>
      </c>
      <c r="P1" s="81" t="s">
        <v>14</v>
      </c>
      <c r="Q1" s="81" t="s">
        <v>15</v>
      </c>
      <c r="R1" s="55"/>
      <c r="S1" s="55"/>
    </row>
    <row r="2" spans="1:21" ht="3" customHeight="1" x14ac:dyDescent="0.5">
      <c r="A2" s="229"/>
      <c r="B2" s="47"/>
      <c r="C2" s="42"/>
      <c r="D2" s="42"/>
      <c r="E2" s="42"/>
      <c r="F2" s="42"/>
      <c r="G2" s="42"/>
      <c r="H2" s="42"/>
      <c r="I2" s="42"/>
      <c r="J2" s="42"/>
      <c r="K2" s="42"/>
      <c r="L2" s="42"/>
      <c r="M2" s="42"/>
      <c r="N2" s="42"/>
      <c r="O2" s="46"/>
      <c r="P2" s="46"/>
      <c r="Q2" s="46"/>
      <c r="R2" s="55"/>
      <c r="S2" s="55"/>
    </row>
    <row r="3" spans="1:21" ht="17.100000000000001" customHeight="1" x14ac:dyDescent="0.5">
      <c r="A3" s="229"/>
      <c r="B3" s="48" t="s">
        <v>16</v>
      </c>
      <c r="C3" s="49">
        <f>SUM(C4:C6)</f>
        <v>41253.72</v>
      </c>
      <c r="D3" s="49">
        <f t="shared" ref="D3:N3" si="0">SUM(D4:D6)</f>
        <v>32857.699999999997</v>
      </c>
      <c r="E3" s="49">
        <f t="shared" si="0"/>
        <v>40684.740000000005</v>
      </c>
      <c r="F3" s="49">
        <f t="shared" si="0"/>
        <v>41945.490000000005</v>
      </c>
      <c r="G3" s="49">
        <f t="shared" si="0"/>
        <v>43667.240000000005</v>
      </c>
      <c r="H3" s="49">
        <f t="shared" si="0"/>
        <v>42306.14</v>
      </c>
      <c r="I3" s="49">
        <f t="shared" si="0"/>
        <v>39550.69</v>
      </c>
      <c r="J3" s="49">
        <f t="shared" si="0"/>
        <v>61490.97</v>
      </c>
      <c r="K3" s="49">
        <f t="shared" si="0"/>
        <v>51473.91</v>
      </c>
      <c r="L3" s="49">
        <f t="shared" si="0"/>
        <v>36944.080000000002</v>
      </c>
      <c r="M3" s="49">
        <f t="shared" si="0"/>
        <v>33462.129999999997</v>
      </c>
      <c r="N3" s="49">
        <f t="shared" si="0"/>
        <v>37976.53</v>
      </c>
      <c r="O3" s="50">
        <f t="shared" ref="O3" si="1">SUM(C3:N3)</f>
        <v>503613.34000000008</v>
      </c>
      <c r="P3" s="50">
        <f t="shared" ref="P3:P14" si="2">O3/12</f>
        <v>41967.778333333343</v>
      </c>
      <c r="Q3" s="50">
        <f>P3</f>
        <v>41967.778333333343</v>
      </c>
      <c r="R3" s="55"/>
      <c r="S3" s="55"/>
    </row>
    <row r="4" spans="1:21" ht="14.55" customHeight="1" x14ac:dyDescent="0.5">
      <c r="A4" s="229"/>
      <c r="B4" s="74" t="s">
        <v>17</v>
      </c>
      <c r="C4" s="75">
        <v>20664.32</v>
      </c>
      <c r="D4" s="64">
        <v>16685.3</v>
      </c>
      <c r="E4" s="64">
        <v>22377.74</v>
      </c>
      <c r="F4" s="64">
        <v>24093.49</v>
      </c>
      <c r="G4" s="64">
        <v>25610.240000000002</v>
      </c>
      <c r="H4" s="64">
        <v>23474.14</v>
      </c>
      <c r="I4" s="64">
        <v>22478.69</v>
      </c>
      <c r="J4" s="64">
        <v>34848.97</v>
      </c>
      <c r="K4" s="64">
        <v>29061.91</v>
      </c>
      <c r="L4" s="64">
        <v>21632.080000000002</v>
      </c>
      <c r="M4" s="64">
        <v>16160.13</v>
      </c>
      <c r="N4" s="64">
        <v>20599.53</v>
      </c>
      <c r="O4" s="130">
        <f>SUM(C4:N4)</f>
        <v>277686.54000000004</v>
      </c>
      <c r="P4" s="130">
        <f t="shared" si="2"/>
        <v>23140.545000000002</v>
      </c>
      <c r="Q4" s="231">
        <f>SUM(P4:P6)</f>
        <v>41967.778333333335</v>
      </c>
      <c r="R4" s="55"/>
      <c r="S4" s="55"/>
      <c r="T4" s="1" t="s">
        <v>53</v>
      </c>
      <c r="U4" s="1" t="s">
        <v>54</v>
      </c>
    </row>
    <row r="5" spans="1:21" ht="14.55" customHeight="1" x14ac:dyDescent="0.5">
      <c r="A5" s="229"/>
      <c r="B5" s="74" t="s">
        <v>18</v>
      </c>
      <c r="C5" s="75">
        <v>7790</v>
      </c>
      <c r="D5" s="64">
        <v>3460</v>
      </c>
      <c r="E5" s="64">
        <v>5170</v>
      </c>
      <c r="F5" s="64">
        <v>4715</v>
      </c>
      <c r="G5" s="64">
        <v>4920</v>
      </c>
      <c r="H5" s="64">
        <v>5695</v>
      </c>
      <c r="I5" s="64">
        <v>3935</v>
      </c>
      <c r="J5" s="64">
        <v>13505</v>
      </c>
      <c r="K5" s="64">
        <v>9275</v>
      </c>
      <c r="L5" s="64">
        <v>2175</v>
      </c>
      <c r="M5" s="64">
        <v>4165</v>
      </c>
      <c r="N5" s="64">
        <v>4240</v>
      </c>
      <c r="O5" s="130">
        <f>SUM(C5:N5)</f>
        <v>69045</v>
      </c>
      <c r="P5" s="130">
        <f t="shared" si="2"/>
        <v>5753.75</v>
      </c>
      <c r="Q5" s="231"/>
      <c r="R5" s="55"/>
      <c r="S5" s="55"/>
      <c r="T5" s="1">
        <v>4200</v>
      </c>
      <c r="U5" s="1">
        <v>2700</v>
      </c>
    </row>
    <row r="6" spans="1:21" ht="14.55" customHeight="1" x14ac:dyDescent="0.5">
      <c r="A6" s="229"/>
      <c r="B6" s="74" t="s">
        <v>19</v>
      </c>
      <c r="C6" s="64">
        <v>12799.4</v>
      </c>
      <c r="D6" s="64">
        <v>12712.4</v>
      </c>
      <c r="E6" s="64">
        <v>13137</v>
      </c>
      <c r="F6" s="64">
        <v>13137</v>
      </c>
      <c r="G6" s="64">
        <v>13137</v>
      </c>
      <c r="H6" s="64">
        <v>13137</v>
      </c>
      <c r="I6" s="64">
        <v>13137</v>
      </c>
      <c r="J6" s="64">
        <v>13137</v>
      </c>
      <c r="K6" s="64">
        <v>13137</v>
      </c>
      <c r="L6" s="64">
        <v>13137</v>
      </c>
      <c r="M6" s="64">
        <v>13137</v>
      </c>
      <c r="N6" s="64">
        <v>13137</v>
      </c>
      <c r="O6" s="130">
        <f>SUM(C6:N6)</f>
        <v>156881.79999999999</v>
      </c>
      <c r="P6" s="130">
        <f t="shared" si="2"/>
        <v>13073.483333333332</v>
      </c>
      <c r="Q6" s="231"/>
      <c r="R6" s="55"/>
      <c r="S6" s="55"/>
      <c r="T6" s="1">
        <v>4200</v>
      </c>
      <c r="U6" s="1">
        <v>2700</v>
      </c>
    </row>
    <row r="7" spans="1:21" ht="14.55" customHeight="1" x14ac:dyDescent="0.5">
      <c r="A7" s="229"/>
      <c r="B7" s="32" t="s">
        <v>20</v>
      </c>
      <c r="C7" s="33">
        <v>769.77</v>
      </c>
      <c r="D7" s="33">
        <v>3720.5</v>
      </c>
      <c r="E7" s="34">
        <v>749.25</v>
      </c>
      <c r="F7" s="34">
        <v>1295.25</v>
      </c>
      <c r="G7" s="34">
        <v>1679.15</v>
      </c>
      <c r="H7" s="34">
        <v>1987.9</v>
      </c>
      <c r="I7" s="34">
        <v>4844.5</v>
      </c>
      <c r="J7" s="34">
        <v>2532.4499999999998</v>
      </c>
      <c r="K7" s="34">
        <v>2000</v>
      </c>
      <c r="L7" s="34">
        <v>150</v>
      </c>
      <c r="M7" s="34">
        <v>1500</v>
      </c>
      <c r="N7" s="34">
        <v>1500</v>
      </c>
      <c r="O7" s="131">
        <f>SUM(C7:N7)</f>
        <v>22728.77</v>
      </c>
      <c r="P7" s="131">
        <f t="shared" si="2"/>
        <v>1894.0641666666668</v>
      </c>
      <c r="Q7" s="232">
        <f>-P7-P8</f>
        <v>-2407.1816666666668</v>
      </c>
      <c r="R7" s="55"/>
      <c r="S7" s="55"/>
      <c r="T7" s="1">
        <v>4200</v>
      </c>
    </row>
    <row r="8" spans="1:21" ht="14.55" customHeight="1" x14ac:dyDescent="0.5">
      <c r="A8" s="229"/>
      <c r="B8" s="32" t="s">
        <v>25</v>
      </c>
      <c r="C8" s="34">
        <v>515.4</v>
      </c>
      <c r="D8" s="34">
        <v>512.91</v>
      </c>
      <c r="E8" s="34">
        <v>512.91</v>
      </c>
      <c r="F8" s="34">
        <v>512.91</v>
      </c>
      <c r="G8" s="34">
        <v>512.91</v>
      </c>
      <c r="H8" s="34">
        <v>512.91</v>
      </c>
      <c r="I8" s="34">
        <v>512.91</v>
      </c>
      <c r="J8" s="34">
        <v>512.91</v>
      </c>
      <c r="K8" s="34">
        <v>512.91</v>
      </c>
      <c r="L8" s="34">
        <v>512.91</v>
      </c>
      <c r="M8" s="34">
        <v>512.91</v>
      </c>
      <c r="N8" s="34">
        <v>512.91</v>
      </c>
      <c r="O8" s="131">
        <f>SUM(C8:N8)</f>
        <v>6157.4099999999989</v>
      </c>
      <c r="P8" s="131">
        <f t="shared" si="2"/>
        <v>513.11749999999995</v>
      </c>
      <c r="Q8" s="232"/>
      <c r="R8" s="55"/>
      <c r="S8" s="55"/>
      <c r="T8" s="1">
        <v>4200</v>
      </c>
    </row>
    <row r="9" spans="1:21" ht="14.55" customHeight="1" x14ac:dyDescent="0.5">
      <c r="A9" s="229"/>
      <c r="B9" s="35" t="s">
        <v>55</v>
      </c>
      <c r="C9" s="36">
        <v>30720.82</v>
      </c>
      <c r="D9" s="36">
        <v>27371</v>
      </c>
      <c r="E9" s="36">
        <v>30289.89</v>
      </c>
      <c r="F9" s="36">
        <v>28491.65</v>
      </c>
      <c r="G9" s="36">
        <v>28989.06</v>
      </c>
      <c r="H9" s="36">
        <v>30003.77</v>
      </c>
      <c r="I9" s="36">
        <v>40350.730000000003</v>
      </c>
      <c r="J9" s="36">
        <v>29274.42</v>
      </c>
      <c r="K9" s="36">
        <v>31240.02</v>
      </c>
      <c r="L9" s="36">
        <v>28983.49</v>
      </c>
      <c r="M9" s="36">
        <v>31407.21</v>
      </c>
      <c r="N9" s="3">
        <v>41479.97</v>
      </c>
      <c r="O9" s="132">
        <f t="shared" ref="O9:O10" si="3">SUM(C9:N9)</f>
        <v>378602.03</v>
      </c>
      <c r="P9" s="132">
        <f t="shared" si="2"/>
        <v>31550.16916666667</v>
      </c>
      <c r="Q9" s="233">
        <f>-P9-P10</f>
        <v>-34325.977500000001</v>
      </c>
      <c r="R9" s="55"/>
      <c r="S9" s="55"/>
      <c r="T9" s="229">
        <v>22200</v>
      </c>
      <c r="U9" s="229"/>
    </row>
    <row r="10" spans="1:21" ht="14.55" customHeight="1" x14ac:dyDescent="0.5">
      <c r="A10" s="229"/>
      <c r="B10" s="35" t="s">
        <v>23</v>
      </c>
      <c r="C10" s="36">
        <v>2809</v>
      </c>
      <c r="D10" s="36">
        <v>1635</v>
      </c>
      <c r="E10" s="36">
        <v>2305.5</v>
      </c>
      <c r="F10" s="36">
        <v>2883.5</v>
      </c>
      <c r="G10" s="36">
        <v>3002.7</v>
      </c>
      <c r="H10" s="36">
        <v>2551</v>
      </c>
      <c r="I10" s="36">
        <v>4653</v>
      </c>
      <c r="J10" s="36">
        <v>3728</v>
      </c>
      <c r="K10" s="36">
        <v>2451</v>
      </c>
      <c r="L10" s="36">
        <v>2960</v>
      </c>
      <c r="M10" s="36">
        <v>2007</v>
      </c>
      <c r="N10" s="36">
        <v>2324</v>
      </c>
      <c r="O10" s="132">
        <f t="shared" si="3"/>
        <v>33309.699999999997</v>
      </c>
      <c r="P10" s="132">
        <f t="shared" si="2"/>
        <v>2775.8083333333329</v>
      </c>
      <c r="Q10" s="233"/>
      <c r="R10" s="55"/>
      <c r="S10" s="55"/>
      <c r="T10" s="229">
        <v>12</v>
      </c>
      <c r="U10" s="229"/>
    </row>
    <row r="11" spans="1:21" ht="17.100000000000001" customHeight="1" x14ac:dyDescent="0.5">
      <c r="A11" s="229"/>
      <c r="B11" s="37" t="s">
        <v>24</v>
      </c>
      <c r="C11" s="38">
        <f>C3-C7-C8-C9-C10</f>
        <v>6438.7300000000032</v>
      </c>
      <c r="D11" s="38">
        <f t="shared" ref="D11:N11" si="4">D3-D7-D8-D9-D10</f>
        <v>-381.71000000000276</v>
      </c>
      <c r="E11" s="38">
        <f t="shared" si="4"/>
        <v>6827.1900000000023</v>
      </c>
      <c r="F11" s="38">
        <f t="shared" si="4"/>
        <v>8762.18</v>
      </c>
      <c r="G11" s="38">
        <f t="shared" si="4"/>
        <v>9483.4199999999983</v>
      </c>
      <c r="H11" s="38">
        <f t="shared" si="4"/>
        <v>7250.559999999994</v>
      </c>
      <c r="I11" s="38">
        <f t="shared" si="4"/>
        <v>-10810.450000000004</v>
      </c>
      <c r="J11" s="38">
        <f t="shared" si="4"/>
        <v>25443.190000000002</v>
      </c>
      <c r="K11" s="38">
        <f t="shared" si="4"/>
        <v>15269.98</v>
      </c>
      <c r="L11" s="38">
        <f t="shared" si="4"/>
        <v>4337.6799999999967</v>
      </c>
      <c r="M11" s="38">
        <f t="shared" si="4"/>
        <v>-1964.9900000000016</v>
      </c>
      <c r="N11" s="38">
        <f t="shared" si="4"/>
        <v>-7840.3500000000058</v>
      </c>
      <c r="O11" s="38">
        <f>O3-O7-O8-O9-O10</f>
        <v>62815.430000000066</v>
      </c>
      <c r="P11" s="38">
        <f t="shared" si="2"/>
        <v>5234.6191666666718</v>
      </c>
      <c r="Q11" s="101"/>
      <c r="R11" s="55"/>
      <c r="S11" s="55"/>
      <c r="T11" s="229">
        <f>T9*T10</f>
        <v>266400</v>
      </c>
      <c r="U11" s="229"/>
    </row>
    <row r="12" spans="1:21" ht="17.100000000000001" customHeight="1" x14ac:dyDescent="0.5">
      <c r="A12" s="229"/>
      <c r="B12" s="40" t="s">
        <v>20</v>
      </c>
      <c r="C12" s="41">
        <f>C7</f>
        <v>769.77</v>
      </c>
      <c r="D12" s="41">
        <f t="shared" ref="D12:N13" si="5">D7</f>
        <v>3720.5</v>
      </c>
      <c r="E12" s="41">
        <f t="shared" si="5"/>
        <v>749.25</v>
      </c>
      <c r="F12" s="41">
        <f t="shared" si="5"/>
        <v>1295.25</v>
      </c>
      <c r="G12" s="41">
        <f t="shared" si="5"/>
        <v>1679.15</v>
      </c>
      <c r="H12" s="41">
        <f t="shared" si="5"/>
        <v>1987.9</v>
      </c>
      <c r="I12" s="41">
        <f t="shared" si="5"/>
        <v>4844.5</v>
      </c>
      <c r="J12" s="41">
        <f t="shared" si="5"/>
        <v>2532.4499999999998</v>
      </c>
      <c r="K12" s="41">
        <f t="shared" si="5"/>
        <v>2000</v>
      </c>
      <c r="L12" s="41">
        <f t="shared" si="5"/>
        <v>150</v>
      </c>
      <c r="M12" s="41">
        <f t="shared" si="5"/>
        <v>1500</v>
      </c>
      <c r="N12" s="41">
        <f t="shared" si="5"/>
        <v>1500</v>
      </c>
      <c r="O12" s="41">
        <f>SUM(C12:N12)</f>
        <v>22728.77</v>
      </c>
      <c r="P12" s="41">
        <f t="shared" si="2"/>
        <v>1894.0641666666668</v>
      </c>
      <c r="Q12" s="102"/>
      <c r="R12" s="55"/>
      <c r="S12" s="55"/>
    </row>
    <row r="13" spans="1:21" ht="17.100000000000001" customHeight="1" x14ac:dyDescent="0.5">
      <c r="A13" s="229"/>
      <c r="B13" s="40" t="s">
        <v>25</v>
      </c>
      <c r="C13" s="41">
        <f>C8</f>
        <v>515.4</v>
      </c>
      <c r="D13" s="41">
        <f t="shared" si="5"/>
        <v>512.91</v>
      </c>
      <c r="E13" s="41">
        <f t="shared" si="5"/>
        <v>512.91</v>
      </c>
      <c r="F13" s="41">
        <f t="shared" si="5"/>
        <v>512.91</v>
      </c>
      <c r="G13" s="41">
        <f t="shared" si="5"/>
        <v>512.91</v>
      </c>
      <c r="H13" s="41">
        <f t="shared" si="5"/>
        <v>512.91</v>
      </c>
      <c r="I13" s="41">
        <f t="shared" si="5"/>
        <v>512.91</v>
      </c>
      <c r="J13" s="41">
        <f t="shared" si="5"/>
        <v>512.91</v>
      </c>
      <c r="K13" s="41">
        <f t="shared" si="5"/>
        <v>512.91</v>
      </c>
      <c r="L13" s="41">
        <f t="shared" si="5"/>
        <v>512.91</v>
      </c>
      <c r="M13" s="41">
        <f t="shared" si="5"/>
        <v>512.91</v>
      </c>
      <c r="N13" s="41">
        <f t="shared" si="5"/>
        <v>512.91</v>
      </c>
      <c r="O13" s="41">
        <f>SUM(C13:N13)</f>
        <v>6157.4099999999989</v>
      </c>
      <c r="P13" s="41">
        <f t="shared" si="2"/>
        <v>513.11749999999995</v>
      </c>
      <c r="Q13" s="102"/>
      <c r="R13" s="55"/>
      <c r="S13" s="55"/>
    </row>
    <row r="14" spans="1:21" ht="17.100000000000001" customHeight="1" x14ac:dyDescent="0.5">
      <c r="A14" s="229"/>
      <c r="B14" s="51" t="s">
        <v>26</v>
      </c>
      <c r="C14" s="52">
        <f>C11+C12+C13</f>
        <v>7723.9000000000033</v>
      </c>
      <c r="D14" s="52">
        <f t="shared" ref="D14:O14" si="6">D11+D12+D13</f>
        <v>3851.6999999999971</v>
      </c>
      <c r="E14" s="52">
        <f t="shared" si="6"/>
        <v>8089.3500000000022</v>
      </c>
      <c r="F14" s="52">
        <f t="shared" si="6"/>
        <v>10570.34</v>
      </c>
      <c r="G14" s="52">
        <f t="shared" si="6"/>
        <v>11675.479999999998</v>
      </c>
      <c r="H14" s="52">
        <f t="shared" si="6"/>
        <v>9751.3699999999935</v>
      </c>
      <c r="I14" s="52">
        <f t="shared" si="6"/>
        <v>-5453.0400000000045</v>
      </c>
      <c r="J14" s="52">
        <f t="shared" si="6"/>
        <v>28488.550000000003</v>
      </c>
      <c r="K14" s="52">
        <f t="shared" si="6"/>
        <v>17782.89</v>
      </c>
      <c r="L14" s="52">
        <f t="shared" si="6"/>
        <v>5000.5899999999965</v>
      </c>
      <c r="M14" s="52">
        <f t="shared" si="6"/>
        <v>47.919999999998367</v>
      </c>
      <c r="N14" s="52">
        <f t="shared" si="6"/>
        <v>-5827.440000000006</v>
      </c>
      <c r="O14" s="76">
        <f t="shared" si="6"/>
        <v>91701.610000000073</v>
      </c>
      <c r="P14" s="76">
        <f t="shared" si="2"/>
        <v>7641.8008333333391</v>
      </c>
      <c r="Q14" s="103"/>
      <c r="R14" s="55"/>
      <c r="S14" s="55"/>
    </row>
    <row r="15" spans="1:21" ht="12" customHeight="1" x14ac:dyDescent="0.5">
      <c r="A15" s="229"/>
      <c r="B15" s="47"/>
      <c r="C15" s="42"/>
      <c r="D15" s="42"/>
      <c r="E15" s="42"/>
      <c r="F15" s="42"/>
      <c r="G15" s="42"/>
      <c r="H15" s="42"/>
      <c r="I15" s="77"/>
      <c r="J15" s="42"/>
      <c r="K15" s="42"/>
      <c r="L15" s="42"/>
      <c r="M15" s="42"/>
      <c r="N15" s="42"/>
      <c r="O15" s="46"/>
      <c r="P15" s="46"/>
      <c r="Q15" s="46"/>
      <c r="R15" s="55"/>
      <c r="S15" s="55"/>
    </row>
    <row r="16" spans="1:21" ht="17.100000000000001" customHeight="1" x14ac:dyDescent="0.5">
      <c r="A16" s="229"/>
      <c r="B16" s="48" t="s">
        <v>27</v>
      </c>
      <c r="C16" s="49">
        <f>SUM(C17:C21)</f>
        <v>33308.300000000003</v>
      </c>
      <c r="D16" s="49">
        <f t="shared" ref="D16:N16" si="7">SUM(D17:D21)</f>
        <v>35361</v>
      </c>
      <c r="E16" s="49">
        <f t="shared" si="7"/>
        <v>43448</v>
      </c>
      <c r="F16" s="49">
        <f t="shared" si="7"/>
        <v>35351</v>
      </c>
      <c r="G16" s="49">
        <f t="shared" si="7"/>
        <v>34243</v>
      </c>
      <c r="H16" s="49">
        <f t="shared" si="7"/>
        <v>42343</v>
      </c>
      <c r="I16" s="49">
        <f t="shared" si="7"/>
        <v>41560.15</v>
      </c>
      <c r="J16" s="49">
        <f t="shared" si="7"/>
        <v>29412</v>
      </c>
      <c r="K16" s="49">
        <f t="shared" si="7"/>
        <v>32585</v>
      </c>
      <c r="L16" s="49">
        <f t="shared" si="7"/>
        <v>33292</v>
      </c>
      <c r="M16" s="49">
        <f t="shared" si="7"/>
        <v>33212</v>
      </c>
      <c r="N16" s="49">
        <f t="shared" si="7"/>
        <v>31543</v>
      </c>
      <c r="O16" s="50">
        <f t="shared" ref="O16" si="8">SUM(C16:N16)</f>
        <v>425658.45</v>
      </c>
      <c r="P16" s="50">
        <f t="shared" ref="P16:P30" si="9">O16/12</f>
        <v>35471.537499999999</v>
      </c>
      <c r="Q16" s="50">
        <f>P16</f>
        <v>35471.537499999999</v>
      </c>
      <c r="R16" s="55"/>
      <c r="S16" s="55"/>
    </row>
    <row r="17" spans="1:19" ht="14.55" customHeight="1" x14ac:dyDescent="0.5">
      <c r="A17" s="229"/>
      <c r="B17" s="74" t="s">
        <v>28</v>
      </c>
      <c r="C17" s="75">
        <v>4910</v>
      </c>
      <c r="D17" s="64">
        <v>4359</v>
      </c>
      <c r="E17" s="64">
        <v>5960</v>
      </c>
      <c r="F17" s="64">
        <v>5509</v>
      </c>
      <c r="G17" s="64">
        <v>6760</v>
      </c>
      <c r="H17" s="64">
        <v>6070</v>
      </c>
      <c r="I17" s="64">
        <v>5098</v>
      </c>
      <c r="J17" s="64">
        <v>3942</v>
      </c>
      <c r="K17" s="64">
        <v>4114</v>
      </c>
      <c r="L17" s="64">
        <v>4018</v>
      </c>
      <c r="M17" s="64">
        <v>4137</v>
      </c>
      <c r="N17" s="64">
        <v>4869</v>
      </c>
      <c r="O17" s="130">
        <f t="shared" ref="O17:O23" si="10">SUM(C17:N17)</f>
        <v>59746</v>
      </c>
      <c r="P17" s="130">
        <f t="shared" si="9"/>
        <v>4978.833333333333</v>
      </c>
      <c r="Q17" s="231">
        <f>SUM(P17:P21)</f>
        <v>35471.537499999999</v>
      </c>
      <c r="R17" s="55"/>
      <c r="S17" s="55"/>
    </row>
    <row r="18" spans="1:19" ht="14.55" customHeight="1" x14ac:dyDescent="0.5">
      <c r="A18" s="229"/>
      <c r="B18" s="107" t="s">
        <v>29</v>
      </c>
      <c r="C18" s="75">
        <v>18800</v>
      </c>
      <c r="D18" s="64">
        <v>18900</v>
      </c>
      <c r="E18" s="64">
        <v>18850</v>
      </c>
      <c r="F18" s="64">
        <v>16900</v>
      </c>
      <c r="G18" s="64">
        <v>15700</v>
      </c>
      <c r="H18" s="64">
        <v>18300</v>
      </c>
      <c r="I18" s="64">
        <v>17900</v>
      </c>
      <c r="J18" s="64">
        <v>13500</v>
      </c>
      <c r="K18" s="64">
        <v>18900</v>
      </c>
      <c r="L18" s="64">
        <v>18900</v>
      </c>
      <c r="M18" s="64">
        <v>18900</v>
      </c>
      <c r="N18" s="64">
        <v>18000</v>
      </c>
      <c r="O18" s="130">
        <f t="shared" si="10"/>
        <v>213550</v>
      </c>
      <c r="P18" s="130">
        <f t="shared" si="9"/>
        <v>17795.833333333332</v>
      </c>
      <c r="Q18" s="231"/>
      <c r="R18" s="55"/>
      <c r="S18" s="55"/>
    </row>
    <row r="19" spans="1:19" ht="14.55" customHeight="1" x14ac:dyDescent="0.5">
      <c r="A19" s="229"/>
      <c r="B19" s="107" t="s">
        <v>30</v>
      </c>
      <c r="C19" s="75">
        <v>732.3</v>
      </c>
      <c r="D19" s="64">
        <v>4200</v>
      </c>
      <c r="E19" s="64">
        <v>7700</v>
      </c>
      <c r="F19" s="64">
        <v>2231</v>
      </c>
      <c r="G19" s="64">
        <v>4200</v>
      </c>
      <c r="H19" s="64">
        <v>4200</v>
      </c>
      <c r="I19" s="64">
        <v>7645.15</v>
      </c>
      <c r="J19" s="64">
        <v>4200</v>
      </c>
      <c r="K19" s="64">
        <v>4200</v>
      </c>
      <c r="L19" s="64">
        <v>4200</v>
      </c>
      <c r="M19" s="64">
        <v>4200</v>
      </c>
      <c r="N19" s="64">
        <v>4200</v>
      </c>
      <c r="O19" s="130">
        <f t="shared" si="10"/>
        <v>51908.45</v>
      </c>
      <c r="P19" s="130">
        <f t="shared" si="9"/>
        <v>4325.7041666666664</v>
      </c>
      <c r="Q19" s="231"/>
      <c r="R19" s="55"/>
      <c r="S19" s="55"/>
    </row>
    <row r="20" spans="1:19" ht="14.55" customHeight="1" x14ac:dyDescent="0.5">
      <c r="A20" s="229"/>
      <c r="B20" s="74" t="s">
        <v>31</v>
      </c>
      <c r="C20" s="75">
        <v>6665</v>
      </c>
      <c r="D20" s="64">
        <v>5149</v>
      </c>
      <c r="E20" s="64">
        <v>6273</v>
      </c>
      <c r="F20" s="64">
        <v>6773</v>
      </c>
      <c r="G20" s="64">
        <v>7583</v>
      </c>
      <c r="H20" s="64">
        <v>8675</v>
      </c>
      <c r="I20" s="64">
        <v>10917</v>
      </c>
      <c r="J20" s="64">
        <v>5349</v>
      </c>
      <c r="K20" s="99">
        <v>3935</v>
      </c>
      <c r="L20" s="64">
        <v>4794</v>
      </c>
      <c r="M20" s="64">
        <v>160</v>
      </c>
      <c r="N20" s="64">
        <v>3016</v>
      </c>
      <c r="O20" s="130">
        <f t="shared" si="10"/>
        <v>69289</v>
      </c>
      <c r="P20" s="130">
        <f t="shared" si="9"/>
        <v>5774.083333333333</v>
      </c>
      <c r="Q20" s="231"/>
      <c r="R20" s="55"/>
      <c r="S20" s="55"/>
    </row>
    <row r="21" spans="1:19" ht="14.55" customHeight="1" x14ac:dyDescent="0.5">
      <c r="A21" s="229"/>
      <c r="B21" s="74" t="s">
        <v>32</v>
      </c>
      <c r="C21" s="75">
        <v>2201</v>
      </c>
      <c r="D21" s="64">
        <v>2753</v>
      </c>
      <c r="E21" s="64">
        <v>4665</v>
      </c>
      <c r="F21" s="64">
        <v>3938</v>
      </c>
      <c r="G21" s="64">
        <v>0</v>
      </c>
      <c r="H21" s="64">
        <v>5098</v>
      </c>
      <c r="I21" s="64">
        <v>0</v>
      </c>
      <c r="J21" s="64">
        <v>2421</v>
      </c>
      <c r="K21" s="99">
        <v>1436</v>
      </c>
      <c r="L21" s="64">
        <v>1380</v>
      </c>
      <c r="M21" s="64">
        <v>5815</v>
      </c>
      <c r="N21" s="64">
        <v>1458</v>
      </c>
      <c r="O21" s="130">
        <f t="shared" si="10"/>
        <v>31165</v>
      </c>
      <c r="P21" s="130">
        <f t="shared" si="9"/>
        <v>2597.0833333333335</v>
      </c>
      <c r="Q21" s="231"/>
      <c r="R21" s="55"/>
      <c r="S21" s="55"/>
    </row>
    <row r="22" spans="1:19" ht="14.55" customHeight="1" x14ac:dyDescent="0.5">
      <c r="A22" s="229"/>
      <c r="B22" s="32" t="s">
        <v>20</v>
      </c>
      <c r="C22" s="33">
        <v>769.77</v>
      </c>
      <c r="D22" s="33">
        <v>3720.5</v>
      </c>
      <c r="E22" s="34">
        <v>749.25</v>
      </c>
      <c r="F22" s="34">
        <v>1295.25</v>
      </c>
      <c r="G22" s="34">
        <v>1679.15</v>
      </c>
      <c r="H22" s="34">
        <v>1987.9</v>
      </c>
      <c r="I22" s="34">
        <v>4844.5</v>
      </c>
      <c r="J22" s="34">
        <v>2532.4499999999998</v>
      </c>
      <c r="K22" s="34">
        <v>1642.2</v>
      </c>
      <c r="L22" s="34">
        <v>150</v>
      </c>
      <c r="M22" s="34">
        <v>1500</v>
      </c>
      <c r="N22" s="34">
        <v>1500</v>
      </c>
      <c r="O22" s="131">
        <f t="shared" si="10"/>
        <v>22370.97</v>
      </c>
      <c r="P22" s="131">
        <f t="shared" si="9"/>
        <v>1864.2475000000002</v>
      </c>
      <c r="Q22" s="232">
        <f>-P22-P23</f>
        <v>-2377.3650000000002</v>
      </c>
      <c r="R22" s="55"/>
      <c r="S22" s="55"/>
    </row>
    <row r="23" spans="1:19" ht="14.55" customHeight="1" x14ac:dyDescent="0.5">
      <c r="A23" s="229"/>
      <c r="B23" s="32" t="s">
        <v>25</v>
      </c>
      <c r="C23" s="34">
        <v>515.4</v>
      </c>
      <c r="D23" s="34">
        <v>512.91</v>
      </c>
      <c r="E23" s="34">
        <v>512.91</v>
      </c>
      <c r="F23" s="34">
        <v>512.91</v>
      </c>
      <c r="G23" s="34">
        <v>512.91</v>
      </c>
      <c r="H23" s="34">
        <v>512.91</v>
      </c>
      <c r="I23" s="34">
        <v>512.91</v>
      </c>
      <c r="J23" s="34">
        <v>512.91</v>
      </c>
      <c r="K23" s="34">
        <v>512.91</v>
      </c>
      <c r="L23" s="34">
        <v>512.91</v>
      </c>
      <c r="M23" s="34">
        <v>512.91</v>
      </c>
      <c r="N23" s="34">
        <v>512.91</v>
      </c>
      <c r="O23" s="131">
        <f t="shared" si="10"/>
        <v>6157.4099999999989</v>
      </c>
      <c r="P23" s="131">
        <f t="shared" si="9"/>
        <v>513.11749999999995</v>
      </c>
      <c r="Q23" s="232"/>
      <c r="R23" s="55"/>
      <c r="S23" s="55"/>
    </row>
    <row r="24" spans="1:19" ht="14.55" customHeight="1" x14ac:dyDescent="0.5">
      <c r="A24" s="229"/>
      <c r="B24" s="35" t="s">
        <v>56</v>
      </c>
      <c r="C24" s="36">
        <v>22976.89</v>
      </c>
      <c r="D24" s="36">
        <v>26283.67</v>
      </c>
      <c r="E24" s="36">
        <v>26973.59</v>
      </c>
      <c r="F24" s="36">
        <v>28482.35</v>
      </c>
      <c r="G24" s="36">
        <v>28423.39</v>
      </c>
      <c r="H24" s="36">
        <v>29902.94</v>
      </c>
      <c r="I24" s="36">
        <v>38119.949999999997</v>
      </c>
      <c r="J24" s="36">
        <v>26409.9</v>
      </c>
      <c r="K24" s="36">
        <v>28614.47</v>
      </c>
      <c r="L24" s="36">
        <v>25613.57</v>
      </c>
      <c r="M24" s="36">
        <v>24182.080000000002</v>
      </c>
      <c r="N24" s="3">
        <v>37043.800000000003</v>
      </c>
      <c r="O24" s="132">
        <f t="shared" ref="O24:O25" si="11">SUM(C24:N24)</f>
        <v>343026.60000000003</v>
      </c>
      <c r="P24" s="132">
        <f t="shared" si="9"/>
        <v>28585.550000000003</v>
      </c>
      <c r="Q24" s="233">
        <f>-P24-P25</f>
        <v>-31351.083333333336</v>
      </c>
      <c r="R24" s="55"/>
      <c r="S24" s="55"/>
    </row>
    <row r="25" spans="1:19" ht="14.55" customHeight="1" x14ac:dyDescent="0.5">
      <c r="A25" s="229"/>
      <c r="B25" s="35" t="s">
        <v>34</v>
      </c>
      <c r="C25" s="36">
        <v>3441</v>
      </c>
      <c r="D25" s="36">
        <v>2596</v>
      </c>
      <c r="E25" s="36">
        <v>3515</v>
      </c>
      <c r="F25" s="36">
        <v>3418</v>
      </c>
      <c r="G25" s="36">
        <v>2956</v>
      </c>
      <c r="H25" s="36">
        <v>4073.2</v>
      </c>
      <c r="I25" s="36">
        <v>2409.6</v>
      </c>
      <c r="J25" s="36">
        <v>1822.4</v>
      </c>
      <c r="K25" s="36">
        <v>1624.2</v>
      </c>
      <c r="L25" s="36">
        <v>1847</v>
      </c>
      <c r="M25" s="36">
        <v>3121</v>
      </c>
      <c r="N25" s="36">
        <v>2363</v>
      </c>
      <c r="O25" s="132">
        <f t="shared" si="11"/>
        <v>33186.400000000001</v>
      </c>
      <c r="P25" s="132">
        <f t="shared" si="9"/>
        <v>2765.5333333333333</v>
      </c>
      <c r="Q25" s="233"/>
      <c r="R25" s="55"/>
      <c r="S25" s="55"/>
    </row>
    <row r="26" spans="1:19" ht="17.100000000000001" customHeight="1" x14ac:dyDescent="0.5">
      <c r="A26" s="229"/>
      <c r="B26" s="37" t="s">
        <v>24</v>
      </c>
      <c r="C26" s="38">
        <f>C16-C22-C23-C24-C25</f>
        <v>5605.2400000000016</v>
      </c>
      <c r="D26" s="38">
        <f t="shared" ref="D26:O26" si="12">D16-D22-D23-D24-D25</f>
        <v>2247.9200000000019</v>
      </c>
      <c r="E26" s="38">
        <f t="shared" si="12"/>
        <v>11697.249999999996</v>
      </c>
      <c r="F26" s="38">
        <f t="shared" si="12"/>
        <v>1642.489999999998</v>
      </c>
      <c r="G26" s="38">
        <f t="shared" si="12"/>
        <v>671.54999999999927</v>
      </c>
      <c r="H26" s="38">
        <f t="shared" si="12"/>
        <v>5866.0499999999965</v>
      </c>
      <c r="I26" s="38">
        <f t="shared" si="12"/>
        <v>-4326.8099999999995</v>
      </c>
      <c r="J26" s="38">
        <f t="shared" si="12"/>
        <v>-1865.6600000000021</v>
      </c>
      <c r="K26" s="38">
        <f t="shared" si="12"/>
        <v>191.21999999999821</v>
      </c>
      <c r="L26" s="38">
        <f t="shared" si="12"/>
        <v>5168.5200000000004</v>
      </c>
      <c r="M26" s="38">
        <f t="shared" si="12"/>
        <v>3896.0099999999984</v>
      </c>
      <c r="N26" s="38">
        <f t="shared" si="12"/>
        <v>-9876.7100000000028</v>
      </c>
      <c r="O26" s="38">
        <f t="shared" si="12"/>
        <v>20917.069999999971</v>
      </c>
      <c r="P26" s="38">
        <f t="shared" si="9"/>
        <v>1743.0891666666641</v>
      </c>
      <c r="Q26" s="101"/>
      <c r="R26" s="55"/>
      <c r="S26" s="55"/>
    </row>
    <row r="27" spans="1:19" ht="17.100000000000001" customHeight="1" x14ac:dyDescent="0.5">
      <c r="A27" s="229"/>
      <c r="B27" s="40" t="s">
        <v>20</v>
      </c>
      <c r="C27" s="41">
        <f>C22</f>
        <v>769.77</v>
      </c>
      <c r="D27" s="41">
        <f t="shared" ref="D27:N28" si="13">D22</f>
        <v>3720.5</v>
      </c>
      <c r="E27" s="41">
        <f t="shared" si="13"/>
        <v>749.25</v>
      </c>
      <c r="F27" s="41">
        <f t="shared" si="13"/>
        <v>1295.25</v>
      </c>
      <c r="G27" s="41">
        <f t="shared" si="13"/>
        <v>1679.15</v>
      </c>
      <c r="H27" s="41">
        <f t="shared" si="13"/>
        <v>1987.9</v>
      </c>
      <c r="I27" s="41">
        <f t="shared" si="13"/>
        <v>4844.5</v>
      </c>
      <c r="J27" s="41">
        <f t="shared" si="13"/>
        <v>2532.4499999999998</v>
      </c>
      <c r="K27" s="41">
        <f t="shared" si="13"/>
        <v>1642.2</v>
      </c>
      <c r="L27" s="41">
        <f t="shared" si="13"/>
        <v>150</v>
      </c>
      <c r="M27" s="41">
        <f t="shared" si="13"/>
        <v>1500</v>
      </c>
      <c r="N27" s="41">
        <f t="shared" si="13"/>
        <v>1500</v>
      </c>
      <c r="O27" s="41">
        <f>SUM(C27:N27)</f>
        <v>22370.97</v>
      </c>
      <c r="P27" s="41">
        <f t="shared" si="9"/>
        <v>1864.2475000000002</v>
      </c>
      <c r="Q27" s="102"/>
      <c r="R27" s="55"/>
      <c r="S27" s="55"/>
    </row>
    <row r="28" spans="1:19" ht="17.100000000000001" customHeight="1" x14ac:dyDescent="0.5">
      <c r="A28" s="229"/>
      <c r="B28" s="40" t="s">
        <v>25</v>
      </c>
      <c r="C28" s="41">
        <f>C23</f>
        <v>515.4</v>
      </c>
      <c r="D28" s="41">
        <f t="shared" si="13"/>
        <v>512.91</v>
      </c>
      <c r="E28" s="41">
        <f t="shared" si="13"/>
        <v>512.91</v>
      </c>
      <c r="F28" s="41">
        <f t="shared" si="13"/>
        <v>512.91</v>
      </c>
      <c r="G28" s="41">
        <f t="shared" si="13"/>
        <v>512.91</v>
      </c>
      <c r="H28" s="41">
        <f t="shared" si="13"/>
        <v>512.91</v>
      </c>
      <c r="I28" s="41">
        <f t="shared" si="13"/>
        <v>512.91</v>
      </c>
      <c r="J28" s="41">
        <f t="shared" si="13"/>
        <v>512.91</v>
      </c>
      <c r="K28" s="41">
        <f t="shared" si="13"/>
        <v>512.91</v>
      </c>
      <c r="L28" s="41">
        <f t="shared" si="13"/>
        <v>512.91</v>
      </c>
      <c r="M28" s="41">
        <f t="shared" si="13"/>
        <v>512.91</v>
      </c>
      <c r="N28" s="41">
        <f t="shared" si="13"/>
        <v>512.91</v>
      </c>
      <c r="O28" s="41">
        <f>SUM(C28:N28)</f>
        <v>6157.4099999999989</v>
      </c>
      <c r="P28" s="41">
        <f t="shared" si="9"/>
        <v>513.11749999999995</v>
      </c>
      <c r="Q28" s="102"/>
      <c r="R28" s="55"/>
      <c r="S28" s="55"/>
    </row>
    <row r="29" spans="1:19" ht="17.100000000000001" customHeight="1" x14ac:dyDescent="0.5">
      <c r="A29" s="229"/>
      <c r="B29" s="51" t="s">
        <v>35</v>
      </c>
      <c r="C29" s="52">
        <f>C26+C27+C28</f>
        <v>6890.4100000000017</v>
      </c>
      <c r="D29" s="52">
        <f t="shared" ref="D29:O29" si="14">D26+D27+D28</f>
        <v>6481.3300000000017</v>
      </c>
      <c r="E29" s="52">
        <f t="shared" si="14"/>
        <v>12959.409999999996</v>
      </c>
      <c r="F29" s="52">
        <f t="shared" si="14"/>
        <v>3450.6499999999978</v>
      </c>
      <c r="G29" s="52">
        <f t="shared" si="14"/>
        <v>2863.6099999999992</v>
      </c>
      <c r="H29" s="52">
        <f t="shared" si="14"/>
        <v>8366.8599999999969</v>
      </c>
      <c r="I29" s="52">
        <f t="shared" si="14"/>
        <v>1030.6000000000004</v>
      </c>
      <c r="J29" s="52">
        <f t="shared" si="14"/>
        <v>1179.6999999999975</v>
      </c>
      <c r="K29" s="52">
        <f t="shared" si="14"/>
        <v>2346.3299999999981</v>
      </c>
      <c r="L29" s="52">
        <f t="shared" si="14"/>
        <v>5831.43</v>
      </c>
      <c r="M29" s="52">
        <f t="shared" si="14"/>
        <v>5908.9199999999983</v>
      </c>
      <c r="N29" s="52">
        <f t="shared" si="14"/>
        <v>-7863.8000000000029</v>
      </c>
      <c r="O29" s="76">
        <f t="shared" si="14"/>
        <v>49445.449999999968</v>
      </c>
      <c r="P29" s="76">
        <f t="shared" si="9"/>
        <v>4120.4541666666637</v>
      </c>
      <c r="Q29" s="103"/>
      <c r="R29" s="55"/>
      <c r="S29" s="55"/>
    </row>
    <row r="30" spans="1:19" ht="19.8" customHeight="1" x14ac:dyDescent="0.5">
      <c r="A30" s="229"/>
      <c r="B30" s="106" t="s">
        <v>36</v>
      </c>
      <c r="C30" s="105">
        <f>C14+C29</f>
        <v>14614.310000000005</v>
      </c>
      <c r="D30" s="105">
        <f t="shared" ref="D30:O30" si="15">D14+D29</f>
        <v>10333.029999999999</v>
      </c>
      <c r="E30" s="105">
        <f t="shared" si="15"/>
        <v>21048.76</v>
      </c>
      <c r="F30" s="105">
        <f t="shared" si="15"/>
        <v>14020.989999999998</v>
      </c>
      <c r="G30" s="105">
        <f t="shared" si="15"/>
        <v>14539.089999999997</v>
      </c>
      <c r="H30" s="105">
        <f t="shared" si="15"/>
        <v>18118.229999999989</v>
      </c>
      <c r="I30" s="105">
        <f t="shared" si="15"/>
        <v>-4422.4400000000041</v>
      </c>
      <c r="J30" s="105">
        <f t="shared" si="15"/>
        <v>29668.25</v>
      </c>
      <c r="K30" s="105">
        <f t="shared" si="15"/>
        <v>20129.219999999998</v>
      </c>
      <c r="L30" s="105">
        <f t="shared" si="15"/>
        <v>10832.019999999997</v>
      </c>
      <c r="M30" s="105">
        <f t="shared" si="15"/>
        <v>5956.8399999999965</v>
      </c>
      <c r="N30" s="105">
        <f t="shared" si="15"/>
        <v>-13691.240000000009</v>
      </c>
      <c r="O30" s="167">
        <f t="shared" si="15"/>
        <v>141147.06000000006</v>
      </c>
      <c r="P30" s="105">
        <f t="shared" si="9"/>
        <v>11762.255000000005</v>
      </c>
      <c r="Q30" s="104"/>
      <c r="R30" s="55"/>
      <c r="S30" s="55"/>
    </row>
    <row r="31" spans="1:19" x14ac:dyDescent="0.5">
      <c r="A31" s="229"/>
      <c r="B31" s="113" t="s">
        <v>57</v>
      </c>
      <c r="C31" s="114">
        <f t="shared" ref="C31:I31" si="16">C16/7</f>
        <v>4758.3285714285721</v>
      </c>
      <c r="D31" s="114">
        <f t="shared" si="16"/>
        <v>5051.5714285714284</v>
      </c>
      <c r="E31" s="114">
        <f t="shared" si="16"/>
        <v>6206.8571428571431</v>
      </c>
      <c r="F31" s="114">
        <f t="shared" si="16"/>
        <v>5050.1428571428569</v>
      </c>
      <c r="G31" s="114">
        <f t="shared" si="16"/>
        <v>4891.8571428571431</v>
      </c>
      <c r="H31" s="114">
        <f t="shared" si="16"/>
        <v>6049</v>
      </c>
      <c r="I31" s="114">
        <f t="shared" si="16"/>
        <v>5937.1642857142861</v>
      </c>
      <c r="J31" s="114">
        <f t="shared" ref="J31:N31" si="17">J16/7</f>
        <v>4201.7142857142853</v>
      </c>
      <c r="K31" s="114">
        <f t="shared" si="17"/>
        <v>4655</v>
      </c>
      <c r="L31" s="114">
        <f t="shared" si="17"/>
        <v>4756</v>
      </c>
      <c r="M31" s="114">
        <f t="shared" si="17"/>
        <v>4744.5714285714284</v>
      </c>
      <c r="N31" s="114">
        <f t="shared" si="17"/>
        <v>4506.1428571428569</v>
      </c>
      <c r="O31" s="55"/>
      <c r="P31" s="55"/>
      <c r="Q31" s="55"/>
      <c r="R31" s="55"/>
      <c r="S31" s="55"/>
    </row>
    <row r="32" spans="1:19" x14ac:dyDescent="0.5">
      <c r="A32" s="55"/>
      <c r="B32" s="110" t="s">
        <v>58</v>
      </c>
      <c r="C32" s="111">
        <f>C16/10</f>
        <v>3330.8300000000004</v>
      </c>
      <c r="D32" s="111">
        <f t="shared" ref="D32:E32" si="18">D16/10</f>
        <v>3536.1</v>
      </c>
      <c r="E32" s="111">
        <f t="shared" si="18"/>
        <v>4344.8</v>
      </c>
      <c r="F32" s="111">
        <f>F16/9</f>
        <v>3927.8888888888887</v>
      </c>
      <c r="G32" s="111">
        <f>G16/9</f>
        <v>3804.7777777777778</v>
      </c>
      <c r="H32" s="111">
        <f t="shared" ref="H32" si="19">H16/10</f>
        <v>4234.3</v>
      </c>
      <c r="I32" s="111">
        <f t="shared" ref="I32:N32" si="20">I16/10</f>
        <v>4156.0150000000003</v>
      </c>
      <c r="J32" s="111">
        <f t="shared" si="20"/>
        <v>2941.2</v>
      </c>
      <c r="K32" s="111">
        <f t="shared" si="20"/>
        <v>3258.5</v>
      </c>
      <c r="L32" s="111">
        <f t="shared" si="20"/>
        <v>3329.2</v>
      </c>
      <c r="M32" s="111">
        <f t="shared" si="20"/>
        <v>3321.2</v>
      </c>
      <c r="N32" s="111">
        <f t="shared" si="20"/>
        <v>3154.3</v>
      </c>
      <c r="O32" s="67"/>
      <c r="P32" s="67"/>
      <c r="Q32" s="67"/>
      <c r="R32" s="55"/>
      <c r="S32" s="55"/>
    </row>
    <row r="33" spans="1:19" x14ac:dyDescent="0.5">
      <c r="A33" s="55"/>
      <c r="B33" s="184"/>
      <c r="C33" s="184"/>
      <c r="D33" s="184"/>
      <c r="E33" s="184"/>
      <c r="F33" s="115"/>
      <c r="G33" s="116"/>
      <c r="H33" s="184"/>
      <c r="I33" s="184"/>
      <c r="J33" s="184"/>
      <c r="K33" s="184"/>
      <c r="L33" s="184"/>
      <c r="M33" s="184"/>
      <c r="N33" s="184"/>
      <c r="O33" s="67"/>
      <c r="P33" s="67"/>
      <c r="Q33" s="67"/>
      <c r="R33" s="55"/>
      <c r="S33" s="55"/>
    </row>
    <row r="34" spans="1:19" x14ac:dyDescent="0.5">
      <c r="A34" s="55"/>
      <c r="B34" s="243"/>
      <c r="C34" s="243"/>
      <c r="D34" s="243"/>
      <c r="E34" s="66"/>
      <c r="F34" s="116"/>
      <c r="G34" s="55"/>
      <c r="H34" s="55"/>
      <c r="I34" s="55"/>
      <c r="J34" s="67"/>
      <c r="K34" s="67"/>
      <c r="L34" s="67"/>
      <c r="M34" s="67"/>
      <c r="N34" s="67"/>
      <c r="O34" s="67"/>
      <c r="P34" s="67"/>
      <c r="Q34" s="67"/>
      <c r="R34" s="55"/>
      <c r="S34" s="55"/>
    </row>
    <row r="35" spans="1:19" x14ac:dyDescent="0.5">
      <c r="A35" s="55"/>
      <c r="B35" s="55"/>
      <c r="C35" s="67"/>
      <c r="D35" s="67"/>
      <c r="E35" s="67"/>
      <c r="F35" s="115"/>
      <c r="G35" s="117"/>
      <c r="H35" s="118"/>
      <c r="I35" s="118"/>
      <c r="J35" s="67"/>
      <c r="K35" s="67"/>
      <c r="L35" s="67"/>
      <c r="M35" s="67"/>
      <c r="N35" s="67"/>
      <c r="O35" s="67"/>
      <c r="P35" s="67"/>
      <c r="Q35" s="67"/>
      <c r="R35" s="55"/>
      <c r="S35" s="55"/>
    </row>
    <row r="36" spans="1:19" x14ac:dyDescent="0.5">
      <c r="A36" s="55"/>
      <c r="B36" s="55"/>
      <c r="C36" s="67"/>
      <c r="D36" s="67"/>
      <c r="E36" s="67"/>
      <c r="F36" s="116"/>
      <c r="G36" s="55"/>
      <c r="H36" s="55"/>
      <c r="I36" s="55"/>
      <c r="J36" s="67"/>
      <c r="K36" s="67"/>
      <c r="L36" s="67"/>
      <c r="M36" s="67"/>
      <c r="N36" s="67"/>
      <c r="O36" s="67"/>
      <c r="P36" s="67"/>
      <c r="Q36" s="67"/>
      <c r="R36" s="55"/>
      <c r="S36" s="55"/>
    </row>
    <row r="37" spans="1:19" x14ac:dyDescent="0.5">
      <c r="A37" s="55"/>
      <c r="B37" s="55"/>
      <c r="C37" s="67"/>
      <c r="D37" s="67"/>
      <c r="E37" s="67"/>
      <c r="F37" s="115"/>
      <c r="G37" s="117"/>
      <c r="H37" s="118"/>
      <c r="I37" s="118"/>
      <c r="J37" s="67"/>
      <c r="K37" s="67"/>
      <c r="L37" s="67"/>
      <c r="M37" s="67"/>
      <c r="N37" s="67"/>
      <c r="O37" s="67"/>
      <c r="P37" s="67"/>
      <c r="Q37" s="67"/>
      <c r="R37" s="55"/>
      <c r="S37" s="55"/>
    </row>
    <row r="38" spans="1:19" x14ac:dyDescent="0.5">
      <c r="A38" s="55"/>
      <c r="B38" s="55"/>
      <c r="C38" s="67"/>
      <c r="D38" s="67"/>
      <c r="E38" s="67"/>
      <c r="F38" s="116"/>
      <c r="G38" s="55"/>
      <c r="H38" s="55"/>
      <c r="I38" s="55"/>
      <c r="J38" s="67"/>
      <c r="K38" s="67"/>
      <c r="L38" s="67"/>
      <c r="M38" s="67"/>
      <c r="N38" s="67"/>
      <c r="O38" s="67"/>
      <c r="P38" s="67"/>
      <c r="Q38" s="67"/>
    </row>
    <row r="39" spans="1:19" x14ac:dyDescent="0.5">
      <c r="B39" s="55"/>
      <c r="C39" s="67"/>
      <c r="D39" s="67"/>
      <c r="E39" s="67"/>
      <c r="F39" s="115"/>
      <c r="G39" s="117"/>
      <c r="H39" s="118"/>
      <c r="I39" s="118"/>
      <c r="J39" s="67"/>
      <c r="K39" s="67"/>
      <c r="L39" s="67"/>
      <c r="M39" s="67"/>
      <c r="N39" s="67"/>
      <c r="O39" s="67"/>
      <c r="P39" s="67"/>
      <c r="Q39" s="67"/>
    </row>
    <row r="40" spans="1:19" x14ac:dyDescent="0.5">
      <c r="F40" s="119"/>
      <c r="G40" s="1"/>
      <c r="H40" s="1"/>
      <c r="I40" s="1"/>
    </row>
    <row r="41" spans="1:19" x14ac:dyDescent="0.5">
      <c r="F41" s="120"/>
      <c r="G41" s="121"/>
      <c r="H41" s="122"/>
      <c r="I41" s="122"/>
    </row>
    <row r="42" spans="1:19" x14ac:dyDescent="0.5">
      <c r="F42" s="119"/>
      <c r="G42" s="1"/>
      <c r="H42" s="1"/>
      <c r="I42" s="1"/>
    </row>
    <row r="43" spans="1:19" x14ac:dyDescent="0.5">
      <c r="F43" s="120"/>
      <c r="G43" s="121"/>
      <c r="H43" s="122"/>
      <c r="I43" s="122"/>
    </row>
    <row r="44" spans="1:19" x14ac:dyDescent="0.5">
      <c r="F44" s="119"/>
      <c r="G44" s="1"/>
      <c r="H44" s="1"/>
      <c r="I44" s="1"/>
    </row>
    <row r="45" spans="1:19" x14ac:dyDescent="0.5">
      <c r="F45" s="120"/>
      <c r="G45" s="121"/>
      <c r="H45" s="122"/>
      <c r="I45" s="122"/>
    </row>
    <row r="46" spans="1:19" x14ac:dyDescent="0.5">
      <c r="F46" s="119"/>
      <c r="G46" s="1"/>
      <c r="H46" s="1"/>
      <c r="I46" s="1"/>
    </row>
    <row r="47" spans="1:19" x14ac:dyDescent="0.5">
      <c r="F47" s="120"/>
      <c r="G47" s="121"/>
      <c r="H47" s="122"/>
      <c r="I47" s="122"/>
    </row>
  </sheetData>
  <mergeCells count="11">
    <mergeCell ref="T9:U9"/>
    <mergeCell ref="T10:U10"/>
    <mergeCell ref="T11:U11"/>
    <mergeCell ref="A1:A31"/>
    <mergeCell ref="B34:D34"/>
    <mergeCell ref="Q4:Q6"/>
    <mergeCell ref="Q7:Q8"/>
    <mergeCell ref="Q9:Q10"/>
    <mergeCell ref="Q22:Q23"/>
    <mergeCell ref="Q24:Q25"/>
    <mergeCell ref="Q17:Q21"/>
  </mergeCells>
  <pageMargins left="0.7" right="0.7" top="0.75" bottom="0.75" header="0.3" footer="0.3"/>
  <pageSetup paperSize="9" orientation="portrait" horizontalDpi="0" verticalDpi="0"/>
  <legacy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T48"/>
  <sheetViews>
    <sheetView topLeftCell="A7" zoomScale="88" zoomScaleNormal="92" zoomScalePageLayoutView="112" workbookViewId="0">
      <selection activeCell="D19" sqref="D19"/>
    </sheetView>
  </sheetViews>
  <sheetFormatPr baseColWidth="10" defaultColWidth="10.6875" defaultRowHeight="15.75" x14ac:dyDescent="0.5"/>
  <cols>
    <col min="1" max="1" width="1.125" style="1" customWidth="1"/>
    <col min="2" max="2" width="27.6875" style="1" bestFit="1" customWidth="1"/>
    <col min="3" max="14" width="10.6875" style="9" customWidth="1"/>
    <col min="15" max="15" width="13" style="9" bestFit="1" customWidth="1"/>
    <col min="16" max="16" width="14.125" style="9" bestFit="1" customWidth="1"/>
    <col min="17" max="17" width="13" style="9" bestFit="1" customWidth="1"/>
    <col min="18" max="18" width="2.6875" style="1" customWidth="1"/>
    <col min="19" max="19" width="29.6875" style="1" customWidth="1"/>
    <col min="20" max="20" width="11.6875" style="1" bestFit="1" customWidth="1"/>
    <col min="21" max="21" width="10.6875" style="1"/>
    <col min="22" max="22" width="34.4375" style="1" customWidth="1"/>
    <col min="23" max="16384" width="10.6875" style="1"/>
  </cols>
  <sheetData>
    <row r="1" spans="1:20" ht="20" customHeight="1" x14ac:dyDescent="0.5">
      <c r="A1" s="229"/>
      <c r="B1" s="80" t="s">
        <v>59</v>
      </c>
      <c r="C1" s="81" t="s">
        <v>1</v>
      </c>
      <c r="D1" s="81" t="s">
        <v>2</v>
      </c>
      <c r="E1" s="81" t="s">
        <v>3</v>
      </c>
      <c r="F1" s="81" t="s">
        <v>4</v>
      </c>
      <c r="G1" s="82" t="s">
        <v>5</v>
      </c>
      <c r="H1" s="81" t="s">
        <v>6</v>
      </c>
      <c r="I1" s="81" t="s">
        <v>7</v>
      </c>
      <c r="J1" s="81" t="s">
        <v>8</v>
      </c>
      <c r="K1" s="81" t="s">
        <v>9</v>
      </c>
      <c r="L1" s="81" t="s">
        <v>10</v>
      </c>
      <c r="M1" s="81" t="s">
        <v>11</v>
      </c>
      <c r="N1" s="81" t="s">
        <v>12</v>
      </c>
      <c r="O1" s="81" t="s">
        <v>13</v>
      </c>
      <c r="P1" s="81" t="s">
        <v>14</v>
      </c>
      <c r="Q1" s="81" t="s">
        <v>15</v>
      </c>
      <c r="R1" s="54"/>
      <c r="S1" s="84" t="s">
        <v>60</v>
      </c>
      <c r="T1" s="85">
        <v>43949.09</v>
      </c>
    </row>
    <row r="2" spans="1:20" ht="12.95" customHeight="1" x14ac:dyDescent="0.5">
      <c r="A2" s="229"/>
      <c r="B2" s="47"/>
      <c r="C2" s="42"/>
      <c r="D2" s="42"/>
      <c r="E2" s="42"/>
      <c r="F2" s="42"/>
      <c r="G2" s="42"/>
      <c r="H2" s="42"/>
      <c r="I2" s="42"/>
      <c r="J2" s="42"/>
      <c r="K2" s="42"/>
      <c r="L2" s="42"/>
      <c r="M2" s="42"/>
      <c r="N2" s="42"/>
      <c r="O2" s="46"/>
      <c r="P2" s="46"/>
      <c r="Q2" s="46"/>
      <c r="R2" s="54"/>
      <c r="S2" s="84" t="s">
        <v>61</v>
      </c>
      <c r="T2" s="85">
        <v>10321.549999999999</v>
      </c>
    </row>
    <row r="3" spans="1:20" ht="18" customHeight="1" x14ac:dyDescent="0.5">
      <c r="A3" s="229"/>
      <c r="B3" s="48" t="s">
        <v>16</v>
      </c>
      <c r="C3" s="49">
        <f>SUM(C4:C6)</f>
        <v>30212.3</v>
      </c>
      <c r="D3" s="49">
        <f t="shared" ref="D3:N3" si="0">SUM(D4:D6)</f>
        <v>35085.300000000003</v>
      </c>
      <c r="E3" s="49">
        <f t="shared" si="0"/>
        <v>41858</v>
      </c>
      <c r="F3" s="49">
        <f t="shared" si="0"/>
        <v>37987.06</v>
      </c>
      <c r="G3" s="49">
        <f t="shared" si="0"/>
        <v>38442.720000000001</v>
      </c>
      <c r="H3" s="49">
        <f t="shared" si="0"/>
        <v>38019</v>
      </c>
      <c r="I3" s="49">
        <f t="shared" si="0"/>
        <v>29238.05</v>
      </c>
      <c r="J3" s="49">
        <f t="shared" si="0"/>
        <v>35348.050000000003</v>
      </c>
      <c r="K3" s="49">
        <f t="shared" si="0"/>
        <v>48714.11</v>
      </c>
      <c r="L3" s="49">
        <f t="shared" si="0"/>
        <v>47340.479999999996</v>
      </c>
      <c r="M3" s="49">
        <f t="shared" si="0"/>
        <v>46581.599999999999</v>
      </c>
      <c r="N3" s="49">
        <f t="shared" si="0"/>
        <v>32448.47</v>
      </c>
      <c r="O3" s="50">
        <f t="shared" ref="O3:O25" si="1">SUM(C3:N3)</f>
        <v>461275.1399999999</v>
      </c>
      <c r="P3" s="50">
        <f>O3/12</f>
        <v>38439.594999999994</v>
      </c>
      <c r="Q3" s="50">
        <f>P3</f>
        <v>38439.594999999994</v>
      </c>
      <c r="R3" s="54"/>
      <c r="S3" s="97" t="s">
        <v>62</v>
      </c>
      <c r="T3" s="98">
        <v>14000</v>
      </c>
    </row>
    <row r="4" spans="1:20" ht="18" customHeight="1" x14ac:dyDescent="0.5">
      <c r="A4" s="229"/>
      <c r="B4" s="74" t="s">
        <v>17</v>
      </c>
      <c r="C4" s="75">
        <v>13283</v>
      </c>
      <c r="D4" s="64">
        <v>16740</v>
      </c>
      <c r="E4" s="64">
        <v>21548</v>
      </c>
      <c r="F4" s="64">
        <v>18251.060000000001</v>
      </c>
      <c r="G4" s="64">
        <v>19801.72</v>
      </c>
      <c r="H4" s="64">
        <v>19967</v>
      </c>
      <c r="I4" s="64">
        <v>14661.05</v>
      </c>
      <c r="J4" s="64">
        <v>18161.05</v>
      </c>
      <c r="K4" s="64">
        <v>26887.11</v>
      </c>
      <c r="L4" s="64">
        <v>26553.48</v>
      </c>
      <c r="M4" s="64">
        <v>22754.6</v>
      </c>
      <c r="N4" s="64">
        <v>17861.47</v>
      </c>
      <c r="O4" s="130">
        <f>SUM(C4:N4)</f>
        <v>236469.54</v>
      </c>
      <c r="P4" s="130">
        <f t="shared" ref="P4:P14" si="2">O4/12</f>
        <v>19705.795000000002</v>
      </c>
      <c r="Q4" s="231">
        <f>SUM(P4:P6)</f>
        <v>38439.595000000001</v>
      </c>
      <c r="R4" s="54"/>
      <c r="S4" s="86" t="s">
        <v>63</v>
      </c>
      <c r="T4" s="87">
        <v>850</v>
      </c>
    </row>
    <row r="5" spans="1:20" ht="18" customHeight="1" x14ac:dyDescent="0.5">
      <c r="A5" s="229"/>
      <c r="B5" s="74" t="s">
        <v>18</v>
      </c>
      <c r="C5" s="75">
        <v>1787</v>
      </c>
      <c r="D5" s="64">
        <v>3203</v>
      </c>
      <c r="E5" s="64">
        <v>4608</v>
      </c>
      <c r="F5" s="64">
        <v>4034</v>
      </c>
      <c r="G5" s="64">
        <v>5504</v>
      </c>
      <c r="H5" s="64">
        <v>4915</v>
      </c>
      <c r="I5" s="64">
        <v>1440</v>
      </c>
      <c r="J5" s="64">
        <v>4050</v>
      </c>
      <c r="K5" s="64">
        <v>8690</v>
      </c>
      <c r="L5" s="64">
        <v>7650</v>
      </c>
      <c r="M5" s="64">
        <v>10690</v>
      </c>
      <c r="N5" s="64">
        <v>1450</v>
      </c>
      <c r="O5" s="130">
        <f>SUM(C5:N5)</f>
        <v>58021</v>
      </c>
      <c r="P5" s="130">
        <f t="shared" si="2"/>
        <v>4835.083333333333</v>
      </c>
      <c r="Q5" s="231"/>
      <c r="R5" s="54"/>
      <c r="S5" s="86" t="s">
        <v>64</v>
      </c>
      <c r="T5" s="87">
        <v>2000</v>
      </c>
    </row>
    <row r="6" spans="1:20" ht="18" customHeight="1" x14ac:dyDescent="0.5">
      <c r="A6" s="229"/>
      <c r="B6" s="74" t="s">
        <v>19</v>
      </c>
      <c r="C6" s="75">
        <v>15142.3</v>
      </c>
      <c r="D6" s="64">
        <v>15142.3</v>
      </c>
      <c r="E6" s="64">
        <v>15702</v>
      </c>
      <c r="F6" s="64">
        <v>15702</v>
      </c>
      <c r="G6" s="64">
        <v>13137</v>
      </c>
      <c r="H6" s="64">
        <v>13137</v>
      </c>
      <c r="I6" s="64">
        <v>13137</v>
      </c>
      <c r="J6" s="64">
        <v>13137</v>
      </c>
      <c r="K6" s="64">
        <v>13137</v>
      </c>
      <c r="L6" s="64">
        <v>13137</v>
      </c>
      <c r="M6" s="64">
        <v>13137</v>
      </c>
      <c r="N6" s="64">
        <v>13137</v>
      </c>
      <c r="O6" s="130">
        <f>SUM(C6:N6)</f>
        <v>166784.6</v>
      </c>
      <c r="P6" s="130">
        <f t="shared" si="2"/>
        <v>13898.716666666667</v>
      </c>
      <c r="Q6" s="231"/>
      <c r="R6" s="54"/>
      <c r="S6" s="86" t="s">
        <v>65</v>
      </c>
      <c r="T6" s="87">
        <v>7831.22</v>
      </c>
    </row>
    <row r="7" spans="1:20" ht="18" customHeight="1" x14ac:dyDescent="0.5">
      <c r="A7" s="229"/>
      <c r="B7" s="32" t="s">
        <v>20</v>
      </c>
      <c r="C7" s="33">
        <v>-420.5</v>
      </c>
      <c r="D7" s="33">
        <v>1230</v>
      </c>
      <c r="E7" s="34">
        <v>2189</v>
      </c>
      <c r="F7" s="34">
        <v>610.75</v>
      </c>
      <c r="G7" s="34">
        <v>1630.25</v>
      </c>
      <c r="H7" s="83">
        <v>1029.75</v>
      </c>
      <c r="I7" s="34">
        <v>3956.5</v>
      </c>
      <c r="J7" s="34">
        <v>523</v>
      </c>
      <c r="K7" s="34">
        <v>689</v>
      </c>
      <c r="L7" s="34">
        <v>2304.25</v>
      </c>
      <c r="M7" s="34">
        <v>467</v>
      </c>
      <c r="N7" s="34">
        <v>2346</v>
      </c>
      <c r="O7" s="131">
        <f>SUM(C7:N7)</f>
        <v>16555</v>
      </c>
      <c r="P7" s="131">
        <f t="shared" si="2"/>
        <v>1379.5833333333333</v>
      </c>
      <c r="Q7" s="232">
        <f>-P7-P8</f>
        <v>-1947.2941666666666</v>
      </c>
      <c r="R7" s="54"/>
      <c r="S7" s="86" t="s">
        <v>66</v>
      </c>
      <c r="T7" s="87">
        <v>4750</v>
      </c>
    </row>
    <row r="8" spans="1:20" ht="18" customHeight="1" x14ac:dyDescent="0.5">
      <c r="A8" s="229"/>
      <c r="B8" s="32" t="s">
        <v>25</v>
      </c>
      <c r="C8" s="34">
        <v>586.79999999999995</v>
      </c>
      <c r="D8" s="34">
        <v>586.79999999999995</v>
      </c>
      <c r="E8" s="34">
        <v>586.79999999999995</v>
      </c>
      <c r="F8" s="34">
        <v>586.79999999999995</v>
      </c>
      <c r="G8" s="34">
        <v>586.79999999999995</v>
      </c>
      <c r="H8" s="34">
        <v>624.71</v>
      </c>
      <c r="I8" s="34">
        <v>184.44</v>
      </c>
      <c r="J8" s="34">
        <v>996.84</v>
      </c>
      <c r="K8" s="34">
        <v>547.49</v>
      </c>
      <c r="L8" s="34">
        <v>508.35</v>
      </c>
      <c r="M8" s="34">
        <v>508.35</v>
      </c>
      <c r="N8" s="34">
        <v>508.35</v>
      </c>
      <c r="O8" s="131">
        <f>SUM(C8:N8)</f>
        <v>6812.5300000000007</v>
      </c>
      <c r="P8" s="131">
        <f t="shared" si="2"/>
        <v>567.71083333333343</v>
      </c>
      <c r="Q8" s="232"/>
      <c r="R8" s="54"/>
      <c r="S8" s="86" t="s">
        <v>67</v>
      </c>
      <c r="T8" s="87">
        <v>1518.8</v>
      </c>
    </row>
    <row r="9" spans="1:20" ht="18" customHeight="1" x14ac:dyDescent="0.5">
      <c r="A9" s="229"/>
      <c r="B9" s="35" t="s">
        <v>55</v>
      </c>
      <c r="C9" s="36">
        <v>29379.41</v>
      </c>
      <c r="D9" s="36">
        <v>30284.13</v>
      </c>
      <c r="E9" s="36">
        <v>32897.81</v>
      </c>
      <c r="F9" s="36">
        <v>28927.9</v>
      </c>
      <c r="G9" s="36">
        <v>26496.78</v>
      </c>
      <c r="H9" s="36">
        <v>27819.040000000001</v>
      </c>
      <c r="I9" s="36">
        <v>49562.86</v>
      </c>
      <c r="J9" s="36">
        <v>29503.21</v>
      </c>
      <c r="K9" s="36">
        <v>29118.06</v>
      </c>
      <c r="L9" s="36">
        <v>29262.78</v>
      </c>
      <c r="M9" s="36">
        <v>32117.759999999998</v>
      </c>
      <c r="N9" s="3">
        <v>41523.74</v>
      </c>
      <c r="O9" s="132">
        <f t="shared" ref="O9:O10" si="3">SUM(C9:N9)</f>
        <v>386893.48</v>
      </c>
      <c r="P9" s="132">
        <f t="shared" si="2"/>
        <v>32241.123333333333</v>
      </c>
      <c r="Q9" s="233">
        <f>-P9-P10</f>
        <v>-33734.081666666665</v>
      </c>
      <c r="R9" s="54"/>
      <c r="S9" s="86" t="s">
        <v>68</v>
      </c>
      <c r="T9" s="87">
        <v>193.36</v>
      </c>
    </row>
    <row r="10" spans="1:20" ht="18" customHeight="1" x14ac:dyDescent="0.5">
      <c r="A10" s="229"/>
      <c r="B10" s="35" t="s">
        <v>23</v>
      </c>
      <c r="C10" s="36">
        <v>209</v>
      </c>
      <c r="D10" s="36">
        <v>928</v>
      </c>
      <c r="E10" s="36">
        <v>1419</v>
      </c>
      <c r="F10" s="36">
        <v>794.5</v>
      </c>
      <c r="G10" s="36">
        <v>1342.5</v>
      </c>
      <c r="H10" s="36">
        <v>1998.5</v>
      </c>
      <c r="I10" s="36">
        <v>309</v>
      </c>
      <c r="J10" s="36">
        <v>2244</v>
      </c>
      <c r="K10" s="36">
        <v>2852</v>
      </c>
      <c r="L10" s="36">
        <v>2380</v>
      </c>
      <c r="M10" s="36">
        <v>2137</v>
      </c>
      <c r="N10" s="36">
        <v>1302</v>
      </c>
      <c r="O10" s="132">
        <f t="shared" si="3"/>
        <v>17915.5</v>
      </c>
      <c r="P10" s="132">
        <f t="shared" si="2"/>
        <v>1492.9583333333333</v>
      </c>
      <c r="Q10" s="233"/>
      <c r="R10" s="54"/>
      <c r="S10" s="86" t="s">
        <v>69</v>
      </c>
      <c r="T10" s="87">
        <v>220</v>
      </c>
    </row>
    <row r="11" spans="1:20" ht="18" customHeight="1" x14ac:dyDescent="0.5">
      <c r="A11" s="229"/>
      <c r="B11" s="37" t="s">
        <v>24</v>
      </c>
      <c r="C11" s="38">
        <f>C3-C7-C8-C9-C10</f>
        <v>457.59000000000015</v>
      </c>
      <c r="D11" s="38">
        <f t="shared" ref="D11:N11" si="4">D3-D7-D8-D9-D10</f>
        <v>2056.369999999999</v>
      </c>
      <c r="E11" s="38">
        <f t="shared" si="4"/>
        <v>4765.3899999999994</v>
      </c>
      <c r="F11" s="38">
        <f t="shared" si="4"/>
        <v>7067.1099999999933</v>
      </c>
      <c r="G11" s="38">
        <f t="shared" si="4"/>
        <v>8386.39</v>
      </c>
      <c r="H11" s="38">
        <f t="shared" si="4"/>
        <v>6547</v>
      </c>
      <c r="I11" s="38">
        <f t="shared" si="4"/>
        <v>-24774.75</v>
      </c>
      <c r="J11" s="38">
        <f t="shared" si="4"/>
        <v>2081.0000000000073</v>
      </c>
      <c r="K11" s="38">
        <f t="shared" si="4"/>
        <v>15507.560000000001</v>
      </c>
      <c r="L11" s="38">
        <f t="shared" si="4"/>
        <v>12885.099999999999</v>
      </c>
      <c r="M11" s="38">
        <f t="shared" si="4"/>
        <v>11351.490000000002</v>
      </c>
      <c r="N11" s="38">
        <f t="shared" si="4"/>
        <v>-13231.619999999995</v>
      </c>
      <c r="O11" s="38">
        <f>O3-O7-O8-O9-O10</f>
        <v>33098.629999999888</v>
      </c>
      <c r="P11" s="38">
        <f t="shared" si="2"/>
        <v>2758.2191666666572</v>
      </c>
      <c r="Q11" s="101"/>
      <c r="R11" s="54"/>
      <c r="S11" s="86" t="s">
        <v>70</v>
      </c>
      <c r="T11" s="87">
        <v>867.32</v>
      </c>
    </row>
    <row r="12" spans="1:20" ht="18" customHeight="1" x14ac:dyDescent="0.5">
      <c r="A12" s="229"/>
      <c r="B12" s="40" t="s">
        <v>20</v>
      </c>
      <c r="C12" s="41">
        <f>C7</f>
        <v>-420.5</v>
      </c>
      <c r="D12" s="41">
        <f t="shared" ref="D12:N13" si="5">D7</f>
        <v>1230</v>
      </c>
      <c r="E12" s="41">
        <f t="shared" si="5"/>
        <v>2189</v>
      </c>
      <c r="F12" s="41">
        <f t="shared" si="5"/>
        <v>610.75</v>
      </c>
      <c r="G12" s="41">
        <f t="shared" si="5"/>
        <v>1630.25</v>
      </c>
      <c r="H12" s="41">
        <f t="shared" si="5"/>
        <v>1029.75</v>
      </c>
      <c r="I12" s="41">
        <f t="shared" si="5"/>
        <v>3956.5</v>
      </c>
      <c r="J12" s="41">
        <f t="shared" si="5"/>
        <v>523</v>
      </c>
      <c r="K12" s="41">
        <f t="shared" si="5"/>
        <v>689</v>
      </c>
      <c r="L12" s="41">
        <f t="shared" si="5"/>
        <v>2304.25</v>
      </c>
      <c r="M12" s="41">
        <f t="shared" si="5"/>
        <v>467</v>
      </c>
      <c r="N12" s="41">
        <f t="shared" si="5"/>
        <v>2346</v>
      </c>
      <c r="O12" s="41">
        <f>SUM(C12:N12)</f>
        <v>16555</v>
      </c>
      <c r="P12" s="41">
        <f t="shared" si="2"/>
        <v>1379.5833333333333</v>
      </c>
      <c r="Q12" s="102"/>
      <c r="R12" s="54"/>
      <c r="S12" s="86" t="s">
        <v>71</v>
      </c>
      <c r="T12" s="87">
        <v>2759</v>
      </c>
    </row>
    <row r="13" spans="1:20" ht="18" customHeight="1" x14ac:dyDescent="0.5">
      <c r="A13" s="229"/>
      <c r="B13" s="40" t="s">
        <v>25</v>
      </c>
      <c r="C13" s="41">
        <f>C8</f>
        <v>586.79999999999995</v>
      </c>
      <c r="D13" s="41">
        <f t="shared" si="5"/>
        <v>586.79999999999995</v>
      </c>
      <c r="E13" s="41">
        <f t="shared" si="5"/>
        <v>586.79999999999995</v>
      </c>
      <c r="F13" s="41">
        <f t="shared" si="5"/>
        <v>586.79999999999995</v>
      </c>
      <c r="G13" s="41">
        <f t="shared" si="5"/>
        <v>586.79999999999995</v>
      </c>
      <c r="H13" s="41">
        <f t="shared" si="5"/>
        <v>624.71</v>
      </c>
      <c r="I13" s="41">
        <f t="shared" si="5"/>
        <v>184.44</v>
      </c>
      <c r="J13" s="41">
        <f t="shared" si="5"/>
        <v>996.84</v>
      </c>
      <c r="K13" s="41">
        <f t="shared" si="5"/>
        <v>547.49</v>
      </c>
      <c r="L13" s="41">
        <f t="shared" si="5"/>
        <v>508.35</v>
      </c>
      <c r="M13" s="41">
        <f t="shared" si="5"/>
        <v>508.35</v>
      </c>
      <c r="N13" s="41">
        <f t="shared" si="5"/>
        <v>508.35</v>
      </c>
      <c r="O13" s="41">
        <f>SUM(C13:N13)</f>
        <v>6812.5300000000007</v>
      </c>
      <c r="P13" s="41">
        <f t="shared" si="2"/>
        <v>567.71083333333343</v>
      </c>
      <c r="Q13" s="102"/>
      <c r="R13" s="54"/>
      <c r="S13" s="86" t="s">
        <v>72</v>
      </c>
      <c r="T13" s="87">
        <v>146.36000000000001</v>
      </c>
    </row>
    <row r="14" spans="1:20" ht="18" customHeight="1" x14ac:dyDescent="0.5">
      <c r="A14" s="229"/>
      <c r="B14" s="51" t="s">
        <v>26</v>
      </c>
      <c r="C14" s="52">
        <f>C11+C12+C13</f>
        <v>623.8900000000001</v>
      </c>
      <c r="D14" s="52">
        <f t="shared" ref="D14:O14" si="6">D11+D12+D13</f>
        <v>3873.1699999999992</v>
      </c>
      <c r="E14" s="52">
        <f t="shared" si="6"/>
        <v>7541.19</v>
      </c>
      <c r="F14" s="52">
        <f t="shared" si="6"/>
        <v>8264.6599999999926</v>
      </c>
      <c r="G14" s="52">
        <f t="shared" si="6"/>
        <v>10603.439999999999</v>
      </c>
      <c r="H14" s="52">
        <f t="shared" si="6"/>
        <v>8201.4599999999991</v>
      </c>
      <c r="I14" s="52">
        <f t="shared" si="6"/>
        <v>-20633.810000000001</v>
      </c>
      <c r="J14" s="52">
        <f t="shared" si="6"/>
        <v>3600.8400000000074</v>
      </c>
      <c r="K14" s="52">
        <f t="shared" si="6"/>
        <v>16744.050000000003</v>
      </c>
      <c r="L14" s="52">
        <f t="shared" si="6"/>
        <v>15697.699999999999</v>
      </c>
      <c r="M14" s="52">
        <f t="shared" si="6"/>
        <v>12326.840000000002</v>
      </c>
      <c r="N14" s="52">
        <f t="shared" si="6"/>
        <v>-10377.269999999995</v>
      </c>
      <c r="O14" s="76">
        <f t="shared" si="6"/>
        <v>56466.159999999887</v>
      </c>
      <c r="P14" s="76">
        <f t="shared" si="2"/>
        <v>4705.5133333333242</v>
      </c>
      <c r="Q14" s="103"/>
      <c r="R14" s="54"/>
      <c r="S14" s="86" t="s">
        <v>73</v>
      </c>
      <c r="T14" s="87">
        <v>225.27</v>
      </c>
    </row>
    <row r="15" spans="1:20" ht="17.100000000000001" customHeight="1" x14ac:dyDescent="0.5">
      <c r="A15" s="229"/>
      <c r="B15" s="47"/>
      <c r="C15" s="42"/>
      <c r="D15" s="42"/>
      <c r="E15" s="42"/>
      <c r="F15" s="42"/>
      <c r="G15" s="42"/>
      <c r="H15" s="42"/>
      <c r="I15" s="77"/>
      <c r="J15" s="42"/>
      <c r="K15" s="42"/>
      <c r="L15" s="42"/>
      <c r="M15" s="42"/>
      <c r="N15" s="42"/>
      <c r="O15" s="46"/>
      <c r="P15" s="46"/>
      <c r="Q15" s="46"/>
      <c r="R15" s="54"/>
      <c r="S15" s="86" t="s">
        <v>74</v>
      </c>
      <c r="T15" s="87">
        <v>455.73</v>
      </c>
    </row>
    <row r="16" spans="1:20" ht="20" customHeight="1" x14ac:dyDescent="0.5">
      <c r="A16" s="229"/>
      <c r="B16" s="48" t="s">
        <v>27</v>
      </c>
      <c r="C16" s="49">
        <f>SUM(C17:C21)</f>
        <v>24941.85</v>
      </c>
      <c r="D16" s="49">
        <f t="shared" ref="D16:N16" si="7">SUM(D17:D21)</f>
        <v>34047.199999999997</v>
      </c>
      <c r="E16" s="49">
        <f t="shared" si="7"/>
        <v>29064</v>
      </c>
      <c r="F16" s="49">
        <f t="shared" si="7"/>
        <v>24658.85</v>
      </c>
      <c r="G16" s="49">
        <f t="shared" si="7"/>
        <v>28919</v>
      </c>
      <c r="H16" s="49">
        <f t="shared" si="7"/>
        <v>22602</v>
      </c>
      <c r="I16" s="49">
        <f t="shared" si="7"/>
        <v>33815.1</v>
      </c>
      <c r="J16" s="49">
        <f t="shared" si="7"/>
        <v>33670.5</v>
      </c>
      <c r="K16" s="49">
        <f t="shared" si="7"/>
        <v>29410</v>
      </c>
      <c r="L16" s="49">
        <f t="shared" si="7"/>
        <v>35646.199999999997</v>
      </c>
      <c r="M16" s="49">
        <f t="shared" si="7"/>
        <v>32837</v>
      </c>
      <c r="N16" s="49">
        <f t="shared" si="7"/>
        <v>34002.5</v>
      </c>
      <c r="O16" s="50">
        <f t="shared" si="1"/>
        <v>363614.2</v>
      </c>
      <c r="P16" s="50">
        <f t="shared" ref="P16:P30" si="8">O16/12</f>
        <v>30301.183333333334</v>
      </c>
      <c r="Q16" s="50">
        <f>P16</f>
        <v>30301.183333333334</v>
      </c>
      <c r="R16" s="54"/>
      <c r="S16" s="88" t="s">
        <v>75</v>
      </c>
      <c r="T16" s="89">
        <v>6616.53</v>
      </c>
    </row>
    <row r="17" spans="1:20" ht="18" customHeight="1" x14ac:dyDescent="0.5">
      <c r="A17" s="229"/>
      <c r="B17" s="74" t="s">
        <v>28</v>
      </c>
      <c r="C17" s="75">
        <v>3588</v>
      </c>
      <c r="D17" s="64">
        <v>5630</v>
      </c>
      <c r="E17" s="64">
        <v>5695</v>
      </c>
      <c r="F17" s="64">
        <v>4215</v>
      </c>
      <c r="G17" s="64">
        <v>6090</v>
      </c>
      <c r="H17" s="64">
        <v>4432</v>
      </c>
      <c r="I17" s="64">
        <v>4573</v>
      </c>
      <c r="J17" s="64">
        <v>3424</v>
      </c>
      <c r="K17" s="99">
        <v>2990</v>
      </c>
      <c r="L17" s="64">
        <v>4122</v>
      </c>
      <c r="M17" s="64">
        <v>5004</v>
      </c>
      <c r="N17" s="64">
        <v>4025</v>
      </c>
      <c r="O17" s="130">
        <f t="shared" ref="O17:O23" si="9">SUM(C17:N17)</f>
        <v>53788</v>
      </c>
      <c r="P17" s="130">
        <f t="shared" si="8"/>
        <v>4482.333333333333</v>
      </c>
      <c r="Q17" s="231">
        <f>SUM(P17:P21)</f>
        <v>30301.183333333334</v>
      </c>
      <c r="R17" s="54"/>
      <c r="S17" s="90" t="s">
        <v>76</v>
      </c>
      <c r="T17" s="89">
        <v>86.4</v>
      </c>
    </row>
    <row r="18" spans="1:20" ht="18" customHeight="1" x14ac:dyDescent="0.5">
      <c r="A18" s="229"/>
      <c r="B18" s="107" t="s">
        <v>29</v>
      </c>
      <c r="C18" s="75">
        <v>12600</v>
      </c>
      <c r="D18" s="64">
        <v>13800</v>
      </c>
      <c r="E18" s="64">
        <v>13800</v>
      </c>
      <c r="F18" s="64">
        <v>8400</v>
      </c>
      <c r="G18" s="64">
        <v>13600</v>
      </c>
      <c r="H18" s="64">
        <v>13600</v>
      </c>
      <c r="I18" s="64">
        <v>18900</v>
      </c>
      <c r="J18" s="64">
        <v>18900</v>
      </c>
      <c r="K18" s="99">
        <v>17150</v>
      </c>
      <c r="L18" s="64">
        <v>17200</v>
      </c>
      <c r="M18" s="64">
        <v>15000</v>
      </c>
      <c r="N18" s="64">
        <v>18800</v>
      </c>
      <c r="O18" s="130">
        <f t="shared" si="9"/>
        <v>181750</v>
      </c>
      <c r="P18" s="130">
        <f t="shared" si="8"/>
        <v>15145.833333333334</v>
      </c>
      <c r="Q18" s="231"/>
      <c r="R18" s="54"/>
      <c r="S18" s="88" t="s">
        <v>77</v>
      </c>
      <c r="T18" s="89">
        <v>7024.79</v>
      </c>
    </row>
    <row r="19" spans="1:20" ht="18" customHeight="1" x14ac:dyDescent="0.5">
      <c r="A19" s="229"/>
      <c r="B19" s="107" t="s">
        <v>30</v>
      </c>
      <c r="C19" s="75">
        <v>4635.8500000000004</v>
      </c>
      <c r="D19" s="64">
        <v>4900</v>
      </c>
      <c r="E19" s="64">
        <v>4900</v>
      </c>
      <c r="F19" s="64">
        <v>9498.85</v>
      </c>
      <c r="G19" s="64">
        <v>3150</v>
      </c>
      <c r="H19" s="64">
        <v>3150</v>
      </c>
      <c r="I19" s="64">
        <v>6002.1</v>
      </c>
      <c r="J19" s="64">
        <v>4200</v>
      </c>
      <c r="K19" s="99">
        <v>4200</v>
      </c>
      <c r="L19" s="64">
        <v>7605.2</v>
      </c>
      <c r="M19" s="64">
        <v>4200</v>
      </c>
      <c r="N19" s="64">
        <v>4200</v>
      </c>
      <c r="O19" s="130">
        <f t="shared" si="9"/>
        <v>60642</v>
      </c>
      <c r="P19" s="130">
        <f t="shared" si="8"/>
        <v>5053.5</v>
      </c>
      <c r="Q19" s="231"/>
      <c r="R19" s="54"/>
      <c r="S19" s="91" t="s">
        <v>78</v>
      </c>
      <c r="T19" s="92">
        <v>1200</v>
      </c>
    </row>
    <row r="20" spans="1:20" ht="18" customHeight="1" x14ac:dyDescent="0.5">
      <c r="A20" s="229"/>
      <c r="B20" s="74" t="s">
        <v>79</v>
      </c>
      <c r="C20" s="75">
        <v>3437</v>
      </c>
      <c r="D20" s="64">
        <v>4348.7</v>
      </c>
      <c r="E20" s="64">
        <v>1781.5</v>
      </c>
      <c r="F20" s="64">
        <v>898</v>
      </c>
      <c r="G20" s="64">
        <v>2499.5</v>
      </c>
      <c r="H20" s="64">
        <v>980</v>
      </c>
      <c r="I20" s="64">
        <v>2765</v>
      </c>
      <c r="J20" s="64">
        <v>3476.5</v>
      </c>
      <c r="K20" s="99">
        <v>1060</v>
      </c>
      <c r="L20" s="64">
        <v>0</v>
      </c>
      <c r="M20" s="64">
        <v>5150</v>
      </c>
      <c r="N20" s="64">
        <v>5049.5</v>
      </c>
      <c r="O20" s="130">
        <f t="shared" si="9"/>
        <v>31445.7</v>
      </c>
      <c r="P20" s="130">
        <f t="shared" si="8"/>
        <v>2620.4749999999999</v>
      </c>
      <c r="Q20" s="231"/>
      <c r="R20" s="54"/>
      <c r="S20" s="91" t="s">
        <v>80</v>
      </c>
      <c r="T20" s="92">
        <v>4400</v>
      </c>
    </row>
    <row r="21" spans="1:20" ht="18" customHeight="1" x14ac:dyDescent="0.5">
      <c r="A21" s="229"/>
      <c r="B21" s="74" t="s">
        <v>81</v>
      </c>
      <c r="C21" s="75">
        <v>681</v>
      </c>
      <c r="D21" s="64">
        <v>5368.5</v>
      </c>
      <c r="E21" s="64">
        <v>2887.5</v>
      </c>
      <c r="F21" s="64">
        <v>1647</v>
      </c>
      <c r="G21" s="64">
        <v>3579.5</v>
      </c>
      <c r="H21" s="64">
        <v>440</v>
      </c>
      <c r="I21" s="64">
        <v>1575</v>
      </c>
      <c r="J21" s="64">
        <v>3670</v>
      </c>
      <c r="K21" s="99">
        <v>4010</v>
      </c>
      <c r="L21" s="64">
        <v>6719</v>
      </c>
      <c r="M21" s="64">
        <v>3483</v>
      </c>
      <c r="N21" s="64">
        <v>1928</v>
      </c>
      <c r="O21" s="130">
        <f t="shared" si="9"/>
        <v>35988.5</v>
      </c>
      <c r="P21" s="130">
        <f t="shared" si="8"/>
        <v>2999.0416666666665</v>
      </c>
      <c r="Q21" s="231"/>
      <c r="R21" s="54"/>
      <c r="S21" s="91" t="s">
        <v>82</v>
      </c>
      <c r="T21" s="92">
        <v>1248</v>
      </c>
    </row>
    <row r="22" spans="1:20" ht="18" customHeight="1" x14ac:dyDescent="0.5">
      <c r="A22" s="229"/>
      <c r="B22" s="32" t="s">
        <v>20</v>
      </c>
      <c r="C22" s="33">
        <v>-420.5</v>
      </c>
      <c r="D22" s="33">
        <v>1230</v>
      </c>
      <c r="E22" s="34">
        <v>2189</v>
      </c>
      <c r="F22" s="34">
        <v>610.75</v>
      </c>
      <c r="G22" s="83">
        <v>1630.25</v>
      </c>
      <c r="H22" s="83">
        <v>1029.75</v>
      </c>
      <c r="I22" s="83">
        <v>3956.5</v>
      </c>
      <c r="J22" s="34">
        <v>523</v>
      </c>
      <c r="K22" s="34">
        <v>689</v>
      </c>
      <c r="L22" s="34">
        <v>2304.25</v>
      </c>
      <c r="M22" s="34">
        <v>467</v>
      </c>
      <c r="N22" s="34">
        <v>2346</v>
      </c>
      <c r="O22" s="131">
        <f t="shared" si="9"/>
        <v>16555</v>
      </c>
      <c r="P22" s="131">
        <f t="shared" si="8"/>
        <v>1379.5833333333333</v>
      </c>
      <c r="Q22" s="232">
        <f>-P22-P23</f>
        <v>-1947.2941666666666</v>
      </c>
      <c r="R22" s="54"/>
      <c r="S22" s="91" t="s">
        <v>83</v>
      </c>
      <c r="T22" s="92">
        <v>282.49</v>
      </c>
    </row>
    <row r="23" spans="1:20" ht="18" customHeight="1" x14ac:dyDescent="0.5">
      <c r="A23" s="229"/>
      <c r="B23" s="32" t="s">
        <v>25</v>
      </c>
      <c r="C23" s="34">
        <v>586.79999999999995</v>
      </c>
      <c r="D23" s="34">
        <v>586.79999999999995</v>
      </c>
      <c r="E23" s="34">
        <v>586.79999999999995</v>
      </c>
      <c r="F23" s="34">
        <v>586.79999999999995</v>
      </c>
      <c r="G23" s="34">
        <v>586.79999999999995</v>
      </c>
      <c r="H23" s="34">
        <v>624.71</v>
      </c>
      <c r="I23" s="34">
        <v>184.44</v>
      </c>
      <c r="J23" s="34">
        <v>996.84</v>
      </c>
      <c r="K23" s="34">
        <v>547.49</v>
      </c>
      <c r="L23" s="34">
        <v>508.35</v>
      </c>
      <c r="M23" s="34">
        <v>508.35</v>
      </c>
      <c r="N23" s="34">
        <v>508.35</v>
      </c>
      <c r="O23" s="131">
        <f t="shared" si="9"/>
        <v>6812.5300000000007</v>
      </c>
      <c r="P23" s="131">
        <f t="shared" si="8"/>
        <v>567.71083333333343</v>
      </c>
      <c r="Q23" s="232"/>
      <c r="R23" s="54"/>
      <c r="S23" s="91" t="s">
        <v>84</v>
      </c>
      <c r="T23" s="92">
        <v>8896.5</v>
      </c>
    </row>
    <row r="24" spans="1:20" ht="18" customHeight="1" x14ac:dyDescent="0.5">
      <c r="A24" s="229"/>
      <c r="B24" s="35" t="s">
        <v>56</v>
      </c>
      <c r="C24" s="36">
        <v>17070.2</v>
      </c>
      <c r="D24" s="36">
        <v>17675.21</v>
      </c>
      <c r="E24" s="36">
        <v>18065.439999999999</v>
      </c>
      <c r="F24" s="36">
        <v>19498.75</v>
      </c>
      <c r="G24" s="36">
        <v>19413.98</v>
      </c>
      <c r="H24" s="36">
        <v>20736.060000000001</v>
      </c>
      <c r="I24" s="36">
        <v>35014.83</v>
      </c>
      <c r="J24" s="36">
        <v>23542.84</v>
      </c>
      <c r="K24" s="36">
        <v>24982.59</v>
      </c>
      <c r="L24" s="36">
        <v>24106.73</v>
      </c>
      <c r="M24" s="36">
        <v>29307.360000000001</v>
      </c>
      <c r="N24" s="3">
        <v>35632.17</v>
      </c>
      <c r="O24" s="132">
        <f t="shared" si="1"/>
        <v>285046.15999999997</v>
      </c>
      <c r="P24" s="132">
        <f t="shared" si="8"/>
        <v>23753.846666666665</v>
      </c>
      <c r="Q24" s="233">
        <f>-P24-P25</f>
        <v>-25880.263333333332</v>
      </c>
      <c r="R24" s="54"/>
      <c r="S24" s="91" t="s">
        <v>85</v>
      </c>
      <c r="T24" s="92">
        <v>2000</v>
      </c>
    </row>
    <row r="25" spans="1:20" ht="18" customHeight="1" x14ac:dyDescent="0.5">
      <c r="A25" s="229"/>
      <c r="B25" s="35" t="s">
        <v>34</v>
      </c>
      <c r="C25" s="36">
        <v>1815</v>
      </c>
      <c r="D25" s="36">
        <v>2367</v>
      </c>
      <c r="E25" s="36">
        <v>2072</v>
      </c>
      <c r="F25" s="36">
        <v>2054</v>
      </c>
      <c r="G25" s="36">
        <v>1887</v>
      </c>
      <c r="H25" s="36">
        <v>1798</v>
      </c>
      <c r="I25" s="36">
        <v>1775</v>
      </c>
      <c r="J25" s="36">
        <v>1660</v>
      </c>
      <c r="K25" s="36">
        <v>1757</v>
      </c>
      <c r="L25" s="36">
        <v>2500</v>
      </c>
      <c r="M25" s="36">
        <v>3338</v>
      </c>
      <c r="N25" s="36">
        <v>2494</v>
      </c>
      <c r="O25" s="132">
        <f t="shared" si="1"/>
        <v>25517</v>
      </c>
      <c r="P25" s="132">
        <f t="shared" si="8"/>
        <v>2126.4166666666665</v>
      </c>
      <c r="Q25" s="233"/>
      <c r="R25" s="54"/>
      <c r="S25" s="93" t="s">
        <v>86</v>
      </c>
      <c r="T25" s="94">
        <v>1800</v>
      </c>
    </row>
    <row r="26" spans="1:20" ht="18" customHeight="1" x14ac:dyDescent="0.5">
      <c r="A26" s="229"/>
      <c r="B26" s="37" t="s">
        <v>24</v>
      </c>
      <c r="C26" s="38">
        <f>C16-C22-C23-C24-C25</f>
        <v>5890.3499999999985</v>
      </c>
      <c r="D26" s="38">
        <f t="shared" ref="D26:O26" si="10">D16-D22-D23-D24-D25</f>
        <v>12188.189999999999</v>
      </c>
      <c r="E26" s="38">
        <f t="shared" si="10"/>
        <v>6150.760000000002</v>
      </c>
      <c r="F26" s="38">
        <f t="shared" si="10"/>
        <v>1908.5499999999993</v>
      </c>
      <c r="G26" s="38">
        <f t="shared" si="10"/>
        <v>5400.9700000000012</v>
      </c>
      <c r="H26" s="38">
        <f t="shared" si="10"/>
        <v>-1586.5200000000004</v>
      </c>
      <c r="I26" s="38">
        <f t="shared" si="10"/>
        <v>-7115.6700000000019</v>
      </c>
      <c r="J26" s="38">
        <f t="shared" si="10"/>
        <v>6947.82</v>
      </c>
      <c r="K26" s="38">
        <f t="shared" si="10"/>
        <v>1433.9199999999983</v>
      </c>
      <c r="L26" s="38">
        <f t="shared" si="10"/>
        <v>6226.869999999999</v>
      </c>
      <c r="M26" s="38">
        <f t="shared" si="10"/>
        <v>-783.70999999999913</v>
      </c>
      <c r="N26" s="38">
        <f t="shared" si="10"/>
        <v>-6978.0199999999968</v>
      </c>
      <c r="O26" s="38">
        <f t="shared" si="10"/>
        <v>29683.510000000009</v>
      </c>
      <c r="P26" s="38">
        <f t="shared" si="8"/>
        <v>2473.625833333334</v>
      </c>
      <c r="Q26" s="101"/>
      <c r="R26" s="54"/>
      <c r="S26" s="95" t="s">
        <v>87</v>
      </c>
      <c r="T26" s="96">
        <v>700.97</v>
      </c>
    </row>
    <row r="27" spans="1:20" ht="18" customHeight="1" x14ac:dyDescent="0.5">
      <c r="A27" s="229"/>
      <c r="B27" s="40" t="s">
        <v>20</v>
      </c>
      <c r="C27" s="41">
        <f>C22</f>
        <v>-420.5</v>
      </c>
      <c r="D27" s="41">
        <f t="shared" ref="D27:N28" si="11">D22</f>
        <v>1230</v>
      </c>
      <c r="E27" s="41">
        <f t="shared" si="11"/>
        <v>2189</v>
      </c>
      <c r="F27" s="41">
        <f t="shared" si="11"/>
        <v>610.75</v>
      </c>
      <c r="G27" s="41">
        <f t="shared" si="11"/>
        <v>1630.25</v>
      </c>
      <c r="H27" s="41">
        <f t="shared" si="11"/>
        <v>1029.75</v>
      </c>
      <c r="I27" s="41">
        <f t="shared" si="11"/>
        <v>3956.5</v>
      </c>
      <c r="J27" s="41">
        <f t="shared" si="11"/>
        <v>523</v>
      </c>
      <c r="K27" s="41">
        <f t="shared" si="11"/>
        <v>689</v>
      </c>
      <c r="L27" s="41">
        <f t="shared" si="11"/>
        <v>2304.25</v>
      </c>
      <c r="M27" s="41">
        <f t="shared" si="11"/>
        <v>467</v>
      </c>
      <c r="N27" s="41">
        <f t="shared" si="11"/>
        <v>2346</v>
      </c>
      <c r="O27" s="41">
        <f>SUM(C27:N27)</f>
        <v>16555</v>
      </c>
      <c r="P27" s="41">
        <f t="shared" si="8"/>
        <v>1379.5833333333333</v>
      </c>
      <c r="Q27" s="102"/>
      <c r="R27" s="54"/>
      <c r="S27" s="95" t="s">
        <v>88</v>
      </c>
      <c r="T27" s="96">
        <v>1102.32</v>
      </c>
    </row>
    <row r="28" spans="1:20" ht="18" customHeight="1" x14ac:dyDescent="0.5">
      <c r="A28" s="229"/>
      <c r="B28" s="40" t="s">
        <v>25</v>
      </c>
      <c r="C28" s="41">
        <f>C23</f>
        <v>586.79999999999995</v>
      </c>
      <c r="D28" s="41">
        <f t="shared" si="11"/>
        <v>586.79999999999995</v>
      </c>
      <c r="E28" s="41">
        <f t="shared" si="11"/>
        <v>586.79999999999995</v>
      </c>
      <c r="F28" s="41">
        <f t="shared" si="11"/>
        <v>586.79999999999995</v>
      </c>
      <c r="G28" s="41">
        <f t="shared" si="11"/>
        <v>586.79999999999995</v>
      </c>
      <c r="H28" s="41">
        <f t="shared" si="11"/>
        <v>624.71</v>
      </c>
      <c r="I28" s="41">
        <f t="shared" si="11"/>
        <v>184.44</v>
      </c>
      <c r="J28" s="41">
        <f t="shared" si="11"/>
        <v>996.84</v>
      </c>
      <c r="K28" s="41">
        <f t="shared" si="11"/>
        <v>547.49</v>
      </c>
      <c r="L28" s="41">
        <f t="shared" si="11"/>
        <v>508.35</v>
      </c>
      <c r="M28" s="41">
        <f t="shared" si="11"/>
        <v>508.35</v>
      </c>
      <c r="N28" s="41">
        <f t="shared" si="11"/>
        <v>508.35</v>
      </c>
      <c r="O28" s="41">
        <f>SUM(C28:N28)</f>
        <v>6812.5300000000007</v>
      </c>
      <c r="P28" s="41">
        <f t="shared" si="8"/>
        <v>567.71083333333343</v>
      </c>
      <c r="Q28" s="102"/>
      <c r="R28" s="54"/>
      <c r="S28" s="95" t="s">
        <v>89</v>
      </c>
      <c r="T28" s="96">
        <v>110.74</v>
      </c>
    </row>
    <row r="29" spans="1:20" ht="18" customHeight="1" x14ac:dyDescent="0.5">
      <c r="A29" s="229"/>
      <c r="B29" s="51" t="s">
        <v>35</v>
      </c>
      <c r="C29" s="52">
        <f>C26+C27+C28</f>
        <v>6056.6499999999987</v>
      </c>
      <c r="D29" s="52">
        <f t="shared" ref="D29:O29" si="12">D26+D27+D28</f>
        <v>14004.989999999998</v>
      </c>
      <c r="E29" s="52">
        <f t="shared" si="12"/>
        <v>8926.5600000000013</v>
      </c>
      <c r="F29" s="52">
        <f t="shared" si="12"/>
        <v>3106.0999999999995</v>
      </c>
      <c r="G29" s="52">
        <f t="shared" si="12"/>
        <v>7618.0200000000013</v>
      </c>
      <c r="H29" s="52">
        <f t="shared" si="12"/>
        <v>67.9399999999996</v>
      </c>
      <c r="I29" s="52">
        <f t="shared" si="12"/>
        <v>-2974.7300000000018</v>
      </c>
      <c r="J29" s="52">
        <f t="shared" si="12"/>
        <v>8467.66</v>
      </c>
      <c r="K29" s="52">
        <f t="shared" si="12"/>
        <v>2670.409999999998</v>
      </c>
      <c r="L29" s="52">
        <f t="shared" si="12"/>
        <v>9039.4699999999993</v>
      </c>
      <c r="M29" s="52">
        <f t="shared" si="12"/>
        <v>191.6400000000009</v>
      </c>
      <c r="N29" s="52">
        <f t="shared" si="12"/>
        <v>-4123.6699999999964</v>
      </c>
      <c r="O29" s="76">
        <f t="shared" si="12"/>
        <v>53051.040000000008</v>
      </c>
      <c r="P29" s="76">
        <f t="shared" si="8"/>
        <v>4420.920000000001</v>
      </c>
      <c r="Q29" s="103"/>
      <c r="R29" s="54"/>
      <c r="S29" s="95" t="s">
        <v>90</v>
      </c>
      <c r="T29" s="96">
        <v>58.65</v>
      </c>
    </row>
    <row r="30" spans="1:20" ht="18" customHeight="1" x14ac:dyDescent="0.5">
      <c r="A30" s="229"/>
      <c r="B30" s="78" t="s">
        <v>36</v>
      </c>
      <c r="C30" s="79">
        <f t="shared" ref="C30:O30" si="13">C14+C29</f>
        <v>6680.5399999999991</v>
      </c>
      <c r="D30" s="79">
        <f t="shared" si="13"/>
        <v>17878.159999999996</v>
      </c>
      <c r="E30" s="79">
        <f t="shared" si="13"/>
        <v>16467.75</v>
      </c>
      <c r="F30" s="79">
        <f t="shared" si="13"/>
        <v>11370.759999999991</v>
      </c>
      <c r="G30" s="79">
        <f t="shared" si="13"/>
        <v>18221.46</v>
      </c>
      <c r="H30" s="79">
        <f t="shared" si="13"/>
        <v>8269.3999999999978</v>
      </c>
      <c r="I30" s="79">
        <f t="shared" si="13"/>
        <v>-23608.540000000005</v>
      </c>
      <c r="J30" s="79">
        <f t="shared" si="13"/>
        <v>12068.500000000007</v>
      </c>
      <c r="K30" s="79">
        <f t="shared" si="13"/>
        <v>19414.46</v>
      </c>
      <c r="L30" s="79">
        <f t="shared" si="13"/>
        <v>24737.17</v>
      </c>
      <c r="M30" s="79">
        <f t="shared" si="13"/>
        <v>12518.480000000003</v>
      </c>
      <c r="N30" s="79">
        <f t="shared" si="13"/>
        <v>-14500.939999999991</v>
      </c>
      <c r="O30" s="79">
        <f t="shared" si="13"/>
        <v>109517.1999999999</v>
      </c>
      <c r="P30" s="105">
        <f t="shared" si="8"/>
        <v>9126.4333333333252</v>
      </c>
      <c r="Q30" s="104"/>
      <c r="R30" s="54"/>
      <c r="S30" s="95" t="s">
        <v>91</v>
      </c>
      <c r="T30" s="96">
        <v>304.89</v>
      </c>
    </row>
    <row r="31" spans="1:20" ht="20" customHeight="1" x14ac:dyDescent="0.5">
      <c r="A31" s="229"/>
      <c r="B31" s="245"/>
      <c r="C31" s="246"/>
      <c r="D31" s="246"/>
      <c r="E31" s="246"/>
      <c r="F31" s="246"/>
      <c r="G31" s="247"/>
      <c r="H31" s="248" t="s">
        <v>92</v>
      </c>
      <c r="I31" s="249"/>
      <c r="J31" s="249"/>
      <c r="K31" s="249"/>
      <c r="L31" s="249"/>
      <c r="M31" s="250"/>
      <c r="N31" s="251">
        <f>O14+O29</f>
        <v>109517.1999999999</v>
      </c>
      <c r="O31" s="252"/>
      <c r="P31" s="253"/>
      <c r="Q31" s="55"/>
      <c r="R31" s="56"/>
      <c r="S31" s="95" t="s">
        <v>93</v>
      </c>
      <c r="T31" s="96">
        <v>1100</v>
      </c>
    </row>
    <row r="32" spans="1:20" x14ac:dyDescent="0.5">
      <c r="A32" s="229"/>
      <c r="B32" s="108" t="s">
        <v>57</v>
      </c>
      <c r="C32" s="129">
        <f>C16/5</f>
        <v>4988.37</v>
      </c>
      <c r="D32" s="129">
        <f>D16/5</f>
        <v>6809.44</v>
      </c>
      <c r="E32" s="129">
        <f>E16/5</f>
        <v>5812.8</v>
      </c>
      <c r="F32" s="129">
        <f t="shared" ref="F32:H32" si="14">F16/5</f>
        <v>4931.7699999999995</v>
      </c>
      <c r="G32" s="129">
        <f t="shared" si="14"/>
        <v>5783.8</v>
      </c>
      <c r="H32" s="129">
        <f t="shared" si="14"/>
        <v>4520.3999999999996</v>
      </c>
      <c r="I32" s="129">
        <f>I16/7</f>
        <v>4830.7285714285708</v>
      </c>
      <c r="J32" s="129">
        <f t="shared" ref="J32:N32" si="15">J16/7</f>
        <v>4810.0714285714284</v>
      </c>
      <c r="K32" s="129">
        <f t="shared" si="15"/>
        <v>4201.4285714285716</v>
      </c>
      <c r="L32" s="129">
        <f t="shared" si="15"/>
        <v>5092.3142857142857</v>
      </c>
      <c r="M32" s="129">
        <f t="shared" si="15"/>
        <v>4691</v>
      </c>
      <c r="N32" s="129">
        <f t="shared" si="15"/>
        <v>4857.5</v>
      </c>
      <c r="O32" s="65"/>
      <c r="P32" s="65"/>
      <c r="Q32" s="65"/>
      <c r="R32" s="65"/>
      <c r="S32" s="95" t="s">
        <v>94</v>
      </c>
      <c r="T32" s="96">
        <v>5599.05</v>
      </c>
    </row>
    <row r="33" spans="1:20" x14ac:dyDescent="0.5">
      <c r="A33" s="55"/>
      <c r="B33" s="110" t="s">
        <v>95</v>
      </c>
      <c r="C33" s="111">
        <f>C16/8</f>
        <v>3117.7312499999998</v>
      </c>
      <c r="D33" s="111">
        <f t="shared" ref="D33:H33" si="16">D16/8</f>
        <v>4255.8999999999996</v>
      </c>
      <c r="E33" s="111">
        <f t="shared" si="16"/>
        <v>3633</v>
      </c>
      <c r="F33" s="111">
        <f t="shared" si="16"/>
        <v>3082.3562499999998</v>
      </c>
      <c r="G33" s="111">
        <f t="shared" si="16"/>
        <v>3614.875</v>
      </c>
      <c r="H33" s="111">
        <f t="shared" si="16"/>
        <v>2825.25</v>
      </c>
      <c r="I33" s="111">
        <f>I16/10</f>
        <v>3381.5099999999998</v>
      </c>
      <c r="J33" s="111">
        <f t="shared" ref="J33:N33" si="17">J16/10</f>
        <v>3367.05</v>
      </c>
      <c r="K33" s="111">
        <f t="shared" si="17"/>
        <v>2941</v>
      </c>
      <c r="L33" s="111">
        <f t="shared" si="17"/>
        <v>3564.62</v>
      </c>
      <c r="M33" s="111">
        <f t="shared" si="17"/>
        <v>3283.7</v>
      </c>
      <c r="N33" s="111">
        <f t="shared" si="17"/>
        <v>3400.25</v>
      </c>
      <c r="O33" s="67"/>
      <c r="P33" s="67"/>
      <c r="Q33" s="67"/>
      <c r="R33" s="55"/>
      <c r="S33" s="95" t="s">
        <v>96</v>
      </c>
      <c r="T33" s="96">
        <v>250.3</v>
      </c>
    </row>
    <row r="34" spans="1:20" x14ac:dyDescent="0.25">
      <c r="A34" s="55"/>
      <c r="B34" s="244"/>
      <c r="C34" s="244"/>
      <c r="D34" s="244"/>
      <c r="E34" s="68"/>
      <c r="F34" s="69"/>
      <c r="G34" s="72"/>
      <c r="H34" s="72"/>
      <c r="I34" s="72"/>
      <c r="J34" s="72"/>
      <c r="K34" s="72"/>
      <c r="L34" s="72"/>
      <c r="M34" s="67"/>
      <c r="N34" s="67"/>
      <c r="O34" s="67"/>
      <c r="P34" s="67"/>
      <c r="Q34" s="67"/>
      <c r="R34" s="55"/>
      <c r="S34" s="95" t="s">
        <v>97</v>
      </c>
      <c r="T34" s="96">
        <v>415.14</v>
      </c>
    </row>
    <row r="35" spans="1:20" x14ac:dyDescent="0.5">
      <c r="A35" s="55"/>
      <c r="B35" s="243"/>
      <c r="C35" s="243"/>
      <c r="D35" s="243"/>
      <c r="E35" s="66"/>
      <c r="F35" s="72"/>
      <c r="G35" s="73"/>
      <c r="H35" s="73"/>
      <c r="I35" s="73"/>
      <c r="J35" s="67"/>
      <c r="K35" s="67"/>
      <c r="L35" s="67"/>
      <c r="M35" s="67"/>
      <c r="N35" s="67"/>
      <c r="O35" s="67"/>
      <c r="P35" s="67"/>
      <c r="Q35" s="67"/>
      <c r="R35" s="55"/>
      <c r="S35" s="95" t="s">
        <v>98</v>
      </c>
      <c r="T35" s="96">
        <v>143.6</v>
      </c>
    </row>
    <row r="36" spans="1:20" x14ac:dyDescent="0.25">
      <c r="A36" s="55"/>
      <c r="B36" s="55"/>
      <c r="C36" s="67"/>
      <c r="D36" s="67"/>
      <c r="E36" s="67"/>
      <c r="F36" s="69"/>
      <c r="G36" s="70"/>
      <c r="H36" s="71"/>
      <c r="I36" s="71"/>
      <c r="J36" s="67"/>
      <c r="K36" s="67"/>
      <c r="L36" s="67"/>
      <c r="M36" s="67"/>
      <c r="N36" s="67"/>
      <c r="O36" s="67"/>
      <c r="P36" s="67"/>
      <c r="Q36" s="67"/>
      <c r="R36" s="55"/>
      <c r="S36" s="95" t="s">
        <v>99</v>
      </c>
      <c r="T36" s="96">
        <v>2045.14</v>
      </c>
    </row>
    <row r="37" spans="1:20" x14ac:dyDescent="0.5">
      <c r="A37" s="55"/>
      <c r="B37" s="55"/>
      <c r="C37" s="67"/>
      <c r="D37" s="67"/>
      <c r="E37" s="67"/>
      <c r="F37" s="72"/>
      <c r="G37" s="73"/>
      <c r="H37" s="73"/>
      <c r="I37" s="73"/>
      <c r="J37" s="67"/>
      <c r="K37" s="67"/>
      <c r="L37" s="67"/>
      <c r="M37" s="67"/>
      <c r="N37" s="67"/>
      <c r="O37" s="67"/>
      <c r="P37" s="67"/>
      <c r="Q37" s="67"/>
      <c r="R37" s="55"/>
    </row>
    <row r="38" spans="1:20" x14ac:dyDescent="0.25">
      <c r="A38" s="55"/>
      <c r="B38" s="55"/>
      <c r="C38" s="67"/>
      <c r="D38" s="67"/>
      <c r="E38" s="67"/>
      <c r="F38" s="69"/>
      <c r="G38" s="70"/>
      <c r="H38" s="71"/>
      <c r="I38" s="71"/>
      <c r="J38" s="67"/>
      <c r="K38" s="67"/>
      <c r="L38" s="67"/>
      <c r="M38" s="67"/>
      <c r="N38" s="67"/>
      <c r="O38" s="67"/>
      <c r="P38" s="67"/>
      <c r="Q38" s="67"/>
      <c r="R38" s="55"/>
    </row>
    <row r="39" spans="1:20" x14ac:dyDescent="0.5">
      <c r="A39" s="55"/>
      <c r="B39" s="55"/>
      <c r="C39" s="67"/>
      <c r="D39" s="67"/>
      <c r="E39" s="67"/>
      <c r="F39" s="72"/>
      <c r="G39" s="73"/>
      <c r="H39" s="73"/>
      <c r="I39" s="73"/>
      <c r="J39" s="67"/>
      <c r="K39" s="67"/>
      <c r="L39" s="67"/>
      <c r="M39" s="67"/>
      <c r="N39" s="67"/>
      <c r="O39" s="67"/>
      <c r="P39" s="67"/>
      <c r="Q39" s="67"/>
      <c r="R39" s="55"/>
    </row>
    <row r="40" spans="1:20" x14ac:dyDescent="0.25">
      <c r="B40" s="55"/>
      <c r="C40" s="67"/>
      <c r="D40" s="67"/>
      <c r="E40" s="67"/>
      <c r="F40" s="69"/>
      <c r="G40" s="70"/>
      <c r="H40" s="71"/>
      <c r="I40" s="71"/>
      <c r="J40" s="67"/>
      <c r="K40" s="67"/>
      <c r="L40" s="67"/>
      <c r="M40" s="67"/>
      <c r="N40" s="67"/>
      <c r="O40" s="67"/>
      <c r="P40" s="67"/>
      <c r="Q40" s="67"/>
      <c r="R40" s="55"/>
    </row>
    <row r="41" spans="1:20" x14ac:dyDescent="0.5">
      <c r="F41" s="31"/>
      <c r="G41"/>
      <c r="H41"/>
      <c r="I41"/>
    </row>
    <row r="42" spans="1:20" x14ac:dyDescent="0.25">
      <c r="F42" s="28"/>
      <c r="G42" s="29"/>
      <c r="H42" s="30"/>
      <c r="I42" s="30"/>
    </row>
    <row r="43" spans="1:20" x14ac:dyDescent="0.5">
      <c r="F43" s="31"/>
      <c r="G43"/>
      <c r="H43"/>
      <c r="I43"/>
    </row>
    <row r="44" spans="1:20" x14ac:dyDescent="0.25">
      <c r="F44" s="28"/>
      <c r="G44" s="29"/>
      <c r="H44" s="30"/>
      <c r="I44" s="30"/>
    </row>
    <row r="45" spans="1:20" x14ac:dyDescent="0.5">
      <c r="F45" s="31"/>
      <c r="G45"/>
      <c r="H45"/>
      <c r="I45"/>
    </row>
    <row r="46" spans="1:20" x14ac:dyDescent="0.25">
      <c r="F46" s="28"/>
      <c r="G46" s="29"/>
      <c r="H46" s="30"/>
      <c r="I46" s="30"/>
    </row>
    <row r="47" spans="1:20" x14ac:dyDescent="0.5">
      <c r="F47" s="31"/>
      <c r="G47"/>
      <c r="H47"/>
      <c r="I47"/>
    </row>
    <row r="48" spans="1:20" x14ac:dyDescent="0.25">
      <c r="F48" s="28"/>
      <c r="G48" s="29"/>
      <c r="H48" s="30"/>
      <c r="I48" s="30"/>
    </row>
  </sheetData>
  <mergeCells count="12">
    <mergeCell ref="N31:P31"/>
    <mergeCell ref="Q4:Q6"/>
    <mergeCell ref="Q7:Q8"/>
    <mergeCell ref="Q9:Q10"/>
    <mergeCell ref="Q17:Q21"/>
    <mergeCell ref="Q22:Q23"/>
    <mergeCell ref="Q24:Q25"/>
    <mergeCell ref="B34:D34"/>
    <mergeCell ref="B35:D35"/>
    <mergeCell ref="A1:A32"/>
    <mergeCell ref="B31:G31"/>
    <mergeCell ref="H31:M31"/>
  </mergeCells>
  <pageMargins left="0.7" right="0.7" top="0.75" bottom="0.75" header="0.3" footer="0.3"/>
  <pageSetup paperSize="9" orientation="portrait" horizontalDpi="0" verticalDpi="0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43"/>
  <sheetViews>
    <sheetView topLeftCell="B4" zoomScale="84" zoomScaleNormal="92" zoomScalePageLayoutView="112" workbookViewId="0">
      <selection activeCell="D7" sqref="D7"/>
    </sheetView>
  </sheetViews>
  <sheetFormatPr baseColWidth="10" defaultColWidth="10.6875" defaultRowHeight="15.75" x14ac:dyDescent="0.5"/>
  <cols>
    <col min="1" max="1" width="2" style="1" customWidth="1"/>
    <col min="2" max="2" width="30.125" style="1" bestFit="1" customWidth="1"/>
    <col min="3" max="14" width="12.4375" style="9" customWidth="1"/>
    <col min="15" max="15" width="13.6875" style="9" customWidth="1"/>
    <col min="16" max="16" width="9.6875" style="1" bestFit="1" customWidth="1"/>
    <col min="17" max="16384" width="10.6875" style="1"/>
  </cols>
  <sheetData>
    <row r="1" spans="1:17" ht="20" customHeight="1" x14ac:dyDescent="0.5">
      <c r="A1" s="229"/>
      <c r="B1" s="43" t="s">
        <v>100</v>
      </c>
      <c r="C1" s="44" t="s">
        <v>1</v>
      </c>
      <c r="D1" s="44" t="s">
        <v>2</v>
      </c>
      <c r="E1" s="44" t="s">
        <v>3</v>
      </c>
      <c r="F1" s="44" t="s">
        <v>4</v>
      </c>
      <c r="G1" s="45" t="s">
        <v>5</v>
      </c>
      <c r="H1" s="44" t="s">
        <v>6</v>
      </c>
      <c r="I1" s="44" t="s">
        <v>7</v>
      </c>
      <c r="J1" s="44" t="s">
        <v>8</v>
      </c>
      <c r="K1" s="44" t="s">
        <v>9</v>
      </c>
      <c r="L1" s="44" t="s">
        <v>10</v>
      </c>
      <c r="M1" s="44" t="s">
        <v>11</v>
      </c>
      <c r="N1" s="44" t="s">
        <v>12</v>
      </c>
      <c r="O1" s="44" t="s">
        <v>13</v>
      </c>
      <c r="P1" s="54"/>
      <c r="Q1" s="55"/>
    </row>
    <row r="2" spans="1:17" ht="8.1" customHeight="1" x14ac:dyDescent="0.5">
      <c r="A2" s="229"/>
      <c r="B2" s="47"/>
      <c r="C2" s="42"/>
      <c r="D2" s="42"/>
      <c r="E2" s="42"/>
      <c r="F2" s="42"/>
      <c r="G2" s="42"/>
      <c r="H2" s="42"/>
      <c r="I2" s="42"/>
      <c r="J2" s="42"/>
      <c r="K2" s="42"/>
      <c r="L2" s="42"/>
      <c r="M2" s="42"/>
      <c r="N2" s="42"/>
      <c r="O2" s="46"/>
      <c r="P2" s="54"/>
      <c r="Q2" s="55"/>
    </row>
    <row r="3" spans="1:17" ht="20" customHeight="1" x14ac:dyDescent="0.5">
      <c r="A3" s="229"/>
      <c r="B3" s="48" t="s">
        <v>101</v>
      </c>
      <c r="C3" s="49">
        <v>40170.5</v>
      </c>
      <c r="D3" s="49">
        <v>35030</v>
      </c>
      <c r="E3" s="49">
        <v>37633</v>
      </c>
      <c r="F3" s="49">
        <v>33836</v>
      </c>
      <c r="G3" s="49">
        <v>30984</v>
      </c>
      <c r="H3" s="49">
        <v>33960.800000000003</v>
      </c>
      <c r="I3" s="49">
        <v>32919</v>
      </c>
      <c r="J3" s="49">
        <v>36769</v>
      </c>
      <c r="K3" s="49">
        <v>37184.1</v>
      </c>
      <c r="L3" s="49">
        <v>30882</v>
      </c>
      <c r="M3" s="49">
        <v>30075</v>
      </c>
      <c r="N3" s="49">
        <v>34787</v>
      </c>
      <c r="O3" s="50">
        <f t="shared" ref="O3:O20" si="0">SUM(C3:N3)</f>
        <v>414230.39999999997</v>
      </c>
      <c r="P3" s="54"/>
      <c r="Q3" s="55"/>
    </row>
    <row r="4" spans="1:17" ht="20" customHeight="1" x14ac:dyDescent="0.5">
      <c r="A4" s="229"/>
      <c r="B4" s="74" t="s">
        <v>102</v>
      </c>
      <c r="C4" s="75"/>
      <c r="D4" s="64"/>
      <c r="E4" s="64"/>
      <c r="F4" s="64"/>
      <c r="G4" s="64"/>
      <c r="H4" s="64"/>
      <c r="I4" s="64"/>
      <c r="J4" s="59"/>
      <c r="K4" s="59"/>
      <c r="L4" s="64"/>
      <c r="M4" s="64"/>
      <c r="N4" s="64"/>
      <c r="O4" s="130">
        <f>SUM(C4:N4)</f>
        <v>0</v>
      </c>
      <c r="P4" s="54"/>
      <c r="Q4" s="55"/>
    </row>
    <row r="5" spans="1:17" ht="18" customHeight="1" x14ac:dyDescent="0.5">
      <c r="A5" s="229"/>
      <c r="B5" s="32" t="s">
        <v>20</v>
      </c>
      <c r="C5" s="33">
        <v>1172.95</v>
      </c>
      <c r="D5" s="33">
        <v>1328</v>
      </c>
      <c r="E5" s="34">
        <v>2383.5</v>
      </c>
      <c r="F5" s="34">
        <v>663</v>
      </c>
      <c r="G5" s="34">
        <v>2411</v>
      </c>
      <c r="H5" s="34">
        <v>2609.25</v>
      </c>
      <c r="I5" s="34">
        <v>305.5</v>
      </c>
      <c r="J5" s="34">
        <v>634.5</v>
      </c>
      <c r="K5" s="34">
        <v>1002</v>
      </c>
      <c r="L5" s="34">
        <v>2905</v>
      </c>
      <c r="M5" s="34">
        <v>880</v>
      </c>
      <c r="N5" s="34">
        <v>3741.5</v>
      </c>
      <c r="O5" s="131">
        <f>SUM(C5:N5)</f>
        <v>20036.2</v>
      </c>
      <c r="P5" s="54"/>
      <c r="Q5" s="55"/>
    </row>
    <row r="6" spans="1:17" ht="20" customHeight="1" x14ac:dyDescent="0.5">
      <c r="A6" s="229"/>
      <c r="B6" s="32" t="s">
        <v>25</v>
      </c>
      <c r="C6" s="34">
        <v>615.07000000000005</v>
      </c>
      <c r="D6" s="34">
        <v>613.07000000000005</v>
      </c>
      <c r="E6" s="34">
        <v>613.07000000000005</v>
      </c>
      <c r="F6" s="34">
        <v>613.07000000000005</v>
      </c>
      <c r="G6" s="34">
        <v>613.07000000000005</v>
      </c>
      <c r="H6" s="34">
        <v>613.07000000000005</v>
      </c>
      <c r="I6" s="34">
        <v>613.07000000000005</v>
      </c>
      <c r="J6" s="34">
        <v>589.41999999999996</v>
      </c>
      <c r="K6" s="34">
        <v>589.41999999999996</v>
      </c>
      <c r="L6" s="34">
        <v>589.41999999999996</v>
      </c>
      <c r="M6" s="34">
        <v>589.41999999999996</v>
      </c>
      <c r="N6" s="34">
        <v>588.33000000000004</v>
      </c>
      <c r="O6" s="131">
        <f>SUM(C6:N6)</f>
        <v>7239.5000000000009</v>
      </c>
      <c r="P6" s="54"/>
      <c r="Q6" s="55"/>
    </row>
    <row r="7" spans="1:17" ht="20" customHeight="1" x14ac:dyDescent="0.5">
      <c r="A7" s="229"/>
      <c r="B7" s="35" t="s">
        <v>103</v>
      </c>
      <c r="C7" s="36">
        <v>29498.27</v>
      </c>
      <c r="D7" s="36">
        <v>28131.89</v>
      </c>
      <c r="E7" s="36">
        <v>31315.39</v>
      </c>
      <c r="F7" s="36">
        <v>30542.84</v>
      </c>
      <c r="G7" s="36">
        <v>29884.07</v>
      </c>
      <c r="H7" s="36">
        <v>28912.23</v>
      </c>
      <c r="I7" s="36">
        <v>46112.79</v>
      </c>
      <c r="J7" s="36">
        <v>38693.11</v>
      </c>
      <c r="K7" s="36">
        <v>31636.9</v>
      </c>
      <c r="L7" s="36">
        <v>29222.66</v>
      </c>
      <c r="M7" s="36">
        <v>41728.449999999997</v>
      </c>
      <c r="N7" s="3">
        <v>44706.69</v>
      </c>
      <c r="O7" s="132">
        <f t="shared" ref="O7:O8" si="1">SUM(C7:N7)</f>
        <v>410385.29000000004</v>
      </c>
      <c r="P7" s="54"/>
      <c r="Q7" s="55"/>
    </row>
    <row r="8" spans="1:17" ht="20" customHeight="1" x14ac:dyDescent="0.5">
      <c r="A8" s="229"/>
      <c r="B8" s="35" t="s">
        <v>23</v>
      </c>
      <c r="C8" s="36">
        <v>1332.5</v>
      </c>
      <c r="D8" s="36">
        <v>854</v>
      </c>
      <c r="E8" s="36">
        <v>686</v>
      </c>
      <c r="F8" s="36">
        <v>550</v>
      </c>
      <c r="G8" s="36">
        <v>686</v>
      </c>
      <c r="H8" s="36">
        <v>410</v>
      </c>
      <c r="I8" s="36">
        <v>320</v>
      </c>
      <c r="J8" s="36">
        <v>483</v>
      </c>
      <c r="K8" s="36">
        <v>483</v>
      </c>
      <c r="L8" s="36">
        <v>515</v>
      </c>
      <c r="M8" s="36">
        <v>419</v>
      </c>
      <c r="N8" s="36">
        <v>275</v>
      </c>
      <c r="O8" s="132">
        <f t="shared" si="1"/>
        <v>7013.5</v>
      </c>
      <c r="P8" s="54"/>
      <c r="Q8" s="55"/>
    </row>
    <row r="9" spans="1:17" ht="20" customHeight="1" x14ac:dyDescent="0.5">
      <c r="A9" s="229"/>
      <c r="B9" s="37" t="s">
        <v>24</v>
      </c>
      <c r="C9" s="38">
        <f>C3+C4-C5-C6-C7-C8</f>
        <v>7551.7100000000028</v>
      </c>
      <c r="D9" s="38">
        <f t="shared" ref="D9:N9" si="2">D3+D4-D5-D6-D7-D8</f>
        <v>4103.0400000000009</v>
      </c>
      <c r="E9" s="38">
        <f t="shared" si="2"/>
        <v>2635.0400000000009</v>
      </c>
      <c r="F9" s="38">
        <f t="shared" si="2"/>
        <v>1467.0900000000001</v>
      </c>
      <c r="G9" s="38">
        <f t="shared" si="2"/>
        <v>-2610.1399999999994</v>
      </c>
      <c r="H9" s="38">
        <f t="shared" si="2"/>
        <v>1416.2500000000036</v>
      </c>
      <c r="I9" s="38">
        <f t="shared" si="2"/>
        <v>-14432.36</v>
      </c>
      <c r="J9" s="38">
        <f t="shared" si="2"/>
        <v>-3631.0299999999988</v>
      </c>
      <c r="K9" s="38">
        <f t="shared" si="2"/>
        <v>3472.7799999999988</v>
      </c>
      <c r="L9" s="38">
        <f t="shared" si="2"/>
        <v>-2350.0799999999981</v>
      </c>
      <c r="M9" s="38">
        <f t="shared" si="2"/>
        <v>-13541.869999999995</v>
      </c>
      <c r="N9" s="38">
        <f t="shared" si="2"/>
        <v>-14524.520000000004</v>
      </c>
      <c r="O9" s="39">
        <f>O3+O4-O5-O6-O7-O8</f>
        <v>-30444.090000000084</v>
      </c>
      <c r="P9" s="54"/>
      <c r="Q9" s="55"/>
    </row>
    <row r="10" spans="1:17" ht="20" customHeight="1" x14ac:dyDescent="0.5">
      <c r="A10" s="229"/>
      <c r="B10" s="40" t="s">
        <v>20</v>
      </c>
      <c r="C10" s="41">
        <f>C5</f>
        <v>1172.95</v>
      </c>
      <c r="D10" s="41">
        <f t="shared" ref="D10:N10" si="3">D5</f>
        <v>1328</v>
      </c>
      <c r="E10" s="41">
        <f t="shared" si="3"/>
        <v>2383.5</v>
      </c>
      <c r="F10" s="41">
        <f t="shared" si="3"/>
        <v>663</v>
      </c>
      <c r="G10" s="41">
        <f t="shared" si="3"/>
        <v>2411</v>
      </c>
      <c r="H10" s="41">
        <f t="shared" si="3"/>
        <v>2609.25</v>
      </c>
      <c r="I10" s="41">
        <f t="shared" si="3"/>
        <v>305.5</v>
      </c>
      <c r="J10" s="41">
        <f t="shared" si="3"/>
        <v>634.5</v>
      </c>
      <c r="K10" s="41">
        <f t="shared" si="3"/>
        <v>1002</v>
      </c>
      <c r="L10" s="41">
        <f t="shared" si="3"/>
        <v>2905</v>
      </c>
      <c r="M10" s="41">
        <f t="shared" si="3"/>
        <v>880</v>
      </c>
      <c r="N10" s="41">
        <f t="shared" si="3"/>
        <v>3741.5</v>
      </c>
      <c r="O10" s="41">
        <f>SUM(C10:N10)</f>
        <v>20036.2</v>
      </c>
      <c r="P10" s="54"/>
      <c r="Q10" s="55"/>
    </row>
    <row r="11" spans="1:17" ht="20" customHeight="1" x14ac:dyDescent="0.5">
      <c r="A11" s="229"/>
      <c r="B11" s="40" t="s">
        <v>25</v>
      </c>
      <c r="C11" s="41">
        <f>C6</f>
        <v>615.07000000000005</v>
      </c>
      <c r="D11" s="41">
        <f t="shared" ref="D11:N11" si="4">D6</f>
        <v>613.07000000000005</v>
      </c>
      <c r="E11" s="41">
        <f t="shared" si="4"/>
        <v>613.07000000000005</v>
      </c>
      <c r="F11" s="41">
        <f t="shared" si="4"/>
        <v>613.07000000000005</v>
      </c>
      <c r="G11" s="41">
        <f t="shared" si="4"/>
        <v>613.07000000000005</v>
      </c>
      <c r="H11" s="41">
        <f t="shared" si="4"/>
        <v>613.07000000000005</v>
      </c>
      <c r="I11" s="41">
        <f t="shared" si="4"/>
        <v>613.07000000000005</v>
      </c>
      <c r="J11" s="41">
        <f t="shared" si="4"/>
        <v>589.41999999999996</v>
      </c>
      <c r="K11" s="41">
        <f t="shared" si="4"/>
        <v>589.41999999999996</v>
      </c>
      <c r="L11" s="41">
        <f t="shared" si="4"/>
        <v>589.41999999999996</v>
      </c>
      <c r="M11" s="41">
        <f t="shared" si="4"/>
        <v>589.41999999999996</v>
      </c>
      <c r="N11" s="41">
        <f t="shared" si="4"/>
        <v>588.33000000000004</v>
      </c>
      <c r="O11" s="41">
        <f>SUM(C11:N11)</f>
        <v>7239.5000000000009</v>
      </c>
      <c r="P11" s="54"/>
      <c r="Q11" s="55"/>
    </row>
    <row r="12" spans="1:17" ht="20" customHeight="1" x14ac:dyDescent="0.5">
      <c r="A12" s="229"/>
      <c r="B12" s="51" t="s">
        <v>26</v>
      </c>
      <c r="C12" s="52">
        <f>C9+C10+C11</f>
        <v>9339.7300000000032</v>
      </c>
      <c r="D12" s="52">
        <f t="shared" ref="D12:O12" si="5">D9+D10+D11</f>
        <v>6044.1100000000006</v>
      </c>
      <c r="E12" s="52">
        <f t="shared" si="5"/>
        <v>5631.6100000000006</v>
      </c>
      <c r="F12" s="52">
        <f t="shared" si="5"/>
        <v>2743.1600000000003</v>
      </c>
      <c r="G12" s="52">
        <f t="shared" si="5"/>
        <v>413.93000000000063</v>
      </c>
      <c r="H12" s="52">
        <f t="shared" si="5"/>
        <v>4638.5700000000033</v>
      </c>
      <c r="I12" s="52">
        <f t="shared" si="5"/>
        <v>-13513.79</v>
      </c>
      <c r="J12" s="52">
        <f t="shared" si="5"/>
        <v>-2407.1099999999988</v>
      </c>
      <c r="K12" s="52">
        <f t="shared" si="5"/>
        <v>5064.1999999999989</v>
      </c>
      <c r="L12" s="52">
        <f t="shared" si="5"/>
        <v>1144.340000000002</v>
      </c>
      <c r="M12" s="52">
        <f t="shared" si="5"/>
        <v>-12072.449999999995</v>
      </c>
      <c r="N12" s="52">
        <f t="shared" si="5"/>
        <v>-10194.690000000004</v>
      </c>
      <c r="O12" s="53">
        <f t="shared" si="5"/>
        <v>-3168.3900000000822</v>
      </c>
      <c r="P12" s="54"/>
      <c r="Q12" s="55"/>
    </row>
    <row r="13" spans="1:17" ht="12" customHeight="1" x14ac:dyDescent="0.5">
      <c r="A13" s="229"/>
      <c r="B13" s="47"/>
      <c r="C13" s="42"/>
      <c r="D13" s="42"/>
      <c r="E13" s="42"/>
      <c r="F13" s="42"/>
      <c r="G13" s="42"/>
      <c r="H13" s="42"/>
      <c r="I13" s="42"/>
      <c r="J13" s="42"/>
      <c r="K13" s="42"/>
      <c r="L13" s="42"/>
      <c r="M13" s="42"/>
      <c r="N13" s="42"/>
      <c r="O13" s="46"/>
      <c r="P13" s="54"/>
      <c r="Q13" s="55"/>
    </row>
    <row r="14" spans="1:17" ht="20" customHeight="1" x14ac:dyDescent="0.5">
      <c r="A14" s="229"/>
      <c r="B14" s="48" t="s">
        <v>104</v>
      </c>
      <c r="C14" s="49">
        <v>23812.1</v>
      </c>
      <c r="D14" s="49">
        <v>28062</v>
      </c>
      <c r="E14" s="49">
        <v>25577.5</v>
      </c>
      <c r="F14" s="49">
        <v>32788</v>
      </c>
      <c r="G14" s="49">
        <v>33702</v>
      </c>
      <c r="H14" s="49">
        <v>30395</v>
      </c>
      <c r="I14" s="49">
        <v>21637.7</v>
      </c>
      <c r="J14" s="49">
        <v>37115</v>
      </c>
      <c r="K14" s="49">
        <v>28056</v>
      </c>
      <c r="L14" s="49">
        <v>31151</v>
      </c>
      <c r="M14" s="49">
        <v>25871</v>
      </c>
      <c r="N14" s="49">
        <v>29982</v>
      </c>
      <c r="O14" s="50">
        <f t="shared" si="0"/>
        <v>348149.30000000005</v>
      </c>
      <c r="P14" s="54"/>
      <c r="Q14" s="55"/>
    </row>
    <row r="15" spans="1:17" ht="20" customHeight="1" x14ac:dyDescent="0.5">
      <c r="A15" s="229"/>
      <c r="B15" s="74" t="s">
        <v>105</v>
      </c>
      <c r="C15" s="75"/>
      <c r="D15" s="58"/>
      <c r="E15" s="58"/>
      <c r="F15" s="58"/>
      <c r="G15" s="58"/>
      <c r="H15" s="58"/>
      <c r="I15" s="58"/>
      <c r="J15" s="58"/>
      <c r="K15" s="59"/>
      <c r="L15" s="64"/>
      <c r="M15" s="64"/>
      <c r="N15" s="64"/>
      <c r="O15" s="130">
        <f>SUM(C15:N15)</f>
        <v>0</v>
      </c>
      <c r="P15" s="54"/>
      <c r="Q15" s="55"/>
    </row>
    <row r="16" spans="1:17" ht="20" customHeight="1" x14ac:dyDescent="0.5">
      <c r="A16" s="229"/>
      <c r="B16" s="74" t="s">
        <v>106</v>
      </c>
      <c r="C16" s="75"/>
      <c r="D16" s="58"/>
      <c r="E16" s="58"/>
      <c r="F16" s="58"/>
      <c r="G16" s="58"/>
      <c r="H16" s="58"/>
      <c r="I16" s="58"/>
      <c r="J16" s="58"/>
      <c r="K16" s="59"/>
      <c r="L16" s="64"/>
      <c r="M16" s="64"/>
      <c r="N16" s="64"/>
      <c r="O16" s="130">
        <f>SUM(C16:N16)</f>
        <v>0</v>
      </c>
      <c r="P16" s="54"/>
      <c r="Q16" s="55"/>
    </row>
    <row r="17" spans="1:17" ht="20" customHeight="1" x14ac:dyDescent="0.5">
      <c r="A17" s="229"/>
      <c r="B17" s="32" t="s">
        <v>20</v>
      </c>
      <c r="C17" s="33">
        <v>1172.95</v>
      </c>
      <c r="D17" s="33">
        <v>1328</v>
      </c>
      <c r="E17" s="34">
        <v>2383.5</v>
      </c>
      <c r="F17" s="34">
        <v>663</v>
      </c>
      <c r="G17" s="34">
        <v>2411</v>
      </c>
      <c r="H17" s="34">
        <v>2609.25</v>
      </c>
      <c r="I17" s="34">
        <v>305.5</v>
      </c>
      <c r="J17" s="34">
        <v>634.5</v>
      </c>
      <c r="K17" s="34">
        <v>1002</v>
      </c>
      <c r="L17" s="34">
        <v>2905</v>
      </c>
      <c r="M17" s="34">
        <v>880</v>
      </c>
      <c r="N17" s="34">
        <v>3741.5</v>
      </c>
      <c r="O17" s="131">
        <f>SUM(C17:N17)</f>
        <v>20036.2</v>
      </c>
      <c r="P17" s="54"/>
      <c r="Q17" s="55"/>
    </row>
    <row r="18" spans="1:17" ht="20" customHeight="1" x14ac:dyDescent="0.5">
      <c r="A18" s="229"/>
      <c r="B18" s="32" t="s">
        <v>25</v>
      </c>
      <c r="C18" s="34">
        <v>615.07000000000005</v>
      </c>
      <c r="D18" s="34">
        <v>613.07000000000005</v>
      </c>
      <c r="E18" s="34">
        <v>613.07000000000005</v>
      </c>
      <c r="F18" s="34">
        <v>613.07000000000005</v>
      </c>
      <c r="G18" s="34">
        <v>613.07000000000005</v>
      </c>
      <c r="H18" s="34">
        <v>613.07000000000005</v>
      </c>
      <c r="I18" s="34">
        <v>613.07000000000005</v>
      </c>
      <c r="J18" s="34">
        <v>589.41999999999996</v>
      </c>
      <c r="K18" s="34">
        <v>589.41999999999996</v>
      </c>
      <c r="L18" s="34">
        <v>589.41999999999996</v>
      </c>
      <c r="M18" s="34">
        <v>589.41999999999996</v>
      </c>
      <c r="N18" s="34">
        <v>588.33000000000004</v>
      </c>
      <c r="O18" s="131">
        <f>SUM(C18:N18)</f>
        <v>7239.5000000000009</v>
      </c>
      <c r="P18" s="54"/>
      <c r="Q18" s="55"/>
    </row>
    <row r="19" spans="1:17" ht="20" customHeight="1" x14ac:dyDescent="0.5">
      <c r="A19" s="229"/>
      <c r="B19" s="35" t="s">
        <v>107</v>
      </c>
      <c r="C19" s="36">
        <v>15586.45</v>
      </c>
      <c r="D19" s="36">
        <v>15749.48</v>
      </c>
      <c r="E19" s="36">
        <v>15792.94</v>
      </c>
      <c r="F19" s="36">
        <v>20684.599999999999</v>
      </c>
      <c r="G19" s="36">
        <v>18290.740000000002</v>
      </c>
      <c r="H19" s="36">
        <v>18528.29</v>
      </c>
      <c r="I19" s="36">
        <v>30568.01</v>
      </c>
      <c r="J19" s="36">
        <v>20158.759999999998</v>
      </c>
      <c r="K19" s="36">
        <v>19638.48</v>
      </c>
      <c r="L19" s="36">
        <v>20221.75</v>
      </c>
      <c r="M19" s="36">
        <v>27990.38</v>
      </c>
      <c r="N19" s="3">
        <v>28331.32</v>
      </c>
      <c r="O19" s="132">
        <f t="shared" si="0"/>
        <v>251541.20000000004</v>
      </c>
      <c r="P19" s="54"/>
      <c r="Q19" s="55"/>
    </row>
    <row r="20" spans="1:17" ht="20" customHeight="1" x14ac:dyDescent="0.5">
      <c r="A20" s="229"/>
      <c r="B20" s="35" t="s">
        <v>34</v>
      </c>
      <c r="C20" s="36">
        <v>2339.6</v>
      </c>
      <c r="D20" s="36">
        <v>2852</v>
      </c>
      <c r="E20" s="36">
        <v>2817</v>
      </c>
      <c r="F20" s="36">
        <v>2934</v>
      </c>
      <c r="G20" s="36">
        <v>2525</v>
      </c>
      <c r="H20" s="36">
        <v>1935</v>
      </c>
      <c r="I20" s="36">
        <v>2415</v>
      </c>
      <c r="J20" s="36">
        <v>1388</v>
      </c>
      <c r="K20" s="36">
        <v>1533</v>
      </c>
      <c r="L20" s="36">
        <v>2393</v>
      </c>
      <c r="M20" s="36">
        <v>930</v>
      </c>
      <c r="N20" s="36">
        <v>1471</v>
      </c>
      <c r="O20" s="132">
        <f t="shared" si="0"/>
        <v>25532.6</v>
      </c>
      <c r="P20" s="54"/>
      <c r="Q20" s="55"/>
    </row>
    <row r="21" spans="1:17" ht="20" customHeight="1" x14ac:dyDescent="0.5">
      <c r="A21" s="229"/>
      <c r="B21" s="37" t="s">
        <v>24</v>
      </c>
      <c r="C21" s="38">
        <f>C14+C15+C16-C17-C18-C19-C20</f>
        <v>4098.029999999997</v>
      </c>
      <c r="D21" s="38">
        <f t="shared" ref="D21:N21" si="6">D14+D15+D16-D17-D18-D19-D20</f>
        <v>7519.4500000000007</v>
      </c>
      <c r="E21" s="38">
        <f t="shared" si="6"/>
        <v>3970.99</v>
      </c>
      <c r="F21" s="38">
        <f t="shared" si="6"/>
        <v>7893.3300000000017</v>
      </c>
      <c r="G21" s="38">
        <f t="shared" si="6"/>
        <v>9862.1899999999987</v>
      </c>
      <c r="H21" s="38">
        <f t="shared" si="6"/>
        <v>6709.3899999999994</v>
      </c>
      <c r="I21" s="38">
        <f t="shared" si="6"/>
        <v>-12263.879999999997</v>
      </c>
      <c r="J21" s="38">
        <f t="shared" si="6"/>
        <v>14344.320000000003</v>
      </c>
      <c r="K21" s="38">
        <f t="shared" si="6"/>
        <v>5293.1000000000022</v>
      </c>
      <c r="L21" s="38">
        <f t="shared" si="6"/>
        <v>5041.8300000000017</v>
      </c>
      <c r="M21" s="38">
        <f t="shared" si="6"/>
        <v>-4518.7999999999993</v>
      </c>
      <c r="N21" s="38">
        <f t="shared" si="6"/>
        <v>-4150.1500000000015</v>
      </c>
      <c r="O21" s="39">
        <f>O14+O15+O16-O17-O18-O19-O20</f>
        <v>43799.799999999996</v>
      </c>
      <c r="P21" s="54"/>
      <c r="Q21" s="55"/>
    </row>
    <row r="22" spans="1:17" ht="20" customHeight="1" x14ac:dyDescent="0.5">
      <c r="A22" s="229"/>
      <c r="B22" s="40" t="s">
        <v>20</v>
      </c>
      <c r="C22" s="41">
        <f>C17</f>
        <v>1172.95</v>
      </c>
      <c r="D22" s="41">
        <f t="shared" ref="D22:N22" si="7">D17</f>
        <v>1328</v>
      </c>
      <c r="E22" s="41">
        <f t="shared" si="7"/>
        <v>2383.5</v>
      </c>
      <c r="F22" s="41">
        <f t="shared" si="7"/>
        <v>663</v>
      </c>
      <c r="G22" s="41">
        <f t="shared" si="7"/>
        <v>2411</v>
      </c>
      <c r="H22" s="41">
        <f t="shared" si="7"/>
        <v>2609.25</v>
      </c>
      <c r="I22" s="41">
        <f t="shared" si="7"/>
        <v>305.5</v>
      </c>
      <c r="J22" s="41">
        <f t="shared" si="7"/>
        <v>634.5</v>
      </c>
      <c r="K22" s="41">
        <f t="shared" si="7"/>
        <v>1002</v>
      </c>
      <c r="L22" s="41">
        <f t="shared" si="7"/>
        <v>2905</v>
      </c>
      <c r="M22" s="41">
        <f t="shared" si="7"/>
        <v>880</v>
      </c>
      <c r="N22" s="41">
        <f t="shared" si="7"/>
        <v>3741.5</v>
      </c>
      <c r="O22" s="41">
        <f>SUM(C22:N22)</f>
        <v>20036.2</v>
      </c>
      <c r="P22" s="54"/>
      <c r="Q22" s="55"/>
    </row>
    <row r="23" spans="1:17" ht="20" customHeight="1" x14ac:dyDescent="0.5">
      <c r="A23" s="229"/>
      <c r="B23" s="40" t="s">
        <v>25</v>
      </c>
      <c r="C23" s="41">
        <f>C18</f>
        <v>615.07000000000005</v>
      </c>
      <c r="D23" s="41">
        <f t="shared" ref="D23:N23" si="8">D18</f>
        <v>613.07000000000005</v>
      </c>
      <c r="E23" s="41">
        <f t="shared" si="8"/>
        <v>613.07000000000005</v>
      </c>
      <c r="F23" s="41">
        <f t="shared" si="8"/>
        <v>613.07000000000005</v>
      </c>
      <c r="G23" s="41">
        <f t="shared" si="8"/>
        <v>613.07000000000005</v>
      </c>
      <c r="H23" s="41">
        <f t="shared" si="8"/>
        <v>613.07000000000005</v>
      </c>
      <c r="I23" s="41">
        <f t="shared" si="8"/>
        <v>613.07000000000005</v>
      </c>
      <c r="J23" s="41">
        <f t="shared" si="8"/>
        <v>589.41999999999996</v>
      </c>
      <c r="K23" s="41">
        <f t="shared" si="8"/>
        <v>589.41999999999996</v>
      </c>
      <c r="L23" s="41">
        <f t="shared" si="8"/>
        <v>589.41999999999996</v>
      </c>
      <c r="M23" s="41">
        <f t="shared" si="8"/>
        <v>589.41999999999996</v>
      </c>
      <c r="N23" s="41">
        <f t="shared" si="8"/>
        <v>588.33000000000004</v>
      </c>
      <c r="O23" s="41">
        <f>SUM(C23:N23)</f>
        <v>7239.5000000000009</v>
      </c>
      <c r="P23" s="54"/>
      <c r="Q23" s="55"/>
    </row>
    <row r="24" spans="1:17" ht="20" customHeight="1" x14ac:dyDescent="0.5">
      <c r="A24" s="229"/>
      <c r="B24" s="51" t="s">
        <v>35</v>
      </c>
      <c r="C24" s="52">
        <f>C21+C22+C23</f>
        <v>5886.0499999999965</v>
      </c>
      <c r="D24" s="52">
        <f t="shared" ref="D24" si="9">D21+D22+D23</f>
        <v>9460.52</v>
      </c>
      <c r="E24" s="52">
        <f t="shared" ref="E24" si="10">E21+E22+E23</f>
        <v>6967.5599999999995</v>
      </c>
      <c r="F24" s="52">
        <f t="shared" ref="F24" si="11">F21+F22+F23</f>
        <v>9169.4000000000015</v>
      </c>
      <c r="G24" s="52">
        <f t="shared" ref="G24" si="12">G21+G22+G23</f>
        <v>12886.259999999998</v>
      </c>
      <c r="H24" s="52">
        <f t="shared" ref="H24" si="13">H21+H22+H23</f>
        <v>9931.7099999999991</v>
      </c>
      <c r="I24" s="52">
        <f t="shared" ref="I24" si="14">I21+I22+I23</f>
        <v>-11345.309999999998</v>
      </c>
      <c r="J24" s="52">
        <f t="shared" ref="J24" si="15">J21+J22+J23</f>
        <v>15568.240000000003</v>
      </c>
      <c r="K24" s="52">
        <f t="shared" ref="K24" si="16">K21+K22+K23</f>
        <v>6884.5200000000023</v>
      </c>
      <c r="L24" s="52">
        <f t="shared" ref="L24" si="17">L21+L22+L23</f>
        <v>8536.2500000000018</v>
      </c>
      <c r="M24" s="52">
        <f t="shared" ref="M24" si="18">M21+M22+M23</f>
        <v>-3049.3799999999992</v>
      </c>
      <c r="N24" s="52">
        <f t="shared" ref="N24" si="19">N21+N22+N23</f>
        <v>179.67999999999859</v>
      </c>
      <c r="O24" s="53">
        <f t="shared" ref="O24" si="20">O21+O22+O23</f>
        <v>71075.5</v>
      </c>
      <c r="P24" s="54"/>
      <c r="Q24" s="55"/>
    </row>
    <row r="25" spans="1:17" ht="20" customHeight="1" x14ac:dyDescent="0.5">
      <c r="A25" s="229"/>
      <c r="B25" s="78" t="s">
        <v>36</v>
      </c>
      <c r="C25" s="79">
        <f>C12+C24</f>
        <v>15225.779999999999</v>
      </c>
      <c r="D25" s="79">
        <f t="shared" ref="D25:O25" si="21">D12+D24</f>
        <v>15504.630000000001</v>
      </c>
      <c r="E25" s="79">
        <f t="shared" si="21"/>
        <v>12599.17</v>
      </c>
      <c r="F25" s="79">
        <f t="shared" si="21"/>
        <v>11912.560000000001</v>
      </c>
      <c r="G25" s="79">
        <f t="shared" si="21"/>
        <v>13300.189999999999</v>
      </c>
      <c r="H25" s="79">
        <f t="shared" si="21"/>
        <v>14570.280000000002</v>
      </c>
      <c r="I25" s="79">
        <f t="shared" si="21"/>
        <v>-24859.1</v>
      </c>
      <c r="J25" s="79">
        <f t="shared" si="21"/>
        <v>13161.130000000005</v>
      </c>
      <c r="K25" s="79">
        <f t="shared" si="21"/>
        <v>11948.720000000001</v>
      </c>
      <c r="L25" s="79">
        <f t="shared" si="21"/>
        <v>9680.5900000000038</v>
      </c>
      <c r="M25" s="79">
        <f t="shared" si="21"/>
        <v>-15121.829999999994</v>
      </c>
      <c r="N25" s="79">
        <f t="shared" si="21"/>
        <v>-10015.010000000006</v>
      </c>
      <c r="O25" s="79">
        <f t="shared" si="21"/>
        <v>67907.109999999913</v>
      </c>
      <c r="P25" s="54"/>
      <c r="Q25" s="55"/>
    </row>
    <row r="26" spans="1:17" ht="20" customHeight="1" x14ac:dyDescent="0.5">
      <c r="A26" s="229"/>
      <c r="B26" s="258"/>
      <c r="C26" s="246"/>
      <c r="D26" s="246"/>
      <c r="E26" s="246"/>
      <c r="F26" s="246"/>
      <c r="G26" s="247"/>
      <c r="H26" s="248" t="s">
        <v>92</v>
      </c>
      <c r="I26" s="249"/>
      <c r="J26" s="249"/>
      <c r="K26" s="249"/>
      <c r="L26" s="249"/>
      <c r="M26" s="250"/>
      <c r="N26" s="257">
        <f>O12+O24</f>
        <v>67907.109999999913</v>
      </c>
      <c r="O26" s="257"/>
      <c r="P26" s="56"/>
      <c r="Q26" s="57"/>
    </row>
    <row r="27" spans="1:17" x14ac:dyDescent="0.5">
      <c r="A27" s="229"/>
      <c r="B27" s="254" t="s">
        <v>108</v>
      </c>
      <c r="C27" s="254"/>
      <c r="D27" s="254"/>
      <c r="E27" s="61">
        <v>25956.799999999999</v>
      </c>
      <c r="F27" s="60"/>
      <c r="G27" s="60"/>
      <c r="H27" s="60"/>
      <c r="I27" s="60"/>
      <c r="J27" s="60"/>
      <c r="K27" s="60"/>
      <c r="L27" s="60"/>
      <c r="M27" s="60"/>
      <c r="N27" s="60"/>
      <c r="O27" s="60"/>
      <c r="P27" s="60"/>
      <c r="Q27" s="60"/>
    </row>
    <row r="28" spans="1:17" x14ac:dyDescent="0.5">
      <c r="B28" s="255" t="s">
        <v>109</v>
      </c>
      <c r="C28" s="255"/>
      <c r="D28" s="255"/>
      <c r="E28" s="62">
        <v>10321.549999999999</v>
      </c>
    </row>
    <row r="29" spans="1:17" x14ac:dyDescent="0.25">
      <c r="B29" s="256" t="s">
        <v>110</v>
      </c>
      <c r="C29" s="256"/>
      <c r="D29" s="256"/>
      <c r="E29" s="63">
        <f>SUM(E27:E28)</f>
        <v>36278.35</v>
      </c>
      <c r="F29" s="28"/>
      <c r="G29" s="29"/>
      <c r="H29" s="30"/>
      <c r="I29" s="30"/>
    </row>
    <row r="30" spans="1:17" x14ac:dyDescent="0.5">
      <c r="B30" s="255"/>
      <c r="C30" s="255"/>
      <c r="D30" s="255"/>
      <c r="E30" s="62"/>
      <c r="F30" s="31"/>
      <c r="G30"/>
      <c r="H30"/>
      <c r="I30"/>
    </row>
    <row r="31" spans="1:17" x14ac:dyDescent="0.25">
      <c r="F31" s="28"/>
      <c r="G31" s="29"/>
      <c r="H31" s="30"/>
      <c r="I31" s="30"/>
    </row>
    <row r="32" spans="1:17" x14ac:dyDescent="0.5">
      <c r="F32" s="31"/>
      <c r="G32"/>
      <c r="H32"/>
      <c r="I32"/>
    </row>
    <row r="33" spans="6:9" x14ac:dyDescent="0.25">
      <c r="F33" s="28"/>
      <c r="G33" s="29"/>
      <c r="H33" s="30"/>
      <c r="I33" s="30"/>
    </row>
    <row r="34" spans="6:9" x14ac:dyDescent="0.5">
      <c r="F34" s="31"/>
      <c r="G34"/>
      <c r="H34"/>
      <c r="I34"/>
    </row>
    <row r="35" spans="6:9" x14ac:dyDescent="0.25">
      <c r="F35" s="28"/>
      <c r="G35" s="29"/>
      <c r="H35" s="30"/>
      <c r="I35" s="30"/>
    </row>
    <row r="36" spans="6:9" x14ac:dyDescent="0.5">
      <c r="F36" s="31"/>
      <c r="G36"/>
      <c r="H36"/>
      <c r="I36"/>
    </row>
    <row r="37" spans="6:9" x14ac:dyDescent="0.25">
      <c r="F37" s="28"/>
      <c r="G37" s="29"/>
      <c r="H37" s="30"/>
      <c r="I37" s="30"/>
    </row>
    <row r="38" spans="6:9" x14ac:dyDescent="0.5">
      <c r="F38" s="31"/>
      <c r="G38"/>
      <c r="H38"/>
      <c r="I38"/>
    </row>
    <row r="39" spans="6:9" x14ac:dyDescent="0.25">
      <c r="F39" s="28"/>
      <c r="G39" s="29"/>
      <c r="H39" s="30"/>
      <c r="I39" s="30"/>
    </row>
    <row r="40" spans="6:9" x14ac:dyDescent="0.5">
      <c r="F40" s="31"/>
      <c r="G40"/>
      <c r="H40"/>
      <c r="I40"/>
    </row>
    <row r="41" spans="6:9" x14ac:dyDescent="0.25">
      <c r="F41" s="28"/>
      <c r="G41" s="29"/>
      <c r="H41" s="30"/>
      <c r="I41" s="30"/>
    </row>
    <row r="42" spans="6:9" x14ac:dyDescent="0.5">
      <c r="F42" s="31"/>
      <c r="G42"/>
      <c r="H42"/>
      <c r="I42"/>
    </row>
    <row r="43" spans="6:9" x14ac:dyDescent="0.25">
      <c r="F43" s="28"/>
      <c r="G43" s="29"/>
      <c r="H43" s="30"/>
      <c r="I43" s="30"/>
    </row>
  </sheetData>
  <mergeCells count="8">
    <mergeCell ref="N26:O26"/>
    <mergeCell ref="H26:M26"/>
    <mergeCell ref="B26:G26"/>
    <mergeCell ref="A1:A27"/>
    <mergeCell ref="B27:D27"/>
    <mergeCell ref="B28:D28"/>
    <mergeCell ref="B29:D29"/>
    <mergeCell ref="B30:D30"/>
  </mergeCells>
  <pageMargins left="0.7" right="0.7" top="0.75" bottom="0.75" header="0.3" footer="0.3"/>
  <pageSetup paperSize="9" orientation="portrait" horizontalDpi="0" verticalDpi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O27"/>
  <sheetViews>
    <sheetView topLeftCell="A4" zoomScale="87" zoomScaleNormal="112" zoomScalePageLayoutView="112" workbookViewId="0">
      <selection activeCell="C12" sqref="C12"/>
    </sheetView>
  </sheetViews>
  <sheetFormatPr baseColWidth="10" defaultColWidth="10.6875" defaultRowHeight="15.75" x14ac:dyDescent="0.5"/>
  <cols>
    <col min="1" max="1" width="2" style="1" customWidth="1"/>
    <col min="2" max="2" width="31.4375" style="1" customWidth="1"/>
    <col min="3" max="15" width="12.4375" style="9" customWidth="1"/>
    <col min="16" max="16384" width="10.6875" style="1"/>
  </cols>
  <sheetData>
    <row r="1" spans="2:15" ht="20" customHeight="1" x14ac:dyDescent="0.5">
      <c r="B1" s="15" t="s">
        <v>111</v>
      </c>
      <c r="C1" s="16" t="s">
        <v>1</v>
      </c>
      <c r="D1" s="16" t="s">
        <v>2</v>
      </c>
      <c r="E1" s="16" t="s">
        <v>3</v>
      </c>
      <c r="F1" s="16" t="s">
        <v>4</v>
      </c>
      <c r="G1" s="16" t="s">
        <v>5</v>
      </c>
      <c r="H1" s="16" t="s">
        <v>6</v>
      </c>
      <c r="I1" s="16" t="s">
        <v>7</v>
      </c>
      <c r="J1" s="16" t="s">
        <v>8</v>
      </c>
      <c r="K1" s="16" t="s">
        <v>9</v>
      </c>
      <c r="L1" s="16" t="s">
        <v>10</v>
      </c>
      <c r="M1" s="16" t="s">
        <v>11</v>
      </c>
      <c r="N1" s="16" t="s">
        <v>12</v>
      </c>
      <c r="O1" s="16" t="s">
        <v>13</v>
      </c>
    </row>
    <row r="2" spans="2:15" ht="20" customHeight="1" x14ac:dyDescent="0.5">
      <c r="B2" s="21" t="s">
        <v>112</v>
      </c>
      <c r="C2" s="5">
        <v>35562</v>
      </c>
      <c r="D2" s="5">
        <v>34998</v>
      </c>
      <c r="E2" s="5">
        <v>38586</v>
      </c>
      <c r="F2" s="5">
        <v>34071</v>
      </c>
      <c r="G2" s="5">
        <v>39234</v>
      </c>
      <c r="H2" s="5">
        <v>48771</v>
      </c>
      <c r="I2" s="5">
        <v>38557</v>
      </c>
      <c r="J2" s="5">
        <v>46144</v>
      </c>
      <c r="K2" s="5">
        <v>38574.9</v>
      </c>
      <c r="L2" s="5">
        <v>31660.9</v>
      </c>
      <c r="M2" s="5">
        <v>35675.9</v>
      </c>
      <c r="N2" s="5">
        <v>36987</v>
      </c>
      <c r="O2" s="6">
        <f t="shared" ref="O2:O18" si="0">SUM(C2:N2)</f>
        <v>458821.70000000007</v>
      </c>
    </row>
    <row r="3" spans="2:15" ht="20" customHeight="1" x14ac:dyDescent="0.5">
      <c r="B3" s="10" t="s">
        <v>113</v>
      </c>
      <c r="C3" s="11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3">
        <f>SUM(C3:N3)</f>
        <v>0</v>
      </c>
    </row>
    <row r="4" spans="2:15" ht="20" customHeight="1" x14ac:dyDescent="0.5">
      <c r="B4" s="2" t="s">
        <v>20</v>
      </c>
      <c r="C4" s="17">
        <v>39</v>
      </c>
      <c r="D4" s="18">
        <v>1225.5</v>
      </c>
      <c r="E4" s="18">
        <v>1376.5</v>
      </c>
      <c r="F4" s="18">
        <v>2542</v>
      </c>
      <c r="G4" s="18">
        <v>1908</v>
      </c>
      <c r="H4" s="17">
        <v>737.5</v>
      </c>
      <c r="I4" s="18">
        <v>2720</v>
      </c>
      <c r="J4" s="18">
        <v>2622.5</v>
      </c>
      <c r="K4" s="18">
        <v>1425</v>
      </c>
      <c r="L4" s="17">
        <v>-961</v>
      </c>
      <c r="M4" s="18">
        <v>1964</v>
      </c>
      <c r="N4" s="18">
        <v>2436</v>
      </c>
      <c r="O4" s="4">
        <f>SUM(C4:N4)</f>
        <v>18035</v>
      </c>
    </row>
    <row r="5" spans="2:15" ht="20" customHeight="1" x14ac:dyDescent="0.5">
      <c r="B5" s="2" t="s">
        <v>25</v>
      </c>
      <c r="C5" s="18">
        <v>644.4</v>
      </c>
      <c r="D5" s="18">
        <v>636.32000000000005</v>
      </c>
      <c r="E5" s="18">
        <v>563.85</v>
      </c>
      <c r="F5" s="18">
        <v>639.75</v>
      </c>
      <c r="G5" s="18">
        <v>656.62</v>
      </c>
      <c r="H5" s="18">
        <v>656.62</v>
      </c>
      <c r="I5" s="18">
        <v>600.96</v>
      </c>
      <c r="J5" s="18">
        <v>603.46</v>
      </c>
      <c r="K5" s="18">
        <v>603.25</v>
      </c>
      <c r="L5" s="18">
        <v>603.25</v>
      </c>
      <c r="M5" s="18">
        <v>603.25</v>
      </c>
      <c r="N5" s="18">
        <v>603.25</v>
      </c>
      <c r="O5" s="4">
        <f>SUM(C5:N5)</f>
        <v>7414.9800000000005</v>
      </c>
    </row>
    <row r="6" spans="2:15" ht="20" customHeight="1" x14ac:dyDescent="0.5">
      <c r="B6" s="2" t="s">
        <v>114</v>
      </c>
      <c r="C6" s="3">
        <v>31460.55</v>
      </c>
      <c r="D6" s="3">
        <v>29150.26</v>
      </c>
      <c r="E6" s="3">
        <v>32187.45</v>
      </c>
      <c r="F6" s="3">
        <v>29856.91</v>
      </c>
      <c r="G6" s="3">
        <v>29927.97</v>
      </c>
      <c r="H6" s="3">
        <v>46772.46</v>
      </c>
      <c r="I6" s="3">
        <v>41543.879999999997</v>
      </c>
      <c r="J6" s="3">
        <v>26764.92</v>
      </c>
      <c r="K6" s="3">
        <v>29236.74</v>
      </c>
      <c r="L6" s="3">
        <v>35352.019999999997</v>
      </c>
      <c r="M6" s="3">
        <v>27979.87</v>
      </c>
      <c r="N6" s="3">
        <v>41746.44</v>
      </c>
      <c r="O6" s="4">
        <f t="shared" ref="O6:O7" si="1">SUM(C6:N6)</f>
        <v>401979.47000000003</v>
      </c>
    </row>
    <row r="7" spans="2:15" ht="20" customHeight="1" x14ac:dyDescent="0.5">
      <c r="B7" s="2" t="s">
        <v>23</v>
      </c>
      <c r="C7" s="3">
        <v>1007</v>
      </c>
      <c r="D7" s="3">
        <v>1641</v>
      </c>
      <c r="E7" s="3">
        <v>1470</v>
      </c>
      <c r="F7" s="3">
        <v>805</v>
      </c>
      <c r="G7" s="3">
        <v>1062</v>
      </c>
      <c r="H7" s="3">
        <v>2447</v>
      </c>
      <c r="I7" s="3">
        <v>1400</v>
      </c>
      <c r="J7" s="3">
        <v>1566</v>
      </c>
      <c r="K7" s="3">
        <v>1815</v>
      </c>
      <c r="L7" s="3">
        <v>902</v>
      </c>
      <c r="M7" s="3">
        <v>1065</v>
      </c>
      <c r="N7" s="3">
        <v>1248</v>
      </c>
      <c r="O7" s="4">
        <f t="shared" si="1"/>
        <v>16428</v>
      </c>
    </row>
    <row r="8" spans="2:15" ht="20" customHeight="1" x14ac:dyDescent="0.5">
      <c r="B8" s="7" t="s">
        <v>24</v>
      </c>
      <c r="C8" s="8">
        <f>(C2+C3)-C4-C5-C6-C7</f>
        <v>2411.0499999999993</v>
      </c>
      <c r="D8" s="8">
        <f t="shared" ref="D8:N8" si="2">(D2+D3)-D4-D5-D6-D7</f>
        <v>2344.9200000000019</v>
      </c>
      <c r="E8" s="8">
        <f t="shared" si="2"/>
        <v>2988.2000000000007</v>
      </c>
      <c r="F8" s="8">
        <f t="shared" si="2"/>
        <v>227.34000000000015</v>
      </c>
      <c r="G8" s="8">
        <f t="shared" si="2"/>
        <v>5679.4099999999962</v>
      </c>
      <c r="H8" s="8">
        <f t="shared" si="2"/>
        <v>-1842.5800000000017</v>
      </c>
      <c r="I8" s="8">
        <f t="shared" si="2"/>
        <v>-7707.8399999999965</v>
      </c>
      <c r="J8" s="8">
        <f t="shared" si="2"/>
        <v>14587.120000000003</v>
      </c>
      <c r="K8" s="8">
        <f t="shared" si="2"/>
        <v>5494.91</v>
      </c>
      <c r="L8" s="8">
        <f t="shared" si="2"/>
        <v>-4235.3699999999953</v>
      </c>
      <c r="M8" s="8">
        <f t="shared" si="2"/>
        <v>4063.7800000000025</v>
      </c>
      <c r="N8" s="8">
        <f t="shared" si="2"/>
        <v>-9046.6900000000023</v>
      </c>
      <c r="O8" s="27">
        <f>O2+O3-O4-O5-O6-O7</f>
        <v>14964.250000000058</v>
      </c>
    </row>
    <row r="9" spans="2:15" ht="20" customHeight="1" x14ac:dyDescent="0.5">
      <c r="B9" s="19" t="s">
        <v>20</v>
      </c>
      <c r="C9" s="20">
        <v>39</v>
      </c>
      <c r="D9" s="20">
        <v>1225.5</v>
      </c>
      <c r="E9" s="20">
        <v>1376.5</v>
      </c>
      <c r="F9" s="20">
        <v>2542</v>
      </c>
      <c r="G9" s="20">
        <v>1908</v>
      </c>
      <c r="H9" s="20">
        <v>737.5</v>
      </c>
      <c r="I9" s="20">
        <v>2720</v>
      </c>
      <c r="J9" s="20">
        <v>2622.5</v>
      </c>
      <c r="K9" s="20">
        <v>2157.5</v>
      </c>
      <c r="L9" s="20">
        <v>-691</v>
      </c>
      <c r="M9" s="20">
        <v>2284.5</v>
      </c>
      <c r="N9" s="20">
        <v>2702</v>
      </c>
      <c r="O9" s="20">
        <f>SUM(C9:N9)</f>
        <v>19624</v>
      </c>
    </row>
    <row r="10" spans="2:15" ht="20" customHeight="1" x14ac:dyDescent="0.5">
      <c r="B10" s="19" t="s">
        <v>25</v>
      </c>
      <c r="C10" s="20">
        <v>644.4</v>
      </c>
      <c r="D10" s="20">
        <v>636.29999999999995</v>
      </c>
      <c r="E10" s="20">
        <v>563.85</v>
      </c>
      <c r="F10" s="20">
        <v>639.75</v>
      </c>
      <c r="G10" s="20">
        <v>656.6</v>
      </c>
      <c r="H10" s="20">
        <v>656.6</v>
      </c>
      <c r="I10" s="20">
        <v>600.95000000000005</v>
      </c>
      <c r="J10" s="20">
        <v>603.45000000000005</v>
      </c>
      <c r="K10" s="20">
        <v>603.25</v>
      </c>
      <c r="L10" s="20">
        <v>603.25</v>
      </c>
      <c r="M10" s="20">
        <v>603.25</v>
      </c>
      <c r="N10" s="20">
        <v>115.25</v>
      </c>
      <c r="O10" s="20">
        <f>SUM(C10:N10)</f>
        <v>6926.9</v>
      </c>
    </row>
    <row r="11" spans="2:15" ht="20" customHeight="1" x14ac:dyDescent="0.5">
      <c r="B11" s="22" t="s">
        <v>26</v>
      </c>
      <c r="C11" s="23">
        <f>C8+C9+C10</f>
        <v>3094.4499999999994</v>
      </c>
      <c r="D11" s="23">
        <f t="shared" ref="D11:O11" si="3">D8+D9+D10</f>
        <v>4206.7200000000021</v>
      </c>
      <c r="E11" s="23">
        <f t="shared" si="3"/>
        <v>4928.5500000000011</v>
      </c>
      <c r="F11" s="23">
        <f t="shared" si="3"/>
        <v>3409.09</v>
      </c>
      <c r="G11" s="23">
        <f t="shared" si="3"/>
        <v>8244.0099999999966</v>
      </c>
      <c r="H11" s="23">
        <f t="shared" si="3"/>
        <v>-448.48000000000172</v>
      </c>
      <c r="I11" s="23">
        <f t="shared" si="3"/>
        <v>-4386.8899999999967</v>
      </c>
      <c r="J11" s="23">
        <f t="shared" si="3"/>
        <v>17813.070000000003</v>
      </c>
      <c r="K11" s="23">
        <f t="shared" si="3"/>
        <v>8255.66</v>
      </c>
      <c r="L11" s="23">
        <f t="shared" si="3"/>
        <v>-4323.1199999999953</v>
      </c>
      <c r="M11" s="23">
        <f t="shared" si="3"/>
        <v>6951.5300000000025</v>
      </c>
      <c r="N11" s="23">
        <f t="shared" si="3"/>
        <v>-6229.4400000000023</v>
      </c>
      <c r="O11" s="26">
        <f t="shared" si="3"/>
        <v>41515.15000000006</v>
      </c>
    </row>
    <row r="12" spans="2:15" ht="20" customHeight="1" x14ac:dyDescent="0.5">
      <c r="B12" s="21" t="s">
        <v>115</v>
      </c>
      <c r="C12" s="5">
        <v>26046.7</v>
      </c>
      <c r="D12" s="5">
        <v>27382</v>
      </c>
      <c r="E12" s="5">
        <v>29759</v>
      </c>
      <c r="F12" s="5">
        <v>31803.200000000001</v>
      </c>
      <c r="G12" s="5">
        <v>26231</v>
      </c>
      <c r="H12" s="5">
        <v>25011</v>
      </c>
      <c r="I12" s="5">
        <v>28432</v>
      </c>
      <c r="J12" s="5">
        <v>21835</v>
      </c>
      <c r="K12" s="5">
        <v>23274</v>
      </c>
      <c r="L12" s="5">
        <v>29344.799999999999</v>
      </c>
      <c r="M12" s="5">
        <v>27582</v>
      </c>
      <c r="N12" s="5">
        <v>22930</v>
      </c>
      <c r="O12" s="6">
        <f t="shared" si="0"/>
        <v>319630.7</v>
      </c>
    </row>
    <row r="13" spans="2:15" ht="20" customHeight="1" x14ac:dyDescent="0.5">
      <c r="B13" s="10" t="s">
        <v>105</v>
      </c>
      <c r="C13" s="11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3">
        <f>SUM(C13:N13)</f>
        <v>0</v>
      </c>
    </row>
    <row r="14" spans="2:15" ht="20" customHeight="1" x14ac:dyDescent="0.5">
      <c r="B14" s="10" t="s">
        <v>106</v>
      </c>
      <c r="C14" s="11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3">
        <f>SUM(C14:N14)</f>
        <v>0</v>
      </c>
    </row>
    <row r="15" spans="2:15" ht="20" customHeight="1" x14ac:dyDescent="0.5">
      <c r="B15" s="2" t="s">
        <v>20</v>
      </c>
      <c r="C15" s="17">
        <v>39</v>
      </c>
      <c r="D15" s="18">
        <v>1225.5</v>
      </c>
      <c r="E15" s="18">
        <v>1376.5</v>
      </c>
      <c r="F15" s="18">
        <v>2542</v>
      </c>
      <c r="G15" s="18">
        <v>1908</v>
      </c>
      <c r="H15" s="17">
        <v>737.5</v>
      </c>
      <c r="I15" s="18">
        <v>2720</v>
      </c>
      <c r="J15" s="18">
        <v>2622.5</v>
      </c>
      <c r="K15" s="18">
        <v>1425</v>
      </c>
      <c r="L15" s="17">
        <v>-961</v>
      </c>
      <c r="M15" s="18">
        <v>1964</v>
      </c>
      <c r="N15" s="18">
        <v>2436</v>
      </c>
      <c r="O15" s="4">
        <f>SUM(C15:N15)</f>
        <v>18035</v>
      </c>
    </row>
    <row r="16" spans="2:15" ht="20" customHeight="1" x14ac:dyDescent="0.5">
      <c r="B16" s="2" t="s">
        <v>25</v>
      </c>
      <c r="C16" s="18">
        <v>644.4</v>
      </c>
      <c r="D16" s="18">
        <v>636.32000000000005</v>
      </c>
      <c r="E16" s="18">
        <v>563.85</v>
      </c>
      <c r="F16" s="18">
        <v>639.75</v>
      </c>
      <c r="G16" s="18">
        <v>656.62</v>
      </c>
      <c r="H16" s="18">
        <v>656.62</v>
      </c>
      <c r="I16" s="18">
        <v>600.96</v>
      </c>
      <c r="J16" s="18">
        <v>603.46</v>
      </c>
      <c r="K16" s="18">
        <v>603.25</v>
      </c>
      <c r="L16" s="18">
        <v>603.25</v>
      </c>
      <c r="M16" s="18">
        <v>603.25</v>
      </c>
      <c r="N16" s="18">
        <v>603.25</v>
      </c>
      <c r="O16" s="4">
        <f>SUM(C16:N16)</f>
        <v>7414.9800000000005</v>
      </c>
    </row>
    <row r="17" spans="2:15" ht="20" customHeight="1" x14ac:dyDescent="0.5">
      <c r="B17" s="2" t="s">
        <v>116</v>
      </c>
      <c r="C17" s="3">
        <v>15433.75</v>
      </c>
      <c r="D17" s="3">
        <v>18671.310000000001</v>
      </c>
      <c r="E17" s="3">
        <v>18234.02</v>
      </c>
      <c r="F17" s="3">
        <v>19156.189999999999</v>
      </c>
      <c r="G17" s="3">
        <v>18150.48</v>
      </c>
      <c r="H17" s="3">
        <v>18011.990000000002</v>
      </c>
      <c r="I17" s="3">
        <v>32865.25</v>
      </c>
      <c r="J17" s="3">
        <v>16034.65</v>
      </c>
      <c r="K17" s="3">
        <v>16139.76</v>
      </c>
      <c r="L17" s="3">
        <v>16669.75</v>
      </c>
      <c r="M17" s="3">
        <v>17019.78</v>
      </c>
      <c r="N17" s="3">
        <v>25205.83</v>
      </c>
      <c r="O17" s="4">
        <f t="shared" si="0"/>
        <v>231592.76</v>
      </c>
    </row>
    <row r="18" spans="2:15" ht="20" customHeight="1" x14ac:dyDescent="0.5">
      <c r="B18" s="2" t="s">
        <v>34</v>
      </c>
      <c r="C18" s="3">
        <v>1776</v>
      </c>
      <c r="D18" s="3">
        <v>2023</v>
      </c>
      <c r="E18" s="3">
        <v>2357</v>
      </c>
      <c r="F18" s="3">
        <v>2954</v>
      </c>
      <c r="G18" s="3">
        <v>2342</v>
      </c>
      <c r="H18" s="3">
        <v>2258</v>
      </c>
      <c r="I18" s="3">
        <v>2810</v>
      </c>
      <c r="J18" s="3">
        <v>2056</v>
      </c>
      <c r="K18" s="3">
        <v>2345</v>
      </c>
      <c r="L18" s="3">
        <v>2481</v>
      </c>
      <c r="M18" s="3">
        <v>2359</v>
      </c>
      <c r="N18" s="3">
        <v>3343</v>
      </c>
      <c r="O18" s="4">
        <f t="shared" si="0"/>
        <v>29104</v>
      </c>
    </row>
    <row r="19" spans="2:15" ht="20" customHeight="1" x14ac:dyDescent="0.5">
      <c r="B19" s="7" t="s">
        <v>24</v>
      </c>
      <c r="C19" s="8">
        <f>C12+C13+C14-C15-C16-C17-C18</f>
        <v>8153.5499999999993</v>
      </c>
      <c r="D19" s="8">
        <f t="shared" ref="D19:N19" si="4">D12+D13+D14-D15-D16-D17-D18</f>
        <v>4825.869999999999</v>
      </c>
      <c r="E19" s="8">
        <f t="shared" si="4"/>
        <v>7227.630000000001</v>
      </c>
      <c r="F19" s="8">
        <f t="shared" si="4"/>
        <v>6511.260000000002</v>
      </c>
      <c r="G19" s="8">
        <f t="shared" si="4"/>
        <v>3173.9000000000015</v>
      </c>
      <c r="H19" s="8">
        <f t="shared" si="4"/>
        <v>3346.8899999999994</v>
      </c>
      <c r="I19" s="8">
        <f t="shared" si="4"/>
        <v>-10564.21</v>
      </c>
      <c r="J19" s="8">
        <f t="shared" si="4"/>
        <v>518.39000000000124</v>
      </c>
      <c r="K19" s="8">
        <f t="shared" si="4"/>
        <v>2760.99</v>
      </c>
      <c r="L19" s="8">
        <f t="shared" si="4"/>
        <v>10551.8</v>
      </c>
      <c r="M19" s="8">
        <f t="shared" si="4"/>
        <v>5635.9700000000012</v>
      </c>
      <c r="N19" s="8">
        <f t="shared" si="4"/>
        <v>-8658.0800000000017</v>
      </c>
      <c r="O19" s="27">
        <f>O12+O13+O14-O15-O16-O17-O18</f>
        <v>33483.960000000021</v>
      </c>
    </row>
    <row r="20" spans="2:15" ht="20" customHeight="1" x14ac:dyDescent="0.5">
      <c r="B20" s="19" t="s">
        <v>20</v>
      </c>
      <c r="C20" s="20">
        <v>39</v>
      </c>
      <c r="D20" s="20">
        <v>1225.5</v>
      </c>
      <c r="E20" s="20">
        <v>1376.5</v>
      </c>
      <c r="F20" s="20">
        <v>2542</v>
      </c>
      <c r="G20" s="20">
        <v>1908</v>
      </c>
      <c r="H20" s="20">
        <v>737.5</v>
      </c>
      <c r="I20" s="20">
        <v>2720</v>
      </c>
      <c r="J20" s="20">
        <v>2622.5</v>
      </c>
      <c r="K20" s="20">
        <v>2157.5</v>
      </c>
      <c r="L20" s="20">
        <v>-691</v>
      </c>
      <c r="M20" s="20">
        <v>2284.5</v>
      </c>
      <c r="N20" s="20">
        <v>2702</v>
      </c>
      <c r="O20" s="20">
        <f>SUM(C20:N20)</f>
        <v>19624</v>
      </c>
    </row>
    <row r="21" spans="2:15" ht="20" customHeight="1" x14ac:dyDescent="0.5">
      <c r="B21" s="19" t="s">
        <v>25</v>
      </c>
      <c r="C21" s="20">
        <v>644.4</v>
      </c>
      <c r="D21" s="20">
        <v>636.29999999999995</v>
      </c>
      <c r="E21" s="20">
        <v>563.85</v>
      </c>
      <c r="F21" s="20">
        <v>639.75</v>
      </c>
      <c r="G21" s="20">
        <v>656.6</v>
      </c>
      <c r="H21" s="20">
        <v>656.6</v>
      </c>
      <c r="I21" s="20">
        <v>600.95000000000005</v>
      </c>
      <c r="J21" s="20">
        <v>603.45000000000005</v>
      </c>
      <c r="K21" s="20">
        <v>603.25</v>
      </c>
      <c r="L21" s="20">
        <v>603.25</v>
      </c>
      <c r="M21" s="20">
        <v>603.25</v>
      </c>
      <c r="N21" s="20">
        <v>115.25</v>
      </c>
      <c r="O21" s="20">
        <f>SUM(C21:N21)</f>
        <v>6926.9</v>
      </c>
    </row>
    <row r="22" spans="2:15" ht="20" customHeight="1" x14ac:dyDescent="0.5">
      <c r="B22" s="22" t="s">
        <v>35</v>
      </c>
      <c r="C22" s="23">
        <f>C19+C20+C21</f>
        <v>8836.9499999999989</v>
      </c>
      <c r="D22" s="23">
        <f t="shared" ref="D22:O22" si="5">D19+D20+D21</f>
        <v>6687.6699999999992</v>
      </c>
      <c r="E22" s="23">
        <f t="shared" si="5"/>
        <v>9167.9800000000014</v>
      </c>
      <c r="F22" s="23">
        <f t="shared" si="5"/>
        <v>9693.010000000002</v>
      </c>
      <c r="G22" s="23">
        <f t="shared" si="5"/>
        <v>5738.5000000000018</v>
      </c>
      <c r="H22" s="23">
        <f t="shared" si="5"/>
        <v>4740.99</v>
      </c>
      <c r="I22" s="23">
        <f t="shared" si="5"/>
        <v>-7243.2599999999993</v>
      </c>
      <c r="J22" s="23">
        <f t="shared" si="5"/>
        <v>3744.3400000000011</v>
      </c>
      <c r="K22" s="23">
        <f t="shared" si="5"/>
        <v>5521.74</v>
      </c>
      <c r="L22" s="23">
        <f t="shared" si="5"/>
        <v>10464.049999999999</v>
      </c>
      <c r="M22" s="23">
        <f t="shared" si="5"/>
        <v>8523.7200000000012</v>
      </c>
      <c r="N22" s="23">
        <f t="shared" si="5"/>
        <v>-5840.8300000000017</v>
      </c>
      <c r="O22" s="26">
        <f t="shared" si="5"/>
        <v>60034.860000000022</v>
      </c>
    </row>
    <row r="23" spans="2:15" ht="20" customHeight="1" x14ac:dyDescent="0.5">
      <c r="B23" s="78" t="s">
        <v>36</v>
      </c>
      <c r="C23" s="79">
        <f>C11+C22</f>
        <v>11931.399999999998</v>
      </c>
      <c r="D23" s="79">
        <f t="shared" ref="D23:O23" si="6">D11+D22</f>
        <v>10894.390000000001</v>
      </c>
      <c r="E23" s="79">
        <f t="shared" si="6"/>
        <v>14096.530000000002</v>
      </c>
      <c r="F23" s="79">
        <f t="shared" si="6"/>
        <v>13102.100000000002</v>
      </c>
      <c r="G23" s="79">
        <f t="shared" si="6"/>
        <v>13982.509999999998</v>
      </c>
      <c r="H23" s="79">
        <f t="shared" si="6"/>
        <v>4292.5099999999984</v>
      </c>
      <c r="I23" s="79">
        <f t="shared" si="6"/>
        <v>-11630.149999999996</v>
      </c>
      <c r="J23" s="79">
        <f t="shared" si="6"/>
        <v>21557.410000000003</v>
      </c>
      <c r="K23" s="79">
        <f t="shared" si="6"/>
        <v>13777.4</v>
      </c>
      <c r="L23" s="79">
        <f t="shared" si="6"/>
        <v>6140.9300000000039</v>
      </c>
      <c r="M23" s="79">
        <f t="shared" si="6"/>
        <v>15475.250000000004</v>
      </c>
      <c r="N23" s="79">
        <f t="shared" si="6"/>
        <v>-12070.270000000004</v>
      </c>
      <c r="O23" s="79">
        <f t="shared" si="6"/>
        <v>101550.01000000008</v>
      </c>
    </row>
    <row r="24" spans="2:15" ht="20" customHeight="1" x14ac:dyDescent="0.5">
      <c r="H24" s="24" t="s">
        <v>92</v>
      </c>
      <c r="I24" s="24"/>
      <c r="J24" s="25"/>
      <c r="K24" s="25"/>
      <c r="L24" s="25"/>
      <c r="M24" s="25"/>
      <c r="N24" s="259">
        <f>O11+O22</f>
        <v>101550.01000000008</v>
      </c>
      <c r="O24" s="259"/>
    </row>
    <row r="25" spans="2:15" ht="21" customHeight="1" x14ac:dyDescent="0.5">
      <c r="B25" s="255" t="s">
        <v>117</v>
      </c>
      <c r="C25" s="255"/>
      <c r="D25" s="255"/>
      <c r="E25" s="9">
        <v>14000</v>
      </c>
      <c r="F25" s="229" t="s">
        <v>118</v>
      </c>
      <c r="G25" s="229"/>
      <c r="H25" s="229">
        <v>4000</v>
      </c>
      <c r="I25" s="229" t="s">
        <v>119</v>
      </c>
      <c r="J25" s="260">
        <f>E25+E26+E27+H25</f>
        <v>31000</v>
      </c>
      <c r="O25" s="14"/>
    </row>
    <row r="26" spans="2:15" ht="21" customHeight="1" x14ac:dyDescent="0.5">
      <c r="B26" s="255" t="s">
        <v>120</v>
      </c>
      <c r="C26" s="255"/>
      <c r="D26" s="255"/>
      <c r="E26" s="9">
        <v>7000</v>
      </c>
      <c r="F26" s="229"/>
      <c r="G26" s="229"/>
      <c r="H26" s="229"/>
      <c r="I26" s="229"/>
      <c r="J26" s="260"/>
    </row>
    <row r="27" spans="2:15" ht="21" customHeight="1" x14ac:dyDescent="0.5">
      <c r="B27" s="255" t="s">
        <v>121</v>
      </c>
      <c r="C27" s="255"/>
      <c r="D27" s="255"/>
      <c r="E27" s="9">
        <v>6000</v>
      </c>
      <c r="F27" s="229"/>
      <c r="G27" s="229"/>
      <c r="H27" s="229"/>
      <c r="I27" s="229"/>
      <c r="J27" s="260"/>
    </row>
  </sheetData>
  <mergeCells count="8">
    <mergeCell ref="N24:O24"/>
    <mergeCell ref="B25:D25"/>
    <mergeCell ref="F25:G27"/>
    <mergeCell ref="H25:H27"/>
    <mergeCell ref="I25:I27"/>
    <mergeCell ref="J25:J27"/>
    <mergeCell ref="B26:D26"/>
    <mergeCell ref="B27:D27"/>
  </mergeCells>
  <pageMargins left="0.7" right="0.7" top="0.75" bottom="0.75" header="0.3" footer="0.3"/>
  <pageSetup paperSize="9" orientation="portrait" horizontalDpi="0" verticalDpi="0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46F88E-6EDE-4379-8B24-3A7D9D193D2A}">
  <dimension ref="A1:S35"/>
  <sheetViews>
    <sheetView topLeftCell="A4" zoomScale="93" zoomScaleNormal="93" zoomScalePageLayoutView="112" workbookViewId="0">
      <selection activeCell="G30" sqref="G30"/>
    </sheetView>
  </sheetViews>
  <sheetFormatPr baseColWidth="10" defaultColWidth="10.6875" defaultRowHeight="15.75" x14ac:dyDescent="0.5"/>
  <cols>
    <col min="1" max="1" width="0.6875" style="1" customWidth="1"/>
    <col min="2" max="2" width="25.125" style="1" customWidth="1"/>
    <col min="3" max="9" width="11.3125" style="9" bestFit="1" customWidth="1"/>
    <col min="10" max="10" width="11.4375" style="9" customWidth="1"/>
    <col min="11" max="11" width="11.125" style="9" customWidth="1"/>
    <col min="12" max="12" width="12" style="9" customWidth="1"/>
    <col min="13" max="13" width="11.4375" style="9" customWidth="1"/>
    <col min="14" max="14" width="11.6875" style="9" customWidth="1"/>
    <col min="15" max="15" width="14.4375" style="9" bestFit="1" customWidth="1"/>
    <col min="16" max="16" width="14.8125" style="9" customWidth="1"/>
    <col min="17" max="17" width="11.4375" style="9" bestFit="1" customWidth="1"/>
    <col min="18" max="18" width="34.4375" style="1" customWidth="1"/>
    <col min="19" max="16384" width="10.6875" style="1"/>
  </cols>
  <sheetData>
    <row r="1" spans="1:19" ht="19.8" customHeight="1" thickBot="1" x14ac:dyDescent="0.55000000000000004">
      <c r="A1" s="229"/>
      <c r="B1" s="145" t="s">
        <v>122</v>
      </c>
      <c r="C1" s="146" t="s">
        <v>1</v>
      </c>
      <c r="D1" s="146" t="s">
        <v>2</v>
      </c>
      <c r="E1" s="146" t="s">
        <v>3</v>
      </c>
      <c r="F1" s="146" t="s">
        <v>4</v>
      </c>
      <c r="G1" s="147" t="s">
        <v>5</v>
      </c>
      <c r="H1" s="146" t="s">
        <v>6</v>
      </c>
      <c r="I1" s="146" t="s">
        <v>7</v>
      </c>
      <c r="J1" s="146" t="s">
        <v>8</v>
      </c>
      <c r="K1" s="146" t="s">
        <v>9</v>
      </c>
      <c r="L1" s="146" t="s">
        <v>10</v>
      </c>
      <c r="M1" s="146" t="s">
        <v>11</v>
      </c>
      <c r="N1" s="146" t="s">
        <v>12</v>
      </c>
      <c r="O1" s="146" t="s">
        <v>13</v>
      </c>
      <c r="P1" s="146" t="s">
        <v>14</v>
      </c>
      <c r="Q1" s="146" t="s">
        <v>15</v>
      </c>
      <c r="R1" s="55"/>
      <c r="S1" s="55"/>
    </row>
    <row r="2" spans="1:19" ht="14.55" customHeight="1" thickBot="1" x14ac:dyDescent="0.55000000000000004">
      <c r="A2" s="229"/>
      <c r="B2" s="148" t="s">
        <v>16</v>
      </c>
      <c r="C2" s="149">
        <f>SUM(C3:C5)</f>
        <v>47964</v>
      </c>
      <c r="D2" s="149">
        <f t="shared" ref="D2:N2" si="0">SUM(D3:D5)</f>
        <v>51334</v>
      </c>
      <c r="E2" s="149">
        <f>SUM(E3:E5)</f>
        <v>43667</v>
      </c>
      <c r="F2" s="149">
        <f t="shared" si="0"/>
        <v>36141</v>
      </c>
      <c r="G2" s="149">
        <f t="shared" si="0"/>
        <v>38086</v>
      </c>
      <c r="H2" s="149">
        <f t="shared" si="0"/>
        <v>44061</v>
      </c>
      <c r="I2" s="149">
        <f t="shared" si="0"/>
        <v>40140</v>
      </c>
      <c r="J2" s="149">
        <f t="shared" si="0"/>
        <v>37057</v>
      </c>
      <c r="K2" s="149">
        <f t="shared" si="0"/>
        <v>38183</v>
      </c>
      <c r="L2" s="149">
        <f t="shared" si="0"/>
        <v>34670</v>
      </c>
      <c r="M2" s="149">
        <f t="shared" si="0"/>
        <v>34498.5</v>
      </c>
      <c r="N2" s="149">
        <f t="shared" si="0"/>
        <v>42590.5</v>
      </c>
      <c r="O2" s="150">
        <f t="shared" ref="O2" si="1">SUM(C2:N2)</f>
        <v>488392</v>
      </c>
      <c r="P2" s="150">
        <f>O2/2</f>
        <v>244196</v>
      </c>
      <c r="Q2" s="150">
        <f>P2</f>
        <v>244196</v>
      </c>
      <c r="R2" s="55"/>
      <c r="S2" s="55"/>
    </row>
    <row r="3" spans="1:19" ht="14.55" customHeight="1" x14ac:dyDescent="0.5">
      <c r="A3" s="229"/>
      <c r="B3" s="140" t="s">
        <v>17</v>
      </c>
      <c r="C3" s="176">
        <v>26731</v>
      </c>
      <c r="D3" s="142">
        <v>26649</v>
      </c>
      <c r="E3" s="142">
        <v>28752</v>
      </c>
      <c r="F3" s="142">
        <v>18681</v>
      </c>
      <c r="G3" s="142">
        <v>23576</v>
      </c>
      <c r="H3" s="142">
        <v>25546</v>
      </c>
      <c r="I3" s="142">
        <v>25100</v>
      </c>
      <c r="J3" s="142">
        <v>22232</v>
      </c>
      <c r="K3" s="142">
        <v>23038</v>
      </c>
      <c r="L3" s="142">
        <v>21475</v>
      </c>
      <c r="M3" s="142">
        <v>20333.5</v>
      </c>
      <c r="N3" s="142">
        <v>25972.5</v>
      </c>
      <c r="O3" s="144">
        <f>SUM(C3:N3)</f>
        <v>288086</v>
      </c>
      <c r="P3" s="144">
        <f t="shared" ref="P3:P13" si="2">O3/2</f>
        <v>144043</v>
      </c>
      <c r="Q3" s="230">
        <f>SUM(P3:P5)</f>
        <v>244196</v>
      </c>
      <c r="R3" s="55"/>
      <c r="S3" s="55"/>
    </row>
    <row r="4" spans="1:19" ht="14.55" customHeight="1" x14ac:dyDescent="0.5">
      <c r="A4" s="229"/>
      <c r="B4" s="74" t="s">
        <v>18</v>
      </c>
      <c r="C4" s="64">
        <v>12715</v>
      </c>
      <c r="D4" s="64">
        <v>12715</v>
      </c>
      <c r="E4" s="64">
        <v>12715</v>
      </c>
      <c r="F4" s="64">
        <v>12715</v>
      </c>
      <c r="G4" s="64">
        <v>12715</v>
      </c>
      <c r="H4" s="64">
        <v>12715</v>
      </c>
      <c r="I4" s="64">
        <v>12715</v>
      </c>
      <c r="J4" s="64">
        <v>12715</v>
      </c>
      <c r="K4" s="64">
        <v>12715</v>
      </c>
      <c r="L4" s="64">
        <v>12715</v>
      </c>
      <c r="M4" s="64">
        <v>12715</v>
      </c>
      <c r="N4" s="64">
        <v>12715</v>
      </c>
      <c r="O4" s="130">
        <f>SUM(C4:N4)</f>
        <v>152580</v>
      </c>
      <c r="P4" s="130">
        <f t="shared" si="2"/>
        <v>76290</v>
      </c>
      <c r="Q4" s="231"/>
      <c r="R4" s="55"/>
      <c r="S4" s="55"/>
    </row>
    <row r="5" spans="1:19" ht="14.55" customHeight="1" x14ac:dyDescent="0.5">
      <c r="A5" s="229"/>
      <c r="B5" s="74" t="s">
        <v>19</v>
      </c>
      <c r="C5" s="64">
        <v>8518</v>
      </c>
      <c r="D5" s="64">
        <v>11970</v>
      </c>
      <c r="E5" s="64">
        <v>2200</v>
      </c>
      <c r="F5" s="64">
        <v>4745</v>
      </c>
      <c r="G5" s="64">
        <v>1795</v>
      </c>
      <c r="H5" s="64">
        <v>5800</v>
      </c>
      <c r="I5" s="64">
        <v>2325</v>
      </c>
      <c r="J5" s="64">
        <v>2110</v>
      </c>
      <c r="K5" s="64">
        <v>2430</v>
      </c>
      <c r="L5" s="64">
        <v>480</v>
      </c>
      <c r="M5" s="64">
        <v>1450</v>
      </c>
      <c r="N5" s="64">
        <v>3903</v>
      </c>
      <c r="O5" s="130">
        <f>SUM(C5:N5)</f>
        <v>47726</v>
      </c>
      <c r="P5" s="130">
        <f t="shared" si="2"/>
        <v>23863</v>
      </c>
      <c r="Q5" s="231"/>
      <c r="R5" s="55"/>
      <c r="S5" s="55"/>
    </row>
    <row r="6" spans="1:19" ht="14.55" customHeight="1" x14ac:dyDescent="0.5">
      <c r="A6" s="229"/>
      <c r="B6" s="32" t="s">
        <v>20</v>
      </c>
      <c r="C6" s="33">
        <v>2815.7550000000001</v>
      </c>
      <c r="D6" s="33">
        <v>4249.7299999999996</v>
      </c>
      <c r="E6" s="34">
        <v>2958.1950000000002</v>
      </c>
      <c r="F6" s="34">
        <v>1552.095</v>
      </c>
      <c r="G6" s="34">
        <v>1785.7850000000001</v>
      </c>
      <c r="H6" s="34">
        <v>2300</v>
      </c>
      <c r="I6" s="34">
        <v>2925</v>
      </c>
      <c r="J6" s="34">
        <v>2078.5</v>
      </c>
      <c r="K6" s="34">
        <v>2125</v>
      </c>
      <c r="L6" s="34">
        <v>947</v>
      </c>
      <c r="M6" s="34">
        <v>2900</v>
      </c>
      <c r="N6" s="34">
        <v>4215.5</v>
      </c>
      <c r="O6" s="131">
        <f>SUM(C6:N6)</f>
        <v>30852.559999999998</v>
      </c>
      <c r="P6" s="131">
        <f t="shared" si="2"/>
        <v>15426.279999999999</v>
      </c>
      <c r="Q6" s="232">
        <f>-P6-P7</f>
        <v>-15986.837499999998</v>
      </c>
      <c r="R6" s="55"/>
      <c r="S6" s="55"/>
    </row>
    <row r="7" spans="1:19" ht="14.55" customHeight="1" x14ac:dyDescent="0.5">
      <c r="A7" s="229"/>
      <c r="B7" s="32" t="s">
        <v>21</v>
      </c>
      <c r="C7" s="34">
        <v>36.875</v>
      </c>
      <c r="D7" s="34">
        <v>130.91999999999999</v>
      </c>
      <c r="E7" s="34">
        <v>173.33500000000001</v>
      </c>
      <c r="F7" s="34">
        <v>86.665000000000006</v>
      </c>
      <c r="G7" s="34">
        <v>86.665000000000006</v>
      </c>
      <c r="H7" s="34">
        <v>86.665000000000006</v>
      </c>
      <c r="I7" s="34">
        <v>86.665000000000006</v>
      </c>
      <c r="J7" s="34">
        <v>86.665000000000006</v>
      </c>
      <c r="K7" s="34">
        <v>86.665000000000006</v>
      </c>
      <c r="L7" s="34">
        <v>86.665000000000006</v>
      </c>
      <c r="M7" s="34">
        <v>86.665000000000006</v>
      </c>
      <c r="N7" s="34">
        <v>86.665000000000006</v>
      </c>
      <c r="O7" s="131">
        <f>SUM(C7:N7)</f>
        <v>1121.1149999999998</v>
      </c>
      <c r="P7" s="131">
        <f t="shared" si="2"/>
        <v>560.55749999999989</v>
      </c>
      <c r="Q7" s="232"/>
      <c r="R7" s="55"/>
      <c r="S7" s="55"/>
    </row>
    <row r="8" spans="1:19" ht="14.55" customHeight="1" x14ac:dyDescent="0.5">
      <c r="A8" s="229"/>
      <c r="B8" s="35" t="s">
        <v>22</v>
      </c>
      <c r="C8" s="36">
        <v>28308.53</v>
      </c>
      <c r="D8" s="36">
        <v>29089.53</v>
      </c>
      <c r="E8" s="36">
        <v>33675.129999999997</v>
      </c>
      <c r="F8" s="36">
        <v>30993.07</v>
      </c>
      <c r="G8" s="36">
        <v>37102.550000000003</v>
      </c>
      <c r="H8" s="36">
        <v>38346.199999999997</v>
      </c>
      <c r="I8" s="36">
        <v>46394.2</v>
      </c>
      <c r="J8" s="36">
        <v>31771.25</v>
      </c>
      <c r="K8" s="36">
        <v>33262.300000000003</v>
      </c>
      <c r="L8" s="36">
        <v>33560.519999999997</v>
      </c>
      <c r="M8" s="36">
        <v>32029.18</v>
      </c>
      <c r="N8" s="3">
        <v>42866.28</v>
      </c>
      <c r="O8" s="132">
        <f t="shared" ref="O8:O9" si="3">SUM(C8:N8)</f>
        <v>417398.74</v>
      </c>
      <c r="P8" s="132">
        <f t="shared" si="2"/>
        <v>208699.37</v>
      </c>
      <c r="Q8" s="233">
        <f>-P8-P9</f>
        <v>-219743.37</v>
      </c>
      <c r="R8" s="55"/>
      <c r="S8" s="55"/>
    </row>
    <row r="9" spans="1:19" ht="14.55" customHeight="1" thickBot="1" x14ac:dyDescent="0.55000000000000004">
      <c r="A9" s="229"/>
      <c r="B9" s="158" t="s">
        <v>23</v>
      </c>
      <c r="C9" s="160">
        <v>1699.4</v>
      </c>
      <c r="D9" s="160">
        <v>2672.9</v>
      </c>
      <c r="E9" s="160">
        <v>1891.5</v>
      </c>
      <c r="F9" s="160">
        <v>1350</v>
      </c>
      <c r="G9" s="160">
        <v>2414.1999999999998</v>
      </c>
      <c r="H9" s="160">
        <v>2750</v>
      </c>
      <c r="I9" s="160">
        <v>1854</v>
      </c>
      <c r="J9" s="160">
        <v>1650</v>
      </c>
      <c r="K9" s="160">
        <v>1381</v>
      </c>
      <c r="L9" s="160">
        <v>1411</v>
      </c>
      <c r="M9" s="160">
        <v>815</v>
      </c>
      <c r="N9" s="160">
        <v>2199</v>
      </c>
      <c r="O9" s="161">
        <f t="shared" si="3"/>
        <v>22088</v>
      </c>
      <c r="P9" s="161">
        <f t="shared" si="2"/>
        <v>11044</v>
      </c>
      <c r="Q9" s="233"/>
      <c r="R9" s="55"/>
      <c r="S9" s="55"/>
    </row>
    <row r="10" spans="1:19" ht="12.5" customHeight="1" thickBot="1" x14ac:dyDescent="0.55000000000000004">
      <c r="A10" s="229"/>
      <c r="B10" s="164" t="s">
        <v>24</v>
      </c>
      <c r="C10" s="165">
        <f>C2-C6-C7-C8-C9</f>
        <v>15103.440000000004</v>
      </c>
      <c r="D10" s="165">
        <f t="shared" ref="D10:N10" si="4">D2-D6-D7-D8-D9</f>
        <v>15190.920000000007</v>
      </c>
      <c r="E10" s="165">
        <f t="shared" si="4"/>
        <v>4968.8400000000038</v>
      </c>
      <c r="F10" s="165">
        <f t="shared" si="4"/>
        <v>2159.1699999999983</v>
      </c>
      <c r="G10" s="165">
        <f t="shared" si="4"/>
        <v>-3303.2000000000071</v>
      </c>
      <c r="H10" s="165">
        <f t="shared" si="4"/>
        <v>578.13500000000204</v>
      </c>
      <c r="I10" s="165">
        <f t="shared" si="4"/>
        <v>-11119.864999999998</v>
      </c>
      <c r="J10" s="165">
        <f t="shared" si="4"/>
        <v>1470.5849999999991</v>
      </c>
      <c r="K10" s="165">
        <f t="shared" si="4"/>
        <v>1328.0349999999962</v>
      </c>
      <c r="L10" s="165">
        <f t="shared" si="4"/>
        <v>-1335.1849999999977</v>
      </c>
      <c r="M10" s="165">
        <f t="shared" si="4"/>
        <v>-1332.3450000000012</v>
      </c>
      <c r="N10" s="165">
        <f t="shared" si="4"/>
        <v>-6776.9449999999997</v>
      </c>
      <c r="O10" s="165">
        <f>O2-O6-O7-O8-O9</f>
        <v>16931.585000000021</v>
      </c>
      <c r="P10" s="165">
        <f t="shared" si="2"/>
        <v>8465.7925000000105</v>
      </c>
      <c r="Q10" s="101"/>
      <c r="R10" s="55"/>
      <c r="S10" s="55"/>
    </row>
    <row r="11" spans="1:19" ht="15.1" customHeight="1" x14ac:dyDescent="0.5">
      <c r="A11" s="229"/>
      <c r="B11" s="162" t="s">
        <v>20</v>
      </c>
      <c r="C11" s="163">
        <f>C6</f>
        <v>2815.7550000000001</v>
      </c>
      <c r="D11" s="163">
        <f t="shared" ref="D11:N12" si="5">D6</f>
        <v>4249.7299999999996</v>
      </c>
      <c r="E11" s="163">
        <f t="shared" si="5"/>
        <v>2958.1950000000002</v>
      </c>
      <c r="F11" s="163">
        <f t="shared" si="5"/>
        <v>1552.095</v>
      </c>
      <c r="G11" s="163">
        <f t="shared" si="5"/>
        <v>1785.7850000000001</v>
      </c>
      <c r="H11" s="163">
        <f t="shared" si="5"/>
        <v>2300</v>
      </c>
      <c r="I11" s="163">
        <f t="shared" si="5"/>
        <v>2925</v>
      </c>
      <c r="J11" s="163">
        <f t="shared" si="5"/>
        <v>2078.5</v>
      </c>
      <c r="K11" s="163">
        <f t="shared" si="5"/>
        <v>2125</v>
      </c>
      <c r="L11" s="163">
        <f t="shared" si="5"/>
        <v>947</v>
      </c>
      <c r="M11" s="163">
        <f t="shared" si="5"/>
        <v>2900</v>
      </c>
      <c r="N11" s="163">
        <f t="shared" si="5"/>
        <v>4215.5</v>
      </c>
      <c r="O11" s="163">
        <f>SUM(C11:N11)</f>
        <v>30852.559999999998</v>
      </c>
      <c r="P11" s="163">
        <f t="shared" si="2"/>
        <v>15426.279999999999</v>
      </c>
      <c r="Q11" s="102"/>
      <c r="R11" s="55"/>
      <c r="S11" s="55"/>
    </row>
    <row r="12" spans="1:19" ht="15.1" customHeight="1" thickBot="1" x14ac:dyDescent="0.55000000000000004">
      <c r="A12" s="229"/>
      <c r="B12" s="151" t="s">
        <v>25</v>
      </c>
      <c r="C12" s="152">
        <f>C7</f>
        <v>36.875</v>
      </c>
      <c r="D12" s="152">
        <f t="shared" si="5"/>
        <v>130.91999999999999</v>
      </c>
      <c r="E12" s="152">
        <f t="shared" si="5"/>
        <v>173.33500000000001</v>
      </c>
      <c r="F12" s="152">
        <f t="shared" si="5"/>
        <v>86.665000000000006</v>
      </c>
      <c r="G12" s="152">
        <f t="shared" si="5"/>
        <v>86.665000000000006</v>
      </c>
      <c r="H12" s="152">
        <f t="shared" si="5"/>
        <v>86.665000000000006</v>
      </c>
      <c r="I12" s="152">
        <f t="shared" si="5"/>
        <v>86.665000000000006</v>
      </c>
      <c r="J12" s="152">
        <f t="shared" si="5"/>
        <v>86.665000000000006</v>
      </c>
      <c r="K12" s="152">
        <f t="shared" si="5"/>
        <v>86.665000000000006</v>
      </c>
      <c r="L12" s="152">
        <f t="shared" si="5"/>
        <v>86.665000000000006</v>
      </c>
      <c r="M12" s="152">
        <f t="shared" si="5"/>
        <v>86.665000000000006</v>
      </c>
      <c r="N12" s="152">
        <f t="shared" si="5"/>
        <v>86.665000000000006</v>
      </c>
      <c r="O12" s="152">
        <f>SUM(C12:N12)</f>
        <v>1121.1149999999998</v>
      </c>
      <c r="P12" s="152">
        <f t="shared" si="2"/>
        <v>560.55749999999989</v>
      </c>
      <c r="Q12" s="102"/>
      <c r="R12" s="55"/>
      <c r="S12" s="55"/>
    </row>
    <row r="13" spans="1:19" ht="17.100000000000001" customHeight="1" thickBot="1" x14ac:dyDescent="0.55000000000000004">
      <c r="A13" s="229"/>
      <c r="B13" s="153" t="s">
        <v>26</v>
      </c>
      <c r="C13" s="154">
        <f>C10+C11+C12</f>
        <v>17956.070000000003</v>
      </c>
      <c r="D13" s="154">
        <f t="shared" ref="D13:O13" si="6">D10+D11+D12</f>
        <v>19571.570000000007</v>
      </c>
      <c r="E13" s="154">
        <f t="shared" si="6"/>
        <v>8100.3700000000035</v>
      </c>
      <c r="F13" s="154">
        <f t="shared" si="6"/>
        <v>3797.9299999999985</v>
      </c>
      <c r="G13" s="154">
        <f t="shared" si="6"/>
        <v>-1430.750000000007</v>
      </c>
      <c r="H13" s="154">
        <f t="shared" si="6"/>
        <v>2964.800000000002</v>
      </c>
      <c r="I13" s="154">
        <f t="shared" si="6"/>
        <v>-8108.199999999998</v>
      </c>
      <c r="J13" s="154">
        <f t="shared" si="6"/>
        <v>3635.7499999999991</v>
      </c>
      <c r="K13" s="154">
        <f t="shared" si="6"/>
        <v>3539.6999999999962</v>
      </c>
      <c r="L13" s="154">
        <f t="shared" si="6"/>
        <v>-301.51999999999765</v>
      </c>
      <c r="M13" s="154">
        <f t="shared" si="6"/>
        <v>1654.3199999999988</v>
      </c>
      <c r="N13" s="154">
        <f t="shared" si="6"/>
        <v>-2474.7799999999997</v>
      </c>
      <c r="O13" s="155">
        <f t="shared" si="6"/>
        <v>48905.260000000017</v>
      </c>
      <c r="P13" s="155">
        <f t="shared" si="2"/>
        <v>24452.630000000008</v>
      </c>
      <c r="Q13" s="103"/>
      <c r="R13" s="55"/>
      <c r="S13" s="55"/>
    </row>
    <row r="14" spans="1:19" ht="5.0999999999999996" customHeight="1" thickBot="1" x14ac:dyDescent="0.55000000000000004">
      <c r="A14" s="229"/>
      <c r="B14" s="47"/>
      <c r="C14" s="42"/>
      <c r="D14" s="42"/>
      <c r="E14" s="42"/>
      <c r="F14" s="42"/>
      <c r="G14" s="42"/>
      <c r="H14" s="42"/>
      <c r="I14" s="77"/>
      <c r="J14" s="42"/>
      <c r="K14" s="42"/>
      <c r="L14" s="42"/>
      <c r="M14" s="42"/>
      <c r="N14" s="42"/>
      <c r="O14" s="46"/>
      <c r="P14" s="46"/>
      <c r="Q14" s="46"/>
      <c r="R14" s="55"/>
      <c r="S14" s="55"/>
    </row>
    <row r="15" spans="1:19" ht="17.100000000000001" customHeight="1" thickBot="1" x14ac:dyDescent="0.55000000000000004">
      <c r="A15" s="229"/>
      <c r="B15" s="148" t="s">
        <v>27</v>
      </c>
      <c r="C15" s="149">
        <f>SUM(C16:C20)</f>
        <v>24794.799999999999</v>
      </c>
      <c r="D15" s="149">
        <f t="shared" ref="D15:N15" si="7">SUM(D16:D20)</f>
        <v>19898.990000000002</v>
      </c>
      <c r="E15" s="149">
        <f t="shared" si="7"/>
        <v>22584.58</v>
      </c>
      <c r="F15" s="149">
        <f t="shared" si="7"/>
        <v>26503.5</v>
      </c>
      <c r="G15" s="149">
        <f t="shared" si="7"/>
        <v>24888.2</v>
      </c>
      <c r="H15" s="149">
        <f t="shared" si="7"/>
        <v>24571.48</v>
      </c>
      <c r="I15" s="149">
        <f t="shared" si="7"/>
        <v>22848.98</v>
      </c>
      <c r="J15" s="149">
        <f t="shared" si="7"/>
        <v>22857.7</v>
      </c>
      <c r="K15" s="149">
        <f t="shared" si="7"/>
        <v>20289.010000000002</v>
      </c>
      <c r="L15" s="149">
        <f>SUM(L16:L20)</f>
        <v>27841.32</v>
      </c>
      <c r="M15" s="149">
        <f t="shared" si="7"/>
        <v>21456.36</v>
      </c>
      <c r="N15" s="149">
        <f t="shared" si="7"/>
        <v>24344</v>
      </c>
      <c r="O15" s="150">
        <f t="shared" ref="O15:O24" si="8">SUM(C15:N15)</f>
        <v>282878.92000000004</v>
      </c>
      <c r="P15" s="150">
        <f>O15/2</f>
        <v>141439.46000000002</v>
      </c>
      <c r="Q15" s="150">
        <f>P15</f>
        <v>141439.46000000002</v>
      </c>
      <c r="R15" s="55"/>
      <c r="S15" s="55"/>
    </row>
    <row r="16" spans="1:19" ht="16.25" customHeight="1" x14ac:dyDescent="0.5">
      <c r="A16" s="229"/>
      <c r="B16" s="140" t="s">
        <v>28</v>
      </c>
      <c r="C16" s="176">
        <v>9949</v>
      </c>
      <c r="D16" s="176">
        <v>8658</v>
      </c>
      <c r="E16" s="176">
        <v>8685</v>
      </c>
      <c r="F16" s="142">
        <v>9869.5</v>
      </c>
      <c r="G16" s="142">
        <v>8290</v>
      </c>
      <c r="H16" s="142">
        <v>9527</v>
      </c>
      <c r="I16" s="142">
        <v>2431</v>
      </c>
      <c r="J16" s="142">
        <v>1447</v>
      </c>
      <c r="K16" s="142">
        <v>1394</v>
      </c>
      <c r="L16" s="142">
        <v>3070</v>
      </c>
      <c r="M16" s="142">
        <v>1769</v>
      </c>
      <c r="N16" s="142">
        <v>3259</v>
      </c>
      <c r="O16" s="144">
        <f t="shared" si="8"/>
        <v>68348.5</v>
      </c>
      <c r="P16" s="144">
        <f t="shared" ref="P16:P29" si="9">O16/2</f>
        <v>34174.25</v>
      </c>
      <c r="Q16" s="230">
        <f>SUM(P16:P20)</f>
        <v>141439.46</v>
      </c>
      <c r="R16" s="55"/>
      <c r="S16" s="55"/>
    </row>
    <row r="17" spans="1:19" ht="16.25" customHeight="1" x14ac:dyDescent="0.5">
      <c r="A17" s="229"/>
      <c r="B17" s="100" t="s">
        <v>29</v>
      </c>
      <c r="C17" s="64">
        <v>9090.7999999999993</v>
      </c>
      <c r="D17" s="64">
        <v>8192.76</v>
      </c>
      <c r="E17" s="64">
        <v>10401.58</v>
      </c>
      <c r="F17" s="177">
        <v>12234</v>
      </c>
      <c r="G17" s="177">
        <v>8752.2000000000007</v>
      </c>
      <c r="H17" s="177">
        <v>9205.14</v>
      </c>
      <c r="I17" s="64">
        <v>11647.98</v>
      </c>
      <c r="J17" s="177">
        <v>12730.7</v>
      </c>
      <c r="K17" s="177">
        <v>12850.01</v>
      </c>
      <c r="L17" s="177">
        <v>11850</v>
      </c>
      <c r="M17" s="64">
        <v>11742.36</v>
      </c>
      <c r="N17" s="64">
        <v>12780</v>
      </c>
      <c r="O17" s="130">
        <f t="shared" si="8"/>
        <v>131477.52999999997</v>
      </c>
      <c r="P17" s="130">
        <f t="shared" si="9"/>
        <v>65738.764999999985</v>
      </c>
      <c r="Q17" s="231"/>
      <c r="R17" s="55"/>
      <c r="S17" s="55"/>
    </row>
    <row r="18" spans="1:19" ht="16.25" customHeight="1" x14ac:dyDescent="0.5">
      <c r="A18" s="229"/>
      <c r="B18" s="100" t="s">
        <v>30</v>
      </c>
      <c r="C18" s="64">
        <v>3500</v>
      </c>
      <c r="D18" s="64">
        <v>2561.23</v>
      </c>
      <c r="E18" s="64">
        <v>2808</v>
      </c>
      <c r="F18" s="178">
        <v>3500</v>
      </c>
      <c r="G18" s="178">
        <v>3176</v>
      </c>
      <c r="H18" s="179">
        <v>3304.34</v>
      </c>
      <c r="I18" s="64">
        <v>2900</v>
      </c>
      <c r="J18" s="64">
        <v>2900</v>
      </c>
      <c r="K18" s="64">
        <v>2900</v>
      </c>
      <c r="L18" s="64">
        <v>7876.32</v>
      </c>
      <c r="M18" s="64">
        <v>3780</v>
      </c>
      <c r="N18" s="64">
        <v>2900</v>
      </c>
      <c r="O18" s="135">
        <f t="shared" si="8"/>
        <v>42105.89</v>
      </c>
      <c r="P18" s="130">
        <f t="shared" si="9"/>
        <v>21052.945</v>
      </c>
      <c r="Q18" s="231"/>
      <c r="R18" s="55"/>
      <c r="S18" s="55"/>
    </row>
    <row r="19" spans="1:19" ht="16.25" customHeight="1" x14ac:dyDescent="0.5">
      <c r="A19" s="229"/>
      <c r="B19" s="74" t="s">
        <v>31</v>
      </c>
      <c r="C19" s="75">
        <v>1127.5</v>
      </c>
      <c r="D19" s="180">
        <v>243.5</v>
      </c>
      <c r="E19" s="180">
        <v>345</v>
      </c>
      <c r="F19" s="178">
        <v>450</v>
      </c>
      <c r="G19" s="178">
        <v>2335</v>
      </c>
      <c r="H19" s="179">
        <v>1267.5</v>
      </c>
      <c r="I19" s="64">
        <v>2100</v>
      </c>
      <c r="J19" s="64">
        <v>1780</v>
      </c>
      <c r="K19" s="64">
        <v>2330</v>
      </c>
      <c r="L19" s="64">
        <v>4625</v>
      </c>
      <c r="M19" s="64">
        <v>3160</v>
      </c>
      <c r="N19" s="64">
        <v>3335</v>
      </c>
      <c r="O19" s="135">
        <f t="shared" si="8"/>
        <v>23098.5</v>
      </c>
      <c r="P19" s="130">
        <f t="shared" si="9"/>
        <v>11549.25</v>
      </c>
      <c r="Q19" s="231"/>
      <c r="R19" s="55"/>
      <c r="S19" s="55"/>
    </row>
    <row r="20" spans="1:19" ht="16.25" customHeight="1" x14ac:dyDescent="0.5">
      <c r="A20" s="229"/>
      <c r="B20" s="74" t="s">
        <v>32</v>
      </c>
      <c r="C20" s="75">
        <v>1127.5</v>
      </c>
      <c r="D20" s="180">
        <v>243.5</v>
      </c>
      <c r="E20" s="180">
        <v>345</v>
      </c>
      <c r="F20" s="178">
        <v>450</v>
      </c>
      <c r="G20" s="178">
        <v>2335</v>
      </c>
      <c r="H20" s="179">
        <v>1267.5</v>
      </c>
      <c r="I20" s="64">
        <v>3770</v>
      </c>
      <c r="J20" s="64">
        <v>4000</v>
      </c>
      <c r="K20" s="64">
        <v>815</v>
      </c>
      <c r="L20" s="64">
        <v>420</v>
      </c>
      <c r="M20" s="64">
        <v>1005</v>
      </c>
      <c r="N20" s="64">
        <v>2070</v>
      </c>
      <c r="O20" s="135">
        <f t="shared" si="8"/>
        <v>17848.5</v>
      </c>
      <c r="P20" s="130">
        <f t="shared" si="9"/>
        <v>8924.25</v>
      </c>
      <c r="Q20" s="231"/>
      <c r="R20" s="55"/>
      <c r="S20" s="55"/>
    </row>
    <row r="21" spans="1:19" ht="16.25" customHeight="1" x14ac:dyDescent="0.5">
      <c r="A21" s="229"/>
      <c r="B21" s="32" t="s">
        <v>20</v>
      </c>
      <c r="C21" s="33">
        <f>C6</f>
        <v>2815.7550000000001</v>
      </c>
      <c r="D21" s="33">
        <f>D6</f>
        <v>4249.7299999999996</v>
      </c>
      <c r="E21" s="137">
        <f t="shared" ref="E21:N22" si="10">E6</f>
        <v>2958.1950000000002</v>
      </c>
      <c r="F21" s="137">
        <f t="shared" si="10"/>
        <v>1552.095</v>
      </c>
      <c r="G21" s="137">
        <f t="shared" si="10"/>
        <v>1785.7850000000001</v>
      </c>
      <c r="H21" s="137">
        <f t="shared" si="10"/>
        <v>2300</v>
      </c>
      <c r="I21" s="137">
        <f t="shared" si="10"/>
        <v>2925</v>
      </c>
      <c r="J21" s="137">
        <f t="shared" si="10"/>
        <v>2078.5</v>
      </c>
      <c r="K21" s="137">
        <f t="shared" si="10"/>
        <v>2125</v>
      </c>
      <c r="L21" s="137">
        <f t="shared" si="10"/>
        <v>947</v>
      </c>
      <c r="M21" s="137">
        <f t="shared" si="10"/>
        <v>2900</v>
      </c>
      <c r="N21" s="137">
        <f t="shared" si="10"/>
        <v>4215.5</v>
      </c>
      <c r="O21" s="131">
        <f t="shared" si="8"/>
        <v>30852.559999999998</v>
      </c>
      <c r="P21" s="131">
        <f t="shared" si="9"/>
        <v>15426.279999999999</v>
      </c>
      <c r="Q21" s="232">
        <f>-P21-P22</f>
        <v>-15986.837499999998</v>
      </c>
      <c r="R21" s="55"/>
      <c r="S21" s="55"/>
    </row>
    <row r="22" spans="1:19" ht="16.25" customHeight="1" x14ac:dyDescent="0.5">
      <c r="A22" s="229"/>
      <c r="B22" s="32" t="s">
        <v>21</v>
      </c>
      <c r="C22" s="34">
        <f t="shared" ref="C22:D22" si="11">C7</f>
        <v>36.875</v>
      </c>
      <c r="D22" s="34">
        <f t="shared" si="11"/>
        <v>130.91999999999999</v>
      </c>
      <c r="E22" s="34">
        <f>E7</f>
        <v>173.33500000000001</v>
      </c>
      <c r="F22" s="34">
        <f t="shared" si="10"/>
        <v>86.665000000000006</v>
      </c>
      <c r="G22" s="34">
        <f t="shared" si="10"/>
        <v>86.665000000000006</v>
      </c>
      <c r="H22" s="34">
        <f t="shared" si="10"/>
        <v>86.665000000000006</v>
      </c>
      <c r="I22" s="34">
        <f t="shared" si="10"/>
        <v>86.665000000000006</v>
      </c>
      <c r="J22" s="34">
        <f t="shared" si="10"/>
        <v>86.665000000000006</v>
      </c>
      <c r="K22" s="34">
        <f t="shared" si="10"/>
        <v>86.665000000000006</v>
      </c>
      <c r="L22" s="34">
        <f t="shared" si="10"/>
        <v>86.665000000000006</v>
      </c>
      <c r="M22" s="34">
        <f t="shared" si="10"/>
        <v>86.665000000000006</v>
      </c>
      <c r="N22" s="34">
        <f t="shared" si="10"/>
        <v>86.665000000000006</v>
      </c>
      <c r="O22" s="131">
        <f t="shared" si="8"/>
        <v>1121.1149999999998</v>
      </c>
      <c r="P22" s="131">
        <f t="shared" si="9"/>
        <v>560.55749999999989</v>
      </c>
      <c r="Q22" s="232"/>
      <c r="R22" s="55"/>
      <c r="S22" s="55"/>
    </row>
    <row r="23" spans="1:19" ht="16.25" customHeight="1" x14ac:dyDescent="0.5">
      <c r="A23" s="229"/>
      <c r="B23" s="35" t="s">
        <v>33</v>
      </c>
      <c r="C23" s="36">
        <v>16358.31</v>
      </c>
      <c r="D23" s="36">
        <v>16426.14</v>
      </c>
      <c r="E23" s="36">
        <v>21097.35</v>
      </c>
      <c r="F23" s="36">
        <v>17106.2</v>
      </c>
      <c r="G23" s="36">
        <v>16578.96</v>
      </c>
      <c r="H23" s="36">
        <v>16751.91</v>
      </c>
      <c r="I23" s="36">
        <v>24305.38</v>
      </c>
      <c r="J23" s="36">
        <v>15069.7</v>
      </c>
      <c r="K23" s="36">
        <v>16469.72</v>
      </c>
      <c r="L23" s="36">
        <v>15204.93</v>
      </c>
      <c r="M23" s="36">
        <v>14884.77</v>
      </c>
      <c r="N23" s="3">
        <v>22677.24</v>
      </c>
      <c r="O23" s="132">
        <f t="shared" si="8"/>
        <v>212930.61</v>
      </c>
      <c r="P23" s="132">
        <f t="shared" si="9"/>
        <v>106465.30499999999</v>
      </c>
      <c r="Q23" s="233">
        <f>-P23-P24</f>
        <v>-115879.605</v>
      </c>
      <c r="R23" s="55"/>
      <c r="S23" s="55"/>
    </row>
    <row r="24" spans="1:19" ht="16.25" customHeight="1" thickBot="1" x14ac:dyDescent="0.55000000000000004">
      <c r="A24" s="229"/>
      <c r="B24" s="158" t="s">
        <v>34</v>
      </c>
      <c r="C24" s="160">
        <v>1400</v>
      </c>
      <c r="D24" s="160">
        <v>700</v>
      </c>
      <c r="E24" s="160">
        <v>1604.4</v>
      </c>
      <c r="F24" s="160">
        <v>1253</v>
      </c>
      <c r="G24" s="160">
        <v>1200</v>
      </c>
      <c r="H24" s="160">
        <v>1200</v>
      </c>
      <c r="I24" s="160">
        <v>3480.6</v>
      </c>
      <c r="J24" s="160">
        <v>1649.1</v>
      </c>
      <c r="K24" s="160">
        <v>1541.5</v>
      </c>
      <c r="L24" s="160">
        <v>1660</v>
      </c>
      <c r="M24" s="160">
        <v>1725</v>
      </c>
      <c r="N24" s="160">
        <v>1415</v>
      </c>
      <c r="O24" s="161">
        <f t="shared" si="8"/>
        <v>18828.599999999999</v>
      </c>
      <c r="P24" s="161">
        <f t="shared" si="9"/>
        <v>9414.2999999999993</v>
      </c>
      <c r="Q24" s="233"/>
      <c r="R24" s="55"/>
      <c r="S24" s="55"/>
    </row>
    <row r="25" spans="1:19" ht="13.8" customHeight="1" thickBot="1" x14ac:dyDescent="0.55000000000000004">
      <c r="A25" s="229"/>
      <c r="B25" s="164" t="s">
        <v>24</v>
      </c>
      <c r="C25" s="165">
        <f>C15-C21-C22-C23-C24</f>
        <v>4183.8599999999988</v>
      </c>
      <c r="D25" s="165">
        <f t="shared" ref="D25:O25" si="12">D15-D21-D22-D23-D24</f>
        <v>-1607.7999999999975</v>
      </c>
      <c r="E25" s="165">
        <f t="shared" si="12"/>
        <v>-3248.6999999999957</v>
      </c>
      <c r="F25" s="165">
        <f t="shared" si="12"/>
        <v>6505.5399999999972</v>
      </c>
      <c r="G25" s="165">
        <f t="shared" si="12"/>
        <v>5236.7900000000009</v>
      </c>
      <c r="H25" s="165">
        <f t="shared" si="12"/>
        <v>4232.9049999999988</v>
      </c>
      <c r="I25" s="165">
        <f t="shared" si="12"/>
        <v>-7948.6650000000027</v>
      </c>
      <c r="J25" s="165">
        <f t="shared" si="12"/>
        <v>3973.7349999999992</v>
      </c>
      <c r="K25" s="165">
        <f t="shared" si="12"/>
        <v>66.125</v>
      </c>
      <c r="L25" s="165">
        <f t="shared" si="12"/>
        <v>9942.7249999999985</v>
      </c>
      <c r="M25" s="165">
        <f t="shared" si="12"/>
        <v>1859.9249999999993</v>
      </c>
      <c r="N25" s="165">
        <f t="shared" si="12"/>
        <v>-4050.4050000000025</v>
      </c>
      <c r="O25" s="165">
        <f t="shared" si="12"/>
        <v>19146.035000000069</v>
      </c>
      <c r="P25" s="165">
        <f t="shared" si="9"/>
        <v>9573.0175000000345</v>
      </c>
      <c r="Q25" s="101"/>
      <c r="R25" s="55"/>
      <c r="S25" s="55"/>
    </row>
    <row r="26" spans="1:19" ht="14.55" customHeight="1" x14ac:dyDescent="0.5">
      <c r="A26" s="229"/>
      <c r="B26" s="162" t="s">
        <v>20</v>
      </c>
      <c r="C26" s="163">
        <f>C21</f>
        <v>2815.7550000000001</v>
      </c>
      <c r="D26" s="163">
        <f t="shared" ref="D26:N27" si="13">D21</f>
        <v>4249.7299999999996</v>
      </c>
      <c r="E26" s="163">
        <f t="shared" si="13"/>
        <v>2958.1950000000002</v>
      </c>
      <c r="F26" s="163">
        <f t="shared" si="13"/>
        <v>1552.095</v>
      </c>
      <c r="G26" s="163">
        <f t="shared" si="13"/>
        <v>1785.7850000000001</v>
      </c>
      <c r="H26" s="163">
        <f t="shared" si="13"/>
        <v>2300</v>
      </c>
      <c r="I26" s="163">
        <f t="shared" si="13"/>
        <v>2925</v>
      </c>
      <c r="J26" s="163">
        <f t="shared" si="13"/>
        <v>2078.5</v>
      </c>
      <c r="K26" s="163">
        <f t="shared" si="13"/>
        <v>2125</v>
      </c>
      <c r="L26" s="163">
        <f t="shared" si="13"/>
        <v>947</v>
      </c>
      <c r="M26" s="163">
        <f t="shared" si="13"/>
        <v>2900</v>
      </c>
      <c r="N26" s="163">
        <f t="shared" si="13"/>
        <v>4215.5</v>
      </c>
      <c r="O26" s="163">
        <f>SUM(C26:N26)</f>
        <v>30852.559999999998</v>
      </c>
      <c r="P26" s="163">
        <f t="shared" si="9"/>
        <v>15426.279999999999</v>
      </c>
      <c r="Q26" s="102"/>
      <c r="R26" s="55"/>
      <c r="S26" s="55"/>
    </row>
    <row r="27" spans="1:19" ht="14.55" customHeight="1" thickBot="1" x14ac:dyDescent="0.55000000000000004">
      <c r="A27" s="229"/>
      <c r="B27" s="151" t="s">
        <v>25</v>
      </c>
      <c r="C27" s="152">
        <f>C22</f>
        <v>36.875</v>
      </c>
      <c r="D27" s="152">
        <f t="shared" si="13"/>
        <v>130.91999999999999</v>
      </c>
      <c r="E27" s="152">
        <f t="shared" si="13"/>
        <v>173.33500000000001</v>
      </c>
      <c r="F27" s="152">
        <f t="shared" si="13"/>
        <v>86.665000000000006</v>
      </c>
      <c r="G27" s="152">
        <f t="shared" si="13"/>
        <v>86.665000000000006</v>
      </c>
      <c r="H27" s="152">
        <f t="shared" si="13"/>
        <v>86.665000000000006</v>
      </c>
      <c r="I27" s="152">
        <f t="shared" si="13"/>
        <v>86.665000000000006</v>
      </c>
      <c r="J27" s="152">
        <f t="shared" si="13"/>
        <v>86.665000000000006</v>
      </c>
      <c r="K27" s="152">
        <f t="shared" si="13"/>
        <v>86.665000000000006</v>
      </c>
      <c r="L27" s="152">
        <f t="shared" si="13"/>
        <v>86.665000000000006</v>
      </c>
      <c r="M27" s="152">
        <f t="shared" si="13"/>
        <v>86.665000000000006</v>
      </c>
      <c r="N27" s="152">
        <f t="shared" si="13"/>
        <v>86.665000000000006</v>
      </c>
      <c r="O27" s="152">
        <f>SUM(C27:N27)</f>
        <v>1121.1149999999998</v>
      </c>
      <c r="P27" s="152">
        <f t="shared" si="9"/>
        <v>560.55749999999989</v>
      </c>
      <c r="Q27" s="102"/>
      <c r="R27" s="55"/>
      <c r="S27" s="55"/>
    </row>
    <row r="28" spans="1:19" ht="17.100000000000001" customHeight="1" thickBot="1" x14ac:dyDescent="0.55000000000000004">
      <c r="A28" s="229"/>
      <c r="B28" s="153" t="s">
        <v>35</v>
      </c>
      <c r="C28" s="154">
        <f>C25+C26+C27</f>
        <v>7036.4899999999989</v>
      </c>
      <c r="D28" s="154">
        <f t="shared" ref="D28:O28" si="14">D25+D26+D27</f>
        <v>2772.8500000000022</v>
      </c>
      <c r="E28" s="154">
        <f t="shared" si="14"/>
        <v>-117.16999999999555</v>
      </c>
      <c r="F28" s="154">
        <f t="shared" si="14"/>
        <v>8144.2999999999975</v>
      </c>
      <c r="G28" s="154">
        <f t="shared" si="14"/>
        <v>7109.2400000000007</v>
      </c>
      <c r="H28" s="154">
        <f t="shared" si="14"/>
        <v>6619.5699999999988</v>
      </c>
      <c r="I28" s="154">
        <f t="shared" si="14"/>
        <v>-4937.0000000000027</v>
      </c>
      <c r="J28" s="154">
        <f t="shared" si="14"/>
        <v>6138.8999999999987</v>
      </c>
      <c r="K28" s="154">
        <f t="shared" si="14"/>
        <v>2277.79</v>
      </c>
      <c r="L28" s="154">
        <f t="shared" si="14"/>
        <v>10976.39</v>
      </c>
      <c r="M28" s="154">
        <f t="shared" si="14"/>
        <v>4846.5899999999992</v>
      </c>
      <c r="N28" s="154">
        <f t="shared" si="14"/>
        <v>251.75999999999755</v>
      </c>
      <c r="O28" s="155">
        <f t="shared" si="14"/>
        <v>51119.710000000065</v>
      </c>
      <c r="P28" s="155">
        <f t="shared" si="9"/>
        <v>25559.855000000032</v>
      </c>
      <c r="Q28" s="103"/>
      <c r="R28" s="55"/>
      <c r="S28" s="55"/>
    </row>
    <row r="29" spans="1:19" ht="24.1" customHeight="1" thickBot="1" x14ac:dyDescent="0.55000000000000004">
      <c r="A29" s="229"/>
      <c r="B29" s="156" t="s">
        <v>36</v>
      </c>
      <c r="C29" s="157">
        <f>C13+C28</f>
        <v>24992.560000000001</v>
      </c>
      <c r="D29" s="157">
        <f t="shared" ref="D29:O29" si="15">D13+D28</f>
        <v>22344.420000000009</v>
      </c>
      <c r="E29" s="157">
        <f t="shared" si="15"/>
        <v>7983.200000000008</v>
      </c>
      <c r="F29" s="157">
        <f t="shared" si="15"/>
        <v>11942.229999999996</v>
      </c>
      <c r="G29" s="157">
        <f t="shared" si="15"/>
        <v>5678.4899999999934</v>
      </c>
      <c r="H29" s="157">
        <f t="shared" si="15"/>
        <v>9584.3700000000008</v>
      </c>
      <c r="I29" s="157">
        <f t="shared" si="15"/>
        <v>-13045.2</v>
      </c>
      <c r="J29" s="157">
        <f t="shared" si="15"/>
        <v>9774.6499999999978</v>
      </c>
      <c r="K29" s="157">
        <f t="shared" si="15"/>
        <v>5817.4899999999961</v>
      </c>
      <c r="L29" s="157">
        <f t="shared" si="15"/>
        <v>10674.870000000003</v>
      </c>
      <c r="M29" s="157">
        <f t="shared" si="15"/>
        <v>6500.909999999998</v>
      </c>
      <c r="N29" s="157">
        <f t="shared" si="15"/>
        <v>-2223.0200000000023</v>
      </c>
      <c r="O29" s="166">
        <f t="shared" si="15"/>
        <v>100024.97000000009</v>
      </c>
      <c r="P29" s="157">
        <f t="shared" si="9"/>
        <v>50012.485000000044</v>
      </c>
      <c r="Q29" s="104"/>
      <c r="R29" s="55"/>
      <c r="S29" s="55"/>
    </row>
    <row r="30" spans="1:19" x14ac:dyDescent="0.5">
      <c r="F30" s="119"/>
      <c r="G30" s="1"/>
      <c r="H30" s="1"/>
      <c r="I30" s="1"/>
    </row>
    <row r="31" spans="1:19" x14ac:dyDescent="0.5">
      <c r="F31" s="120"/>
      <c r="G31" s="121"/>
      <c r="H31" s="122"/>
      <c r="I31" s="122"/>
    </row>
    <row r="32" spans="1:19" x14ac:dyDescent="0.5">
      <c r="F32" s="119"/>
      <c r="G32" s="1"/>
      <c r="H32" s="1"/>
      <c r="I32" s="1"/>
    </row>
    <row r="33" spans="1:19" x14ac:dyDescent="0.5">
      <c r="F33" s="120"/>
      <c r="G33" s="121"/>
      <c r="H33" s="122"/>
      <c r="I33" s="122"/>
    </row>
    <row r="34" spans="1:19" x14ac:dyDescent="0.5">
      <c r="F34" s="119"/>
      <c r="G34" s="1"/>
      <c r="H34" s="1"/>
      <c r="I34" s="1"/>
    </row>
    <row r="35" spans="1:19" s="9" customFormat="1" x14ac:dyDescent="0.5">
      <c r="A35" s="1"/>
      <c r="B35" s="1"/>
      <c r="F35" s="120"/>
      <c r="G35" s="121"/>
      <c r="H35" s="122"/>
      <c r="I35" s="122"/>
      <c r="R35" s="1"/>
      <c r="S35" s="1"/>
    </row>
  </sheetData>
  <mergeCells count="7">
    <mergeCell ref="A1:A29"/>
    <mergeCell ref="Q3:Q5"/>
    <mergeCell ref="Q6:Q7"/>
    <mergeCell ref="Q8:Q9"/>
    <mergeCell ref="Q16:Q20"/>
    <mergeCell ref="Q21:Q22"/>
    <mergeCell ref="Q23:Q24"/>
  </mergeCells>
  <pageMargins left="0.7" right="0.7" top="0.75" bottom="0.75" header="0.3" footer="0.3"/>
  <pageSetup paperSize="9" orientation="portrait" r:id="rId1"/>
  <legacy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2C8759-1EAC-4C46-AAEE-638FC98D73F8}">
  <dimension ref="A1:S34"/>
  <sheetViews>
    <sheetView zoomScale="93" zoomScaleNormal="93" zoomScalePageLayoutView="112" workbookViewId="0">
      <selection activeCell="J6" sqref="J6"/>
    </sheetView>
  </sheetViews>
  <sheetFormatPr baseColWidth="10" defaultColWidth="10.6875" defaultRowHeight="15.75" x14ac:dyDescent="0.5"/>
  <cols>
    <col min="1" max="1" width="0.6875" style="1" customWidth="1"/>
    <col min="2" max="2" width="25.125" style="1" customWidth="1"/>
    <col min="3" max="9" width="11.3125" style="9" bestFit="1" customWidth="1"/>
    <col min="10" max="10" width="11.4375" style="9" customWidth="1"/>
    <col min="11" max="11" width="11.125" style="9" customWidth="1"/>
    <col min="12" max="12" width="12" style="9" customWidth="1"/>
    <col min="13" max="13" width="11.4375" style="9" customWidth="1"/>
    <col min="14" max="14" width="11.6875" style="9" customWidth="1"/>
    <col min="15" max="15" width="14.4375" style="9" bestFit="1" customWidth="1"/>
    <col min="16" max="16" width="14.8125" style="9" customWidth="1"/>
    <col min="17" max="17" width="11.4375" style="9" bestFit="1" customWidth="1"/>
    <col min="18" max="18" width="34.4375" style="1" customWidth="1"/>
    <col min="19" max="16384" width="10.6875" style="1"/>
  </cols>
  <sheetData>
    <row r="1" spans="1:19" ht="19.8" customHeight="1" thickBot="1" x14ac:dyDescent="0.55000000000000004">
      <c r="A1" s="229"/>
      <c r="B1" s="145" t="s">
        <v>123</v>
      </c>
      <c r="C1" s="146" t="s">
        <v>1</v>
      </c>
      <c r="D1" s="146" t="s">
        <v>2</v>
      </c>
      <c r="E1" s="146" t="s">
        <v>3</v>
      </c>
      <c r="F1" s="146" t="s">
        <v>4</v>
      </c>
      <c r="G1" s="147" t="s">
        <v>5</v>
      </c>
      <c r="H1" s="146" t="s">
        <v>6</v>
      </c>
      <c r="I1" s="146" t="s">
        <v>7</v>
      </c>
      <c r="J1" s="146" t="s">
        <v>8</v>
      </c>
      <c r="K1" s="146" t="s">
        <v>9</v>
      </c>
      <c r="L1" s="146" t="s">
        <v>10</v>
      </c>
      <c r="M1" s="146" t="s">
        <v>11</v>
      </c>
      <c r="N1" s="146" t="s">
        <v>12</v>
      </c>
      <c r="O1" s="146" t="s">
        <v>13</v>
      </c>
      <c r="P1" s="146" t="s">
        <v>14</v>
      </c>
      <c r="Q1" s="146" t="s">
        <v>15</v>
      </c>
      <c r="R1" s="55"/>
      <c r="S1" s="55"/>
    </row>
    <row r="2" spans="1:19" ht="14.55" customHeight="1" thickBot="1" x14ac:dyDescent="0.55000000000000004">
      <c r="A2" s="229"/>
      <c r="B2" s="148" t="s">
        <v>16</v>
      </c>
      <c r="C2" s="149">
        <f>SUM(C3:C5)</f>
        <v>21889.96</v>
      </c>
      <c r="D2" s="149">
        <f t="shared" ref="D2:N2" si="0">SUM(D3:D5)</f>
        <v>21157.99</v>
      </c>
      <c r="E2" s="149">
        <f>SUM(E3:E5)</f>
        <v>24474</v>
      </c>
      <c r="F2" s="149">
        <f t="shared" si="0"/>
        <v>29401</v>
      </c>
      <c r="G2" s="149">
        <f t="shared" si="0"/>
        <v>34266</v>
      </c>
      <c r="H2" s="149">
        <f t="shared" si="0"/>
        <v>39496</v>
      </c>
      <c r="I2" s="149">
        <f t="shared" si="0"/>
        <v>38132</v>
      </c>
      <c r="J2" s="149">
        <f t="shared" si="0"/>
        <v>29813.67</v>
      </c>
      <c r="K2" s="149">
        <f t="shared" si="0"/>
        <v>29894</v>
      </c>
      <c r="L2" s="149">
        <f t="shared" si="0"/>
        <v>29824</v>
      </c>
      <c r="M2" s="149">
        <f t="shared" si="0"/>
        <v>27706</v>
      </c>
      <c r="N2" s="149">
        <f t="shared" si="0"/>
        <v>30747</v>
      </c>
      <c r="O2" s="150">
        <f t="shared" ref="O2" si="1">SUM(C2:N2)</f>
        <v>356801.62</v>
      </c>
      <c r="P2" s="150">
        <f>O2/2</f>
        <v>178400.81</v>
      </c>
      <c r="Q2" s="150">
        <f>P2</f>
        <v>178400.81</v>
      </c>
      <c r="R2" s="55"/>
      <c r="S2" s="55"/>
    </row>
    <row r="3" spans="1:19" ht="14.55" customHeight="1" x14ac:dyDescent="0.5">
      <c r="A3" s="229"/>
      <c r="B3" s="140" t="s">
        <v>17</v>
      </c>
      <c r="C3" s="176">
        <v>21889.96</v>
      </c>
      <c r="D3" s="142">
        <v>21157.99</v>
      </c>
      <c r="E3" s="142">
        <v>24474</v>
      </c>
      <c r="F3" s="142">
        <v>29401</v>
      </c>
      <c r="G3" s="142">
        <v>34266</v>
      </c>
      <c r="H3" s="142">
        <v>39496</v>
      </c>
      <c r="I3" s="142">
        <v>38132</v>
      </c>
      <c r="J3" s="142">
        <v>29813.67</v>
      </c>
      <c r="K3" s="142">
        <v>29894</v>
      </c>
      <c r="L3" s="142">
        <v>29824</v>
      </c>
      <c r="M3" s="142">
        <v>27706</v>
      </c>
      <c r="N3" s="142">
        <v>30747</v>
      </c>
      <c r="O3" s="144">
        <f>SUM(C3:N3)</f>
        <v>356801.62</v>
      </c>
      <c r="P3" s="144">
        <f t="shared" ref="P3:P13" si="2">O3/2</f>
        <v>178400.81</v>
      </c>
      <c r="Q3" s="230">
        <f>SUM(P3:P5)</f>
        <v>178400.81</v>
      </c>
      <c r="R3" s="55"/>
      <c r="S3" s="55"/>
    </row>
    <row r="4" spans="1:19" ht="14.55" customHeight="1" x14ac:dyDescent="0.5">
      <c r="A4" s="229"/>
      <c r="B4" s="74" t="s">
        <v>18</v>
      </c>
      <c r="C4" s="64"/>
      <c r="D4" s="64"/>
      <c r="E4" s="64"/>
      <c r="F4" s="64"/>
      <c r="G4" s="64"/>
      <c r="H4" s="64"/>
      <c r="I4" s="64"/>
      <c r="J4" s="64"/>
      <c r="K4" s="64"/>
      <c r="L4" s="64"/>
      <c r="M4" s="64"/>
      <c r="N4" s="64"/>
      <c r="O4" s="130">
        <f>SUM(C4:N4)</f>
        <v>0</v>
      </c>
      <c r="P4" s="130">
        <f t="shared" si="2"/>
        <v>0</v>
      </c>
      <c r="Q4" s="231"/>
      <c r="R4" s="55"/>
      <c r="S4" s="55"/>
    </row>
    <row r="5" spans="1:19" ht="14.55" customHeight="1" x14ac:dyDescent="0.5">
      <c r="A5" s="229"/>
      <c r="B5" s="74" t="s">
        <v>19</v>
      </c>
      <c r="C5" s="64"/>
      <c r="D5" s="64"/>
      <c r="E5" s="64"/>
      <c r="F5" s="64"/>
      <c r="G5" s="64"/>
      <c r="H5" s="64"/>
      <c r="I5" s="64"/>
      <c r="J5" s="64"/>
      <c r="K5" s="64"/>
      <c r="L5" s="64"/>
      <c r="M5" s="64"/>
      <c r="N5" s="64"/>
      <c r="O5" s="130">
        <f>SUM(C5:N5)</f>
        <v>0</v>
      </c>
      <c r="P5" s="130">
        <f t="shared" si="2"/>
        <v>0</v>
      </c>
      <c r="Q5" s="231"/>
      <c r="R5" s="55"/>
      <c r="S5" s="55"/>
    </row>
    <row r="6" spans="1:19" ht="14.55" customHeight="1" x14ac:dyDescent="0.5">
      <c r="A6" s="229"/>
      <c r="B6" s="32" t="s">
        <v>20</v>
      </c>
      <c r="C6" s="33"/>
      <c r="D6" s="33"/>
      <c r="E6" s="34"/>
      <c r="F6" s="34"/>
      <c r="G6" s="34"/>
      <c r="H6" s="34"/>
      <c r="I6" s="34"/>
      <c r="J6" s="34"/>
      <c r="K6" s="34"/>
      <c r="L6" s="34"/>
      <c r="M6" s="34"/>
      <c r="N6" s="34"/>
      <c r="O6" s="131">
        <f>SUM(C6:N6)</f>
        <v>0</v>
      </c>
      <c r="P6" s="131">
        <f t="shared" si="2"/>
        <v>0</v>
      </c>
      <c r="Q6" s="232">
        <f>-P6-P7</f>
        <v>0</v>
      </c>
      <c r="R6" s="55"/>
      <c r="S6" s="55"/>
    </row>
    <row r="7" spans="1:19" ht="14.55" customHeight="1" x14ac:dyDescent="0.5">
      <c r="A7" s="229"/>
      <c r="B7" s="32" t="s">
        <v>21</v>
      </c>
      <c r="C7" s="34"/>
      <c r="D7" s="34"/>
      <c r="E7" s="34"/>
      <c r="F7" s="34"/>
      <c r="G7" s="34"/>
      <c r="H7" s="34"/>
      <c r="I7" s="34"/>
      <c r="J7" s="34"/>
      <c r="K7" s="34"/>
      <c r="L7" s="34"/>
      <c r="M7" s="34"/>
      <c r="N7" s="34"/>
      <c r="O7" s="131">
        <f>SUM(C7:N7)</f>
        <v>0</v>
      </c>
      <c r="P7" s="131">
        <f t="shared" si="2"/>
        <v>0</v>
      </c>
      <c r="Q7" s="232"/>
      <c r="R7" s="55"/>
      <c r="S7" s="55"/>
    </row>
    <row r="8" spans="1:19" ht="14.55" customHeight="1" x14ac:dyDescent="0.5">
      <c r="A8" s="229"/>
      <c r="B8" s="35" t="s">
        <v>22</v>
      </c>
      <c r="C8" s="36"/>
      <c r="D8" s="36"/>
      <c r="E8" s="36"/>
      <c r="F8" s="36"/>
      <c r="G8" s="36"/>
      <c r="H8" s="36"/>
      <c r="I8" s="36"/>
      <c r="J8" s="36"/>
      <c r="K8" s="36"/>
      <c r="L8" s="36"/>
      <c r="M8" s="36"/>
      <c r="N8" s="3"/>
      <c r="O8" s="132">
        <f t="shared" ref="O8:O9" si="3">SUM(C8:N8)</f>
        <v>0</v>
      </c>
      <c r="P8" s="132">
        <f t="shared" si="2"/>
        <v>0</v>
      </c>
      <c r="Q8" s="233">
        <f>-P8-P9</f>
        <v>-12085.5</v>
      </c>
      <c r="R8" s="55"/>
      <c r="S8" s="55"/>
    </row>
    <row r="9" spans="1:19" ht="14.55" customHeight="1" thickBot="1" x14ac:dyDescent="0.55000000000000004">
      <c r="A9" s="229"/>
      <c r="B9" s="158" t="s">
        <v>23</v>
      </c>
      <c r="C9" s="160">
        <v>1763</v>
      </c>
      <c r="D9" s="160">
        <v>839</v>
      </c>
      <c r="E9" s="160">
        <v>1529</v>
      </c>
      <c r="F9" s="160">
        <v>2462</v>
      </c>
      <c r="G9" s="160">
        <v>3043</v>
      </c>
      <c r="H9" s="160">
        <v>2242</v>
      </c>
      <c r="I9" s="160">
        <v>3141</v>
      </c>
      <c r="J9" s="160">
        <v>2295</v>
      </c>
      <c r="K9" s="160">
        <v>2339</v>
      </c>
      <c r="L9" s="160">
        <v>1618</v>
      </c>
      <c r="M9" s="160">
        <v>1106</v>
      </c>
      <c r="N9" s="160">
        <v>1794</v>
      </c>
      <c r="O9" s="161">
        <f t="shared" si="3"/>
        <v>24171</v>
      </c>
      <c r="P9" s="161">
        <f t="shared" si="2"/>
        <v>12085.5</v>
      </c>
      <c r="Q9" s="233"/>
      <c r="R9" s="55"/>
      <c r="S9" s="55"/>
    </row>
    <row r="10" spans="1:19" ht="12.5" customHeight="1" thickBot="1" x14ac:dyDescent="0.55000000000000004">
      <c r="A10" s="229"/>
      <c r="B10" s="164" t="s">
        <v>24</v>
      </c>
      <c r="C10" s="165">
        <f>C2-C6-C7-C8-C9</f>
        <v>20126.96</v>
      </c>
      <c r="D10" s="165">
        <f t="shared" ref="D10:N10" si="4">D2-D6-D7-D8-D9</f>
        <v>20318.990000000002</v>
      </c>
      <c r="E10" s="165">
        <f t="shared" si="4"/>
        <v>22945</v>
      </c>
      <c r="F10" s="165">
        <f t="shared" si="4"/>
        <v>26939</v>
      </c>
      <c r="G10" s="165">
        <f t="shared" si="4"/>
        <v>31223</v>
      </c>
      <c r="H10" s="165">
        <f t="shared" si="4"/>
        <v>37254</v>
      </c>
      <c r="I10" s="165">
        <f t="shared" si="4"/>
        <v>34991</v>
      </c>
      <c r="J10" s="165">
        <f t="shared" si="4"/>
        <v>27518.67</v>
      </c>
      <c r="K10" s="165">
        <f t="shared" si="4"/>
        <v>27555</v>
      </c>
      <c r="L10" s="165">
        <f t="shared" si="4"/>
        <v>28206</v>
      </c>
      <c r="M10" s="165">
        <f t="shared" si="4"/>
        <v>26600</v>
      </c>
      <c r="N10" s="165">
        <f t="shared" si="4"/>
        <v>28953</v>
      </c>
      <c r="O10" s="165">
        <f>O2-O6-O7-O8-O9</f>
        <v>332630.62</v>
      </c>
      <c r="P10" s="165">
        <f t="shared" si="2"/>
        <v>166315.31</v>
      </c>
      <c r="Q10" s="101"/>
      <c r="R10" s="55"/>
      <c r="S10" s="55"/>
    </row>
    <row r="11" spans="1:19" ht="15.1" customHeight="1" x14ac:dyDescent="0.5">
      <c r="A11" s="229"/>
      <c r="B11" s="162" t="s">
        <v>20</v>
      </c>
      <c r="C11" s="163">
        <f>C6</f>
        <v>0</v>
      </c>
      <c r="D11" s="163">
        <f t="shared" ref="D11:N12" si="5">D6</f>
        <v>0</v>
      </c>
      <c r="E11" s="163">
        <f t="shared" si="5"/>
        <v>0</v>
      </c>
      <c r="F11" s="163">
        <f t="shared" si="5"/>
        <v>0</v>
      </c>
      <c r="G11" s="163">
        <f t="shared" si="5"/>
        <v>0</v>
      </c>
      <c r="H11" s="163">
        <f t="shared" si="5"/>
        <v>0</v>
      </c>
      <c r="I11" s="163">
        <f t="shared" si="5"/>
        <v>0</v>
      </c>
      <c r="J11" s="163">
        <f t="shared" si="5"/>
        <v>0</v>
      </c>
      <c r="K11" s="163">
        <f t="shared" si="5"/>
        <v>0</v>
      </c>
      <c r="L11" s="163">
        <f t="shared" si="5"/>
        <v>0</v>
      </c>
      <c r="M11" s="163">
        <f t="shared" si="5"/>
        <v>0</v>
      </c>
      <c r="N11" s="163">
        <f t="shared" si="5"/>
        <v>0</v>
      </c>
      <c r="O11" s="163">
        <f>SUM(C11:N11)</f>
        <v>0</v>
      </c>
      <c r="P11" s="163">
        <f t="shared" si="2"/>
        <v>0</v>
      </c>
      <c r="Q11" s="102"/>
      <c r="R11" s="55"/>
      <c r="S11" s="55"/>
    </row>
    <row r="12" spans="1:19" ht="15.1" customHeight="1" thickBot="1" x14ac:dyDescent="0.55000000000000004">
      <c r="A12" s="229"/>
      <c r="B12" s="151" t="s">
        <v>25</v>
      </c>
      <c r="C12" s="152">
        <f>C7</f>
        <v>0</v>
      </c>
      <c r="D12" s="152">
        <f t="shared" si="5"/>
        <v>0</v>
      </c>
      <c r="E12" s="152">
        <f t="shared" si="5"/>
        <v>0</v>
      </c>
      <c r="F12" s="152">
        <f t="shared" si="5"/>
        <v>0</v>
      </c>
      <c r="G12" s="152">
        <f t="shared" si="5"/>
        <v>0</v>
      </c>
      <c r="H12" s="152">
        <f t="shared" si="5"/>
        <v>0</v>
      </c>
      <c r="I12" s="152">
        <f t="shared" si="5"/>
        <v>0</v>
      </c>
      <c r="J12" s="152">
        <f t="shared" si="5"/>
        <v>0</v>
      </c>
      <c r="K12" s="152">
        <f t="shared" si="5"/>
        <v>0</v>
      </c>
      <c r="L12" s="152">
        <f t="shared" si="5"/>
        <v>0</v>
      </c>
      <c r="M12" s="152">
        <f t="shared" si="5"/>
        <v>0</v>
      </c>
      <c r="N12" s="152">
        <f t="shared" si="5"/>
        <v>0</v>
      </c>
      <c r="O12" s="152">
        <f>SUM(C12:N12)</f>
        <v>0</v>
      </c>
      <c r="P12" s="152">
        <f t="shared" si="2"/>
        <v>0</v>
      </c>
      <c r="Q12" s="102"/>
      <c r="R12" s="55"/>
      <c r="S12" s="55"/>
    </row>
    <row r="13" spans="1:19" ht="17.100000000000001" customHeight="1" thickBot="1" x14ac:dyDescent="0.55000000000000004">
      <c r="A13" s="229"/>
      <c r="B13" s="153" t="s">
        <v>26</v>
      </c>
      <c r="C13" s="154">
        <f>C10+C11+C12</f>
        <v>20126.96</v>
      </c>
      <c r="D13" s="154">
        <f t="shared" ref="D13:O13" si="6">D10+D11+D12</f>
        <v>20318.990000000002</v>
      </c>
      <c r="E13" s="154">
        <f t="shared" si="6"/>
        <v>22945</v>
      </c>
      <c r="F13" s="154">
        <f t="shared" si="6"/>
        <v>26939</v>
      </c>
      <c r="G13" s="154">
        <f t="shared" si="6"/>
        <v>31223</v>
      </c>
      <c r="H13" s="154">
        <f t="shared" si="6"/>
        <v>37254</v>
      </c>
      <c r="I13" s="154">
        <f t="shared" si="6"/>
        <v>34991</v>
      </c>
      <c r="J13" s="154">
        <f t="shared" si="6"/>
        <v>27518.67</v>
      </c>
      <c r="K13" s="154">
        <f t="shared" si="6"/>
        <v>27555</v>
      </c>
      <c r="L13" s="154">
        <f t="shared" si="6"/>
        <v>28206</v>
      </c>
      <c r="M13" s="154">
        <f t="shared" si="6"/>
        <v>26600</v>
      </c>
      <c r="N13" s="154">
        <f t="shared" si="6"/>
        <v>28953</v>
      </c>
      <c r="O13" s="155">
        <f t="shared" si="6"/>
        <v>332630.62</v>
      </c>
      <c r="P13" s="155">
        <f t="shared" si="2"/>
        <v>166315.31</v>
      </c>
      <c r="Q13" s="103"/>
      <c r="R13" s="55"/>
      <c r="S13" s="55"/>
    </row>
    <row r="14" spans="1:19" ht="5.0999999999999996" customHeight="1" thickBot="1" x14ac:dyDescent="0.55000000000000004">
      <c r="A14" s="229"/>
      <c r="B14" s="47"/>
      <c r="C14" s="42"/>
      <c r="D14" s="42"/>
      <c r="E14" s="42"/>
      <c r="F14" s="42"/>
      <c r="G14" s="42"/>
      <c r="H14" s="42"/>
      <c r="I14" s="77"/>
      <c r="J14" s="42"/>
      <c r="K14" s="42"/>
      <c r="L14" s="42"/>
      <c r="M14" s="42"/>
      <c r="N14" s="42"/>
      <c r="O14" s="46"/>
      <c r="P14" s="46"/>
      <c r="Q14" s="46"/>
      <c r="R14" s="55"/>
      <c r="S14" s="55"/>
    </row>
    <row r="15" spans="1:19" ht="17.100000000000001" customHeight="1" thickBot="1" x14ac:dyDescent="0.55000000000000004">
      <c r="A15" s="229"/>
      <c r="B15" s="148" t="s">
        <v>27</v>
      </c>
      <c r="C15" s="149">
        <f>SUM(C16:C20)</f>
        <v>17058</v>
      </c>
      <c r="D15" s="149">
        <f t="shared" ref="D15:N15" si="7">SUM(D16:D20)</f>
        <v>15368</v>
      </c>
      <c r="E15" s="149">
        <f t="shared" si="7"/>
        <v>14228</v>
      </c>
      <c r="F15" s="149">
        <f t="shared" si="7"/>
        <v>6470</v>
      </c>
      <c r="G15" s="149">
        <f t="shared" si="7"/>
        <v>11161</v>
      </c>
      <c r="H15" s="149">
        <f t="shared" si="7"/>
        <v>10424</v>
      </c>
      <c r="I15" s="149">
        <f t="shared" si="7"/>
        <v>12373</v>
      </c>
      <c r="J15" s="149">
        <f t="shared" si="7"/>
        <v>11641</v>
      </c>
      <c r="K15" s="149">
        <f t="shared" si="7"/>
        <v>10841</v>
      </c>
      <c r="L15" s="149">
        <f>SUM(L16:L20)</f>
        <v>12349</v>
      </c>
      <c r="M15" s="149">
        <f t="shared" si="7"/>
        <v>9132</v>
      </c>
      <c r="N15" s="149">
        <f t="shared" si="7"/>
        <v>12140</v>
      </c>
      <c r="O15" s="150">
        <f t="shared" ref="O15:O24" si="8">SUM(C15:N15)</f>
        <v>143185</v>
      </c>
      <c r="P15" s="150">
        <f>O15/2</f>
        <v>71592.5</v>
      </c>
      <c r="Q15" s="150">
        <f>P15</f>
        <v>71592.5</v>
      </c>
      <c r="R15" s="55"/>
      <c r="S15" s="55"/>
    </row>
    <row r="16" spans="1:19" ht="16.25" customHeight="1" x14ac:dyDescent="0.5">
      <c r="A16" s="229"/>
      <c r="B16" s="140" t="s">
        <v>28</v>
      </c>
      <c r="C16" s="176">
        <v>17058</v>
      </c>
      <c r="D16" s="176">
        <v>15368</v>
      </c>
      <c r="E16" s="176">
        <v>14228</v>
      </c>
      <c r="F16" s="142">
        <v>6470</v>
      </c>
      <c r="G16" s="142">
        <v>11161</v>
      </c>
      <c r="H16" s="142">
        <v>10424</v>
      </c>
      <c r="I16" s="142">
        <v>12373</v>
      </c>
      <c r="J16" s="142">
        <v>11641</v>
      </c>
      <c r="K16" s="142">
        <v>10841</v>
      </c>
      <c r="L16" s="142">
        <v>12349</v>
      </c>
      <c r="M16" s="142">
        <v>9132</v>
      </c>
      <c r="N16" s="142">
        <v>12140</v>
      </c>
      <c r="O16" s="144">
        <f t="shared" si="8"/>
        <v>143185</v>
      </c>
      <c r="P16" s="144">
        <f t="shared" ref="P16:P29" si="9">O16/2</f>
        <v>71592.5</v>
      </c>
      <c r="Q16" s="230">
        <f>SUM(P16:P20)</f>
        <v>71592.5</v>
      </c>
      <c r="R16" s="55"/>
      <c r="S16" s="55"/>
    </row>
    <row r="17" spans="1:19" ht="16.25" customHeight="1" x14ac:dyDescent="0.5">
      <c r="A17" s="229"/>
      <c r="B17" s="100" t="s">
        <v>29</v>
      </c>
      <c r="C17" s="64"/>
      <c r="D17" s="64"/>
      <c r="E17" s="64"/>
      <c r="F17" s="177"/>
      <c r="G17" s="177"/>
      <c r="H17" s="177"/>
      <c r="I17" s="64"/>
      <c r="J17" s="177"/>
      <c r="K17" s="177"/>
      <c r="L17" s="177"/>
      <c r="M17" s="64"/>
      <c r="N17" s="64"/>
      <c r="O17" s="130">
        <f t="shared" si="8"/>
        <v>0</v>
      </c>
      <c r="P17" s="130">
        <f t="shared" si="9"/>
        <v>0</v>
      </c>
      <c r="Q17" s="231"/>
      <c r="R17" s="55"/>
      <c r="S17" s="55"/>
    </row>
    <row r="18" spans="1:19" ht="16.25" customHeight="1" x14ac:dyDescent="0.5">
      <c r="A18" s="229"/>
      <c r="B18" s="100" t="s">
        <v>30</v>
      </c>
      <c r="C18" s="64"/>
      <c r="D18" s="64"/>
      <c r="E18" s="64"/>
      <c r="F18" s="178"/>
      <c r="G18" s="178"/>
      <c r="H18" s="179"/>
      <c r="I18" s="64"/>
      <c r="J18" s="64"/>
      <c r="K18" s="64"/>
      <c r="L18" s="64"/>
      <c r="M18" s="64"/>
      <c r="N18" s="64"/>
      <c r="O18" s="135">
        <f t="shared" si="8"/>
        <v>0</v>
      </c>
      <c r="P18" s="130">
        <f t="shared" si="9"/>
        <v>0</v>
      </c>
      <c r="Q18" s="231"/>
      <c r="R18" s="55"/>
      <c r="S18" s="55"/>
    </row>
    <row r="19" spans="1:19" ht="16.25" customHeight="1" x14ac:dyDescent="0.5">
      <c r="A19" s="229"/>
      <c r="B19" s="74" t="s">
        <v>31</v>
      </c>
      <c r="C19" s="75"/>
      <c r="D19" s="180"/>
      <c r="E19" s="180"/>
      <c r="F19" s="178"/>
      <c r="G19" s="178"/>
      <c r="H19" s="179"/>
      <c r="I19" s="64"/>
      <c r="J19" s="64"/>
      <c r="K19" s="64"/>
      <c r="L19" s="64"/>
      <c r="M19" s="64"/>
      <c r="N19" s="64"/>
      <c r="O19" s="135">
        <f t="shared" si="8"/>
        <v>0</v>
      </c>
      <c r="P19" s="130">
        <f t="shared" si="9"/>
        <v>0</v>
      </c>
      <c r="Q19" s="231"/>
      <c r="R19" s="55"/>
      <c r="S19" s="55"/>
    </row>
    <row r="20" spans="1:19" ht="16.25" customHeight="1" x14ac:dyDescent="0.5">
      <c r="A20" s="229"/>
      <c r="B20" s="74" t="s">
        <v>32</v>
      </c>
      <c r="C20" s="75"/>
      <c r="D20" s="180"/>
      <c r="E20" s="180"/>
      <c r="F20" s="178"/>
      <c r="G20" s="178"/>
      <c r="H20" s="179"/>
      <c r="I20" s="64"/>
      <c r="J20" s="64"/>
      <c r="K20" s="64"/>
      <c r="L20" s="64"/>
      <c r="M20" s="64"/>
      <c r="N20" s="64"/>
      <c r="O20" s="135">
        <f t="shared" si="8"/>
        <v>0</v>
      </c>
      <c r="P20" s="130">
        <f t="shared" si="9"/>
        <v>0</v>
      </c>
      <c r="Q20" s="231"/>
      <c r="R20" s="55"/>
      <c r="S20" s="55"/>
    </row>
    <row r="21" spans="1:19" ht="16.25" customHeight="1" x14ac:dyDescent="0.5">
      <c r="A21" s="229"/>
      <c r="B21" s="32" t="s">
        <v>20</v>
      </c>
      <c r="C21" s="33">
        <f>C6</f>
        <v>0</v>
      </c>
      <c r="D21" s="33">
        <f>D6</f>
        <v>0</v>
      </c>
      <c r="E21" s="137">
        <f t="shared" ref="E21:N22" si="10">E6</f>
        <v>0</v>
      </c>
      <c r="F21" s="137">
        <f t="shared" si="10"/>
        <v>0</v>
      </c>
      <c r="G21" s="137">
        <f t="shared" si="10"/>
        <v>0</v>
      </c>
      <c r="H21" s="137">
        <f t="shared" si="10"/>
        <v>0</v>
      </c>
      <c r="I21" s="137">
        <f t="shared" si="10"/>
        <v>0</v>
      </c>
      <c r="J21" s="137">
        <f t="shared" si="10"/>
        <v>0</v>
      </c>
      <c r="K21" s="137">
        <f t="shared" si="10"/>
        <v>0</v>
      </c>
      <c r="L21" s="137">
        <f t="shared" si="10"/>
        <v>0</v>
      </c>
      <c r="M21" s="137">
        <f t="shared" si="10"/>
        <v>0</v>
      </c>
      <c r="N21" s="137">
        <f t="shared" si="10"/>
        <v>0</v>
      </c>
      <c r="O21" s="131">
        <f t="shared" si="8"/>
        <v>0</v>
      </c>
      <c r="P21" s="131">
        <f t="shared" si="9"/>
        <v>0</v>
      </c>
      <c r="Q21" s="232">
        <f>-P21-P22</f>
        <v>0</v>
      </c>
      <c r="R21" s="55"/>
      <c r="S21" s="55"/>
    </row>
    <row r="22" spans="1:19" ht="16.25" customHeight="1" x14ac:dyDescent="0.5">
      <c r="A22" s="229"/>
      <c r="B22" s="32" t="s">
        <v>21</v>
      </c>
      <c r="C22" s="34">
        <f t="shared" ref="C22:D22" si="11">C7</f>
        <v>0</v>
      </c>
      <c r="D22" s="34">
        <f t="shared" si="11"/>
        <v>0</v>
      </c>
      <c r="E22" s="34">
        <f>E7</f>
        <v>0</v>
      </c>
      <c r="F22" s="34">
        <f t="shared" si="10"/>
        <v>0</v>
      </c>
      <c r="G22" s="34">
        <f t="shared" si="10"/>
        <v>0</v>
      </c>
      <c r="H22" s="34">
        <f t="shared" si="10"/>
        <v>0</v>
      </c>
      <c r="I22" s="34">
        <f t="shared" si="10"/>
        <v>0</v>
      </c>
      <c r="J22" s="34">
        <f t="shared" si="10"/>
        <v>0</v>
      </c>
      <c r="K22" s="34">
        <f t="shared" si="10"/>
        <v>0</v>
      </c>
      <c r="L22" s="34">
        <f t="shared" si="10"/>
        <v>0</v>
      </c>
      <c r="M22" s="34">
        <f t="shared" si="10"/>
        <v>0</v>
      </c>
      <c r="N22" s="34">
        <f t="shared" si="10"/>
        <v>0</v>
      </c>
      <c r="O22" s="131">
        <f t="shared" si="8"/>
        <v>0</v>
      </c>
      <c r="P22" s="131">
        <f t="shared" si="9"/>
        <v>0</v>
      </c>
      <c r="Q22" s="232"/>
      <c r="R22" s="55"/>
      <c r="S22" s="55"/>
    </row>
    <row r="23" spans="1:19" ht="16.25" customHeight="1" x14ac:dyDescent="0.5">
      <c r="A23" s="229"/>
      <c r="B23" s="35" t="s">
        <v>33</v>
      </c>
      <c r="C23" s="36"/>
      <c r="D23" s="36"/>
      <c r="E23" s="36"/>
      <c r="F23" s="36"/>
      <c r="G23" s="36"/>
      <c r="H23" s="36"/>
      <c r="I23" s="36"/>
      <c r="J23" s="36"/>
      <c r="K23" s="36"/>
      <c r="L23" s="36"/>
      <c r="M23" s="36"/>
      <c r="N23" s="3"/>
      <c r="O23" s="132">
        <f t="shared" si="8"/>
        <v>0</v>
      </c>
      <c r="P23" s="132">
        <f t="shared" si="9"/>
        <v>0</v>
      </c>
      <c r="Q23" s="233">
        <f>-P23-P24</f>
        <v>-11169</v>
      </c>
      <c r="R23" s="55"/>
      <c r="S23" s="55"/>
    </row>
    <row r="24" spans="1:19" ht="16.25" customHeight="1" thickBot="1" x14ac:dyDescent="0.55000000000000004">
      <c r="A24" s="229"/>
      <c r="B24" s="158" t="s">
        <v>34</v>
      </c>
      <c r="C24" s="36">
        <v>2335</v>
      </c>
      <c r="D24" s="36">
        <v>1962</v>
      </c>
      <c r="E24" s="36">
        <v>3070</v>
      </c>
      <c r="F24" s="36">
        <v>1040</v>
      </c>
      <c r="G24" s="36">
        <v>1150</v>
      </c>
      <c r="H24" s="36">
        <v>1487</v>
      </c>
      <c r="I24" s="36">
        <v>2620</v>
      </c>
      <c r="J24" s="36">
        <v>2203</v>
      </c>
      <c r="K24" s="36">
        <v>1533</v>
      </c>
      <c r="L24" s="36">
        <v>1648</v>
      </c>
      <c r="M24" s="36">
        <v>1215</v>
      </c>
      <c r="N24" s="3">
        <v>2075</v>
      </c>
      <c r="O24" s="161">
        <f t="shared" si="8"/>
        <v>22338</v>
      </c>
      <c r="P24" s="161">
        <f t="shared" si="9"/>
        <v>11169</v>
      </c>
      <c r="Q24" s="233"/>
      <c r="R24" s="55"/>
      <c r="S24" s="55"/>
    </row>
    <row r="25" spans="1:19" ht="13.8" customHeight="1" thickBot="1" x14ac:dyDescent="0.55000000000000004">
      <c r="A25" s="229"/>
      <c r="B25" s="164" t="s">
        <v>24</v>
      </c>
      <c r="C25" s="165">
        <f>C15-C21-C22-C23-C24</f>
        <v>14723</v>
      </c>
      <c r="D25" s="165">
        <f t="shared" ref="D25:O25" si="12">D15-D21-D22-D23-D24</f>
        <v>13406</v>
      </c>
      <c r="E25" s="165">
        <f t="shared" si="12"/>
        <v>11158</v>
      </c>
      <c r="F25" s="165">
        <f t="shared" si="12"/>
        <v>5430</v>
      </c>
      <c r="G25" s="165">
        <f t="shared" si="12"/>
        <v>10011</v>
      </c>
      <c r="H25" s="165">
        <f t="shared" si="12"/>
        <v>8937</v>
      </c>
      <c r="I25" s="165">
        <f t="shared" si="12"/>
        <v>9753</v>
      </c>
      <c r="J25" s="165">
        <f t="shared" si="12"/>
        <v>9438</v>
      </c>
      <c r="K25" s="165">
        <f t="shared" si="12"/>
        <v>9308</v>
      </c>
      <c r="L25" s="165">
        <f t="shared" si="12"/>
        <v>10701</v>
      </c>
      <c r="M25" s="165">
        <f t="shared" si="12"/>
        <v>7917</v>
      </c>
      <c r="N25" s="165">
        <f t="shared" si="12"/>
        <v>10065</v>
      </c>
      <c r="O25" s="165">
        <f t="shared" si="12"/>
        <v>120847</v>
      </c>
      <c r="P25" s="165">
        <f t="shared" si="9"/>
        <v>60423.5</v>
      </c>
      <c r="Q25" s="101"/>
      <c r="R25" s="55"/>
      <c r="S25" s="55"/>
    </row>
    <row r="26" spans="1:19" ht="14.55" customHeight="1" x14ac:dyDescent="0.5">
      <c r="A26" s="229"/>
      <c r="B26" s="162" t="s">
        <v>20</v>
      </c>
      <c r="C26" s="163">
        <f>C21</f>
        <v>0</v>
      </c>
      <c r="D26" s="163">
        <f t="shared" ref="D26:N27" si="13">D21</f>
        <v>0</v>
      </c>
      <c r="E26" s="163">
        <f t="shared" si="13"/>
        <v>0</v>
      </c>
      <c r="F26" s="163">
        <f t="shared" si="13"/>
        <v>0</v>
      </c>
      <c r="G26" s="163">
        <f t="shared" si="13"/>
        <v>0</v>
      </c>
      <c r="H26" s="163">
        <f t="shared" si="13"/>
        <v>0</v>
      </c>
      <c r="I26" s="163">
        <f t="shared" si="13"/>
        <v>0</v>
      </c>
      <c r="J26" s="163">
        <f t="shared" si="13"/>
        <v>0</v>
      </c>
      <c r="K26" s="163">
        <f t="shared" si="13"/>
        <v>0</v>
      </c>
      <c r="L26" s="163">
        <f t="shared" si="13"/>
        <v>0</v>
      </c>
      <c r="M26" s="163">
        <f t="shared" si="13"/>
        <v>0</v>
      </c>
      <c r="N26" s="163">
        <f t="shared" si="13"/>
        <v>0</v>
      </c>
      <c r="O26" s="163">
        <f>SUM(C26:N26)</f>
        <v>0</v>
      </c>
      <c r="P26" s="163">
        <f t="shared" si="9"/>
        <v>0</v>
      </c>
      <c r="Q26" s="102"/>
      <c r="R26" s="55"/>
      <c r="S26" s="55"/>
    </row>
    <row r="27" spans="1:19" ht="14.55" customHeight="1" thickBot="1" x14ac:dyDescent="0.55000000000000004">
      <c r="A27" s="229"/>
      <c r="B27" s="151" t="s">
        <v>25</v>
      </c>
      <c r="C27" s="152">
        <f>C22</f>
        <v>0</v>
      </c>
      <c r="D27" s="152">
        <f t="shared" si="13"/>
        <v>0</v>
      </c>
      <c r="E27" s="152">
        <f t="shared" si="13"/>
        <v>0</v>
      </c>
      <c r="F27" s="152">
        <f t="shared" si="13"/>
        <v>0</v>
      </c>
      <c r="G27" s="152">
        <f t="shared" si="13"/>
        <v>0</v>
      </c>
      <c r="H27" s="152">
        <f t="shared" si="13"/>
        <v>0</v>
      </c>
      <c r="I27" s="152">
        <f t="shared" si="13"/>
        <v>0</v>
      </c>
      <c r="J27" s="152">
        <f t="shared" si="13"/>
        <v>0</v>
      </c>
      <c r="K27" s="152">
        <f t="shared" si="13"/>
        <v>0</v>
      </c>
      <c r="L27" s="152">
        <f t="shared" si="13"/>
        <v>0</v>
      </c>
      <c r="M27" s="152">
        <f t="shared" si="13"/>
        <v>0</v>
      </c>
      <c r="N27" s="152">
        <f t="shared" si="13"/>
        <v>0</v>
      </c>
      <c r="O27" s="152">
        <f>SUM(C27:N27)</f>
        <v>0</v>
      </c>
      <c r="P27" s="152">
        <f t="shared" si="9"/>
        <v>0</v>
      </c>
      <c r="Q27" s="102"/>
      <c r="R27" s="55"/>
      <c r="S27" s="55"/>
    </row>
    <row r="28" spans="1:19" ht="17.100000000000001" customHeight="1" thickBot="1" x14ac:dyDescent="0.55000000000000004">
      <c r="A28" s="229"/>
      <c r="B28" s="153" t="s">
        <v>35</v>
      </c>
      <c r="C28" s="154">
        <f>C25+C26+C27</f>
        <v>14723</v>
      </c>
      <c r="D28" s="154">
        <f t="shared" ref="D28:O28" si="14">D25+D26+D27</f>
        <v>13406</v>
      </c>
      <c r="E28" s="154">
        <f t="shared" si="14"/>
        <v>11158</v>
      </c>
      <c r="F28" s="154">
        <f t="shared" si="14"/>
        <v>5430</v>
      </c>
      <c r="G28" s="154">
        <f t="shared" si="14"/>
        <v>10011</v>
      </c>
      <c r="H28" s="154">
        <f t="shared" si="14"/>
        <v>8937</v>
      </c>
      <c r="I28" s="154">
        <f t="shared" si="14"/>
        <v>9753</v>
      </c>
      <c r="J28" s="154">
        <f t="shared" si="14"/>
        <v>9438</v>
      </c>
      <c r="K28" s="154">
        <f t="shared" si="14"/>
        <v>9308</v>
      </c>
      <c r="L28" s="154">
        <f t="shared" si="14"/>
        <v>10701</v>
      </c>
      <c r="M28" s="154">
        <f t="shared" si="14"/>
        <v>7917</v>
      </c>
      <c r="N28" s="154">
        <f t="shared" si="14"/>
        <v>10065</v>
      </c>
      <c r="O28" s="155">
        <f t="shared" si="14"/>
        <v>120847</v>
      </c>
      <c r="P28" s="155">
        <f t="shared" si="9"/>
        <v>60423.5</v>
      </c>
      <c r="Q28" s="103"/>
      <c r="R28" s="55"/>
      <c r="S28" s="55"/>
    </row>
    <row r="29" spans="1:19" ht="24.1" customHeight="1" thickBot="1" x14ac:dyDescent="0.55000000000000004">
      <c r="A29" s="229"/>
      <c r="B29" s="156" t="s">
        <v>36</v>
      </c>
      <c r="C29" s="157">
        <f>C13+C28</f>
        <v>34849.96</v>
      </c>
      <c r="D29" s="157">
        <f t="shared" ref="D29:O29" si="15">D13+D28</f>
        <v>33724.990000000005</v>
      </c>
      <c r="E29" s="157">
        <f t="shared" si="15"/>
        <v>34103</v>
      </c>
      <c r="F29" s="157">
        <f t="shared" si="15"/>
        <v>32369</v>
      </c>
      <c r="G29" s="157">
        <f t="shared" si="15"/>
        <v>41234</v>
      </c>
      <c r="H29" s="157">
        <f t="shared" si="15"/>
        <v>46191</v>
      </c>
      <c r="I29" s="157">
        <f t="shared" si="15"/>
        <v>44744</v>
      </c>
      <c r="J29" s="157">
        <f t="shared" si="15"/>
        <v>36956.67</v>
      </c>
      <c r="K29" s="157">
        <f t="shared" si="15"/>
        <v>36863</v>
      </c>
      <c r="L29" s="157">
        <f t="shared" si="15"/>
        <v>38907</v>
      </c>
      <c r="M29" s="157">
        <f t="shared" si="15"/>
        <v>34517</v>
      </c>
      <c r="N29" s="157">
        <f t="shared" si="15"/>
        <v>39018</v>
      </c>
      <c r="O29" s="166">
        <f t="shared" si="15"/>
        <v>453477.62</v>
      </c>
      <c r="P29" s="157">
        <f t="shared" si="9"/>
        <v>226738.81</v>
      </c>
      <c r="Q29" s="104"/>
      <c r="R29" s="55"/>
      <c r="S29" s="55"/>
    </row>
    <row r="30" spans="1:19" x14ac:dyDescent="0.5">
      <c r="F30" s="120"/>
      <c r="G30" s="121"/>
      <c r="H30" s="122"/>
      <c r="I30" s="122"/>
    </row>
    <row r="31" spans="1:19" x14ac:dyDescent="0.5">
      <c r="F31" s="119"/>
      <c r="G31" s="1"/>
      <c r="H31" s="1"/>
      <c r="I31" s="1"/>
    </row>
    <row r="32" spans="1:19" x14ac:dyDescent="0.5">
      <c r="F32" s="120"/>
      <c r="G32" s="121"/>
      <c r="H32" s="122"/>
      <c r="I32" s="122"/>
    </row>
    <row r="33" spans="1:19" x14ac:dyDescent="0.5">
      <c r="F33" s="119"/>
      <c r="G33" s="1"/>
      <c r="H33" s="1"/>
      <c r="I33" s="1"/>
    </row>
    <row r="34" spans="1:19" s="9" customFormat="1" x14ac:dyDescent="0.5">
      <c r="A34" s="1"/>
      <c r="B34" s="1"/>
      <c r="F34" s="120"/>
      <c r="G34" s="121"/>
      <c r="H34" s="122"/>
      <c r="I34" s="122"/>
      <c r="R34" s="1"/>
      <c r="S34" s="1"/>
    </row>
  </sheetData>
  <mergeCells count="7">
    <mergeCell ref="A1:A29"/>
    <mergeCell ref="Q3:Q5"/>
    <mergeCell ref="Q6:Q7"/>
    <mergeCell ref="Q8:Q9"/>
    <mergeCell ref="Q16:Q20"/>
    <mergeCell ref="Q21:Q22"/>
    <mergeCell ref="Q23:Q24"/>
  </mergeCells>
  <pageMargins left="0.7" right="0.7" top="0.75" bottom="0.75" header="0.3" footer="0.3"/>
  <pageSetup paperSize="9" orientation="portrait" r:id="rId1"/>
  <legacy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EAD295-6908-441E-969C-7D2621E73D44}">
  <dimension ref="A1:S35"/>
  <sheetViews>
    <sheetView zoomScale="93" zoomScaleNormal="93" zoomScalePageLayoutView="112" workbookViewId="0">
      <selection activeCell="I4" sqref="I4"/>
    </sheetView>
  </sheetViews>
  <sheetFormatPr baseColWidth="10" defaultColWidth="10.6875" defaultRowHeight="15.75" x14ac:dyDescent="0.5"/>
  <cols>
    <col min="1" max="1" width="0.6875" style="1" customWidth="1"/>
    <col min="2" max="2" width="25.125" style="1" customWidth="1"/>
    <col min="3" max="9" width="11.3125" style="9" bestFit="1" customWidth="1"/>
    <col min="10" max="10" width="11.4375" style="9" customWidth="1"/>
    <col min="11" max="11" width="11.125" style="9" customWidth="1"/>
    <col min="12" max="12" width="12" style="9" customWidth="1"/>
    <col min="13" max="13" width="11.4375" style="9" customWidth="1"/>
    <col min="14" max="14" width="11.6875" style="9" customWidth="1"/>
    <col min="15" max="15" width="14.4375" style="9" bestFit="1" customWidth="1"/>
    <col min="16" max="16" width="14.8125" style="9" customWidth="1"/>
    <col min="17" max="17" width="11.4375" style="9" bestFit="1" customWidth="1"/>
    <col min="18" max="18" width="34.4375" style="1" customWidth="1"/>
    <col min="19" max="16384" width="10.6875" style="1"/>
  </cols>
  <sheetData>
    <row r="1" spans="1:19" ht="19.8" customHeight="1" thickBot="1" x14ac:dyDescent="0.55000000000000004">
      <c r="A1" s="229"/>
      <c r="B1" s="145" t="s">
        <v>124</v>
      </c>
      <c r="C1" s="146" t="s">
        <v>1</v>
      </c>
      <c r="D1" s="146" t="s">
        <v>2</v>
      </c>
      <c r="E1" s="146" t="s">
        <v>3</v>
      </c>
      <c r="F1" s="146" t="s">
        <v>4</v>
      </c>
      <c r="G1" s="147" t="s">
        <v>5</v>
      </c>
      <c r="H1" s="146" t="s">
        <v>6</v>
      </c>
      <c r="I1" s="146" t="s">
        <v>7</v>
      </c>
      <c r="J1" s="146" t="s">
        <v>8</v>
      </c>
      <c r="K1" s="146" t="s">
        <v>9</v>
      </c>
      <c r="L1" s="146" t="s">
        <v>10</v>
      </c>
      <c r="M1" s="146" t="s">
        <v>11</v>
      </c>
      <c r="N1" s="146" t="s">
        <v>12</v>
      </c>
      <c r="O1" s="146" t="s">
        <v>13</v>
      </c>
      <c r="P1" s="146" t="s">
        <v>14</v>
      </c>
      <c r="Q1" s="146" t="s">
        <v>15</v>
      </c>
      <c r="R1" s="55"/>
      <c r="S1" s="55"/>
    </row>
    <row r="2" spans="1:19" ht="14.55" customHeight="1" thickBot="1" x14ac:dyDescent="0.55000000000000004">
      <c r="A2" s="229"/>
      <c r="B2" s="148" t="s">
        <v>16</v>
      </c>
      <c r="C2" s="149">
        <f>SUM(C3:C5)</f>
        <v>32231</v>
      </c>
      <c r="D2" s="149">
        <f t="shared" ref="D2:N2" si="0">SUM(D3:D5)</f>
        <v>27808</v>
      </c>
      <c r="E2" s="149">
        <f>SUM(E3:E5)</f>
        <v>25366</v>
      </c>
      <c r="F2" s="149">
        <f t="shared" si="0"/>
        <v>27907.4</v>
      </c>
      <c r="G2" s="149">
        <f t="shared" si="0"/>
        <v>38495</v>
      </c>
      <c r="H2" s="149">
        <f t="shared" si="0"/>
        <v>26592.1</v>
      </c>
      <c r="I2" s="149">
        <f t="shared" si="0"/>
        <v>25874.18</v>
      </c>
      <c r="J2" s="149">
        <f t="shared" si="0"/>
        <v>24592.75</v>
      </c>
      <c r="K2" s="149">
        <f t="shared" si="0"/>
        <v>21873.79</v>
      </c>
      <c r="L2" s="149">
        <f t="shared" si="0"/>
        <v>29325.439999999999</v>
      </c>
      <c r="M2" s="149">
        <f t="shared" si="0"/>
        <v>28271.919999999998</v>
      </c>
      <c r="N2" s="149">
        <f t="shared" si="0"/>
        <v>25488</v>
      </c>
      <c r="O2" s="150">
        <f t="shared" ref="O2" si="1">SUM(C2:N2)</f>
        <v>333825.57999999996</v>
      </c>
      <c r="P2" s="150">
        <f>O2/2</f>
        <v>166912.78999999998</v>
      </c>
      <c r="Q2" s="150">
        <f>P2</f>
        <v>166912.78999999998</v>
      </c>
      <c r="R2" s="55"/>
      <c r="S2" s="55"/>
    </row>
    <row r="3" spans="1:19" ht="14.55" customHeight="1" x14ac:dyDescent="0.5">
      <c r="A3" s="229"/>
      <c r="B3" s="140" t="s">
        <v>17</v>
      </c>
      <c r="C3" s="176">
        <v>32231</v>
      </c>
      <c r="D3" s="142">
        <v>27808</v>
      </c>
      <c r="E3" s="142">
        <v>25366</v>
      </c>
      <c r="F3" s="142">
        <v>27907.4</v>
      </c>
      <c r="G3" s="142">
        <v>38495</v>
      </c>
      <c r="H3" s="142">
        <v>26592.1</v>
      </c>
      <c r="I3" s="142">
        <v>25874.18</v>
      </c>
      <c r="J3" s="142">
        <v>24592.75</v>
      </c>
      <c r="K3" s="142">
        <v>21873.79</v>
      </c>
      <c r="L3" s="142">
        <v>29325.439999999999</v>
      </c>
      <c r="M3" s="142">
        <v>28271.919999999998</v>
      </c>
      <c r="N3" s="142">
        <v>25488</v>
      </c>
      <c r="O3" s="144">
        <f>SUM(C3:N3)</f>
        <v>333825.57999999996</v>
      </c>
      <c r="P3" s="144">
        <f t="shared" ref="P3:P13" si="2">O3/2</f>
        <v>166912.78999999998</v>
      </c>
      <c r="Q3" s="230">
        <f>SUM(P3:P5)</f>
        <v>166912.78999999998</v>
      </c>
      <c r="R3" s="55"/>
      <c r="S3" s="55"/>
    </row>
    <row r="4" spans="1:19" ht="14.55" customHeight="1" x14ac:dyDescent="0.5">
      <c r="A4" s="229"/>
      <c r="B4" s="74" t="s">
        <v>18</v>
      </c>
      <c r="C4" s="64"/>
      <c r="D4" s="64"/>
      <c r="E4" s="64"/>
      <c r="F4" s="64"/>
      <c r="G4" s="64"/>
      <c r="H4" s="64"/>
      <c r="I4" s="64"/>
      <c r="J4" s="64"/>
      <c r="K4" s="64"/>
      <c r="L4" s="64"/>
      <c r="M4" s="64"/>
      <c r="N4" s="64"/>
      <c r="O4" s="130">
        <f>SUM(C4:N4)</f>
        <v>0</v>
      </c>
      <c r="P4" s="130">
        <f t="shared" si="2"/>
        <v>0</v>
      </c>
      <c r="Q4" s="231"/>
      <c r="R4" s="55"/>
      <c r="S4" s="55"/>
    </row>
    <row r="5" spans="1:19" ht="14.55" customHeight="1" x14ac:dyDescent="0.5">
      <c r="A5" s="229"/>
      <c r="B5" s="74" t="s">
        <v>19</v>
      </c>
      <c r="C5" s="64"/>
      <c r="D5" s="64"/>
      <c r="E5" s="64"/>
      <c r="F5" s="64"/>
      <c r="G5" s="64"/>
      <c r="H5" s="64"/>
      <c r="I5" s="64"/>
      <c r="J5" s="64"/>
      <c r="K5" s="64"/>
      <c r="L5" s="64"/>
      <c r="M5" s="64"/>
      <c r="N5" s="64"/>
      <c r="O5" s="130">
        <f>SUM(C5:N5)</f>
        <v>0</v>
      </c>
      <c r="P5" s="130">
        <f t="shared" si="2"/>
        <v>0</v>
      </c>
      <c r="Q5" s="231"/>
      <c r="R5" s="55"/>
      <c r="S5" s="55"/>
    </row>
    <row r="6" spans="1:19" ht="14.55" customHeight="1" x14ac:dyDescent="0.5">
      <c r="A6" s="229"/>
      <c r="B6" s="32" t="s">
        <v>20</v>
      </c>
      <c r="C6" s="33"/>
      <c r="D6" s="33"/>
      <c r="E6" s="34"/>
      <c r="F6" s="34"/>
      <c r="G6" s="34"/>
      <c r="H6" s="34"/>
      <c r="I6" s="34"/>
      <c r="J6" s="34"/>
      <c r="K6" s="34"/>
      <c r="L6" s="34"/>
      <c r="M6" s="34"/>
      <c r="N6" s="34"/>
      <c r="O6" s="131">
        <f>SUM(C6:N6)</f>
        <v>0</v>
      </c>
      <c r="P6" s="131">
        <f t="shared" si="2"/>
        <v>0</v>
      </c>
      <c r="Q6" s="232">
        <f>-P6-P7</f>
        <v>0</v>
      </c>
      <c r="R6" s="55"/>
      <c r="S6" s="55"/>
    </row>
    <row r="7" spans="1:19" ht="14.55" customHeight="1" x14ac:dyDescent="0.5">
      <c r="A7" s="229"/>
      <c r="B7" s="32" t="s">
        <v>21</v>
      </c>
      <c r="C7" s="34"/>
      <c r="D7" s="34"/>
      <c r="E7" s="34"/>
      <c r="F7" s="34"/>
      <c r="G7" s="34"/>
      <c r="H7" s="34"/>
      <c r="I7" s="34"/>
      <c r="J7" s="34"/>
      <c r="K7" s="34"/>
      <c r="L7" s="34"/>
      <c r="M7" s="34"/>
      <c r="N7" s="34"/>
      <c r="O7" s="131">
        <f>SUM(C7:N7)</f>
        <v>0</v>
      </c>
      <c r="P7" s="131">
        <f t="shared" si="2"/>
        <v>0</v>
      </c>
      <c r="Q7" s="232"/>
      <c r="R7" s="55"/>
      <c r="S7" s="55"/>
    </row>
    <row r="8" spans="1:19" ht="14.55" customHeight="1" x14ac:dyDescent="0.5">
      <c r="A8" s="229"/>
      <c r="B8" s="35" t="s">
        <v>22</v>
      </c>
      <c r="C8" s="36"/>
      <c r="D8" s="36"/>
      <c r="E8" s="36"/>
      <c r="F8" s="36"/>
      <c r="G8" s="36"/>
      <c r="H8" s="36"/>
      <c r="I8" s="36"/>
      <c r="J8" s="36"/>
      <c r="K8" s="36"/>
      <c r="L8" s="36"/>
      <c r="M8" s="36"/>
      <c r="N8" s="3"/>
      <c r="O8" s="132">
        <f t="shared" ref="O8:O9" si="3">SUM(C8:N8)</f>
        <v>0</v>
      </c>
      <c r="P8" s="132">
        <f t="shared" si="2"/>
        <v>0</v>
      </c>
      <c r="Q8" s="233">
        <f>-P8-P9</f>
        <v>-16476</v>
      </c>
      <c r="R8" s="55"/>
      <c r="S8" s="55"/>
    </row>
    <row r="9" spans="1:19" ht="14.55" customHeight="1" thickBot="1" x14ac:dyDescent="0.55000000000000004">
      <c r="A9" s="229"/>
      <c r="B9" s="158" t="s">
        <v>23</v>
      </c>
      <c r="C9" s="160">
        <v>3949</v>
      </c>
      <c r="D9" s="160">
        <v>1088</v>
      </c>
      <c r="E9" s="160">
        <v>1100</v>
      </c>
      <c r="F9" s="160">
        <v>2911</v>
      </c>
      <c r="G9" s="160">
        <v>5182</v>
      </c>
      <c r="H9" s="160">
        <v>3020</v>
      </c>
      <c r="I9" s="160">
        <v>2973</v>
      </c>
      <c r="J9" s="160">
        <v>1999</v>
      </c>
      <c r="K9" s="160">
        <v>1850</v>
      </c>
      <c r="L9" s="160">
        <v>3526</v>
      </c>
      <c r="M9" s="160">
        <v>3005</v>
      </c>
      <c r="N9" s="160">
        <v>2349</v>
      </c>
      <c r="O9" s="161">
        <f t="shared" si="3"/>
        <v>32952</v>
      </c>
      <c r="P9" s="161">
        <f t="shared" si="2"/>
        <v>16476</v>
      </c>
      <c r="Q9" s="233"/>
      <c r="R9" s="55"/>
      <c r="S9" s="55"/>
    </row>
    <row r="10" spans="1:19" ht="12.5" customHeight="1" thickBot="1" x14ac:dyDescent="0.55000000000000004">
      <c r="A10" s="229"/>
      <c r="B10" s="164" t="s">
        <v>24</v>
      </c>
      <c r="C10" s="165">
        <f>C2-C6-C7-C8-C9</f>
        <v>28282</v>
      </c>
      <c r="D10" s="165">
        <f t="shared" ref="D10:N10" si="4">D2-D6-D7-D8-D9</f>
        <v>26720</v>
      </c>
      <c r="E10" s="165">
        <f t="shared" si="4"/>
        <v>24266</v>
      </c>
      <c r="F10" s="165">
        <f t="shared" si="4"/>
        <v>24996.400000000001</v>
      </c>
      <c r="G10" s="165">
        <f t="shared" si="4"/>
        <v>33313</v>
      </c>
      <c r="H10" s="165">
        <f t="shared" si="4"/>
        <v>23572.1</v>
      </c>
      <c r="I10" s="165">
        <f t="shared" si="4"/>
        <v>22901.18</v>
      </c>
      <c r="J10" s="165">
        <f t="shared" si="4"/>
        <v>22593.75</v>
      </c>
      <c r="K10" s="165">
        <f t="shared" si="4"/>
        <v>20023.79</v>
      </c>
      <c r="L10" s="165">
        <f t="shared" si="4"/>
        <v>25799.439999999999</v>
      </c>
      <c r="M10" s="165">
        <f t="shared" si="4"/>
        <v>25266.92</v>
      </c>
      <c r="N10" s="165">
        <f t="shared" si="4"/>
        <v>23139</v>
      </c>
      <c r="O10" s="165">
        <f>O2-O6-O7-O8-O9</f>
        <v>300873.57999999996</v>
      </c>
      <c r="P10" s="165">
        <f t="shared" si="2"/>
        <v>150436.78999999998</v>
      </c>
      <c r="Q10" s="101"/>
      <c r="R10" s="55"/>
      <c r="S10" s="55"/>
    </row>
    <row r="11" spans="1:19" ht="15.1" customHeight="1" x14ac:dyDescent="0.5">
      <c r="A11" s="229"/>
      <c r="B11" s="162" t="s">
        <v>20</v>
      </c>
      <c r="C11" s="163">
        <f>C6</f>
        <v>0</v>
      </c>
      <c r="D11" s="163">
        <f t="shared" ref="D11:N12" si="5">D6</f>
        <v>0</v>
      </c>
      <c r="E11" s="163">
        <f t="shared" si="5"/>
        <v>0</v>
      </c>
      <c r="F11" s="163">
        <f t="shared" si="5"/>
        <v>0</v>
      </c>
      <c r="G11" s="163">
        <f t="shared" si="5"/>
        <v>0</v>
      </c>
      <c r="H11" s="163">
        <f t="shared" si="5"/>
        <v>0</v>
      </c>
      <c r="I11" s="163">
        <f t="shared" si="5"/>
        <v>0</v>
      </c>
      <c r="J11" s="163">
        <f t="shared" si="5"/>
        <v>0</v>
      </c>
      <c r="K11" s="163">
        <f t="shared" si="5"/>
        <v>0</v>
      </c>
      <c r="L11" s="163">
        <f t="shared" si="5"/>
        <v>0</v>
      </c>
      <c r="M11" s="163">
        <f t="shared" si="5"/>
        <v>0</v>
      </c>
      <c r="N11" s="163">
        <f t="shared" si="5"/>
        <v>0</v>
      </c>
      <c r="O11" s="163">
        <f>SUM(C11:N11)</f>
        <v>0</v>
      </c>
      <c r="P11" s="163">
        <f t="shared" si="2"/>
        <v>0</v>
      </c>
      <c r="Q11" s="102"/>
      <c r="R11" s="55"/>
      <c r="S11" s="55"/>
    </row>
    <row r="12" spans="1:19" ht="15.1" customHeight="1" thickBot="1" x14ac:dyDescent="0.55000000000000004">
      <c r="A12" s="229"/>
      <c r="B12" s="151" t="s">
        <v>25</v>
      </c>
      <c r="C12" s="152">
        <f>C7</f>
        <v>0</v>
      </c>
      <c r="D12" s="152">
        <f t="shared" si="5"/>
        <v>0</v>
      </c>
      <c r="E12" s="152">
        <f t="shared" si="5"/>
        <v>0</v>
      </c>
      <c r="F12" s="152">
        <f t="shared" si="5"/>
        <v>0</v>
      </c>
      <c r="G12" s="152">
        <f t="shared" si="5"/>
        <v>0</v>
      </c>
      <c r="H12" s="152">
        <f t="shared" si="5"/>
        <v>0</v>
      </c>
      <c r="I12" s="152">
        <f t="shared" si="5"/>
        <v>0</v>
      </c>
      <c r="J12" s="152">
        <f t="shared" si="5"/>
        <v>0</v>
      </c>
      <c r="K12" s="152">
        <f t="shared" si="5"/>
        <v>0</v>
      </c>
      <c r="L12" s="152">
        <f t="shared" si="5"/>
        <v>0</v>
      </c>
      <c r="M12" s="152">
        <f t="shared" si="5"/>
        <v>0</v>
      </c>
      <c r="N12" s="152">
        <f t="shared" si="5"/>
        <v>0</v>
      </c>
      <c r="O12" s="152">
        <f>SUM(C12:N12)</f>
        <v>0</v>
      </c>
      <c r="P12" s="152">
        <f t="shared" si="2"/>
        <v>0</v>
      </c>
      <c r="Q12" s="102"/>
      <c r="R12" s="55"/>
      <c r="S12" s="55"/>
    </row>
    <row r="13" spans="1:19" ht="17.100000000000001" customHeight="1" thickBot="1" x14ac:dyDescent="0.55000000000000004">
      <c r="A13" s="229"/>
      <c r="B13" s="153" t="s">
        <v>26</v>
      </c>
      <c r="C13" s="154">
        <f>C10+C11+C12</f>
        <v>28282</v>
      </c>
      <c r="D13" s="154">
        <f t="shared" ref="D13:O13" si="6">D10+D11+D12</f>
        <v>26720</v>
      </c>
      <c r="E13" s="154">
        <f t="shared" si="6"/>
        <v>24266</v>
      </c>
      <c r="F13" s="154">
        <f t="shared" si="6"/>
        <v>24996.400000000001</v>
      </c>
      <c r="G13" s="154">
        <f t="shared" si="6"/>
        <v>33313</v>
      </c>
      <c r="H13" s="154">
        <f t="shared" si="6"/>
        <v>23572.1</v>
      </c>
      <c r="I13" s="154">
        <f t="shared" si="6"/>
        <v>22901.18</v>
      </c>
      <c r="J13" s="154">
        <f t="shared" si="6"/>
        <v>22593.75</v>
      </c>
      <c r="K13" s="154">
        <f t="shared" si="6"/>
        <v>20023.79</v>
      </c>
      <c r="L13" s="154">
        <f t="shared" si="6"/>
        <v>25799.439999999999</v>
      </c>
      <c r="M13" s="154">
        <f t="shared" si="6"/>
        <v>25266.92</v>
      </c>
      <c r="N13" s="154">
        <f t="shared" si="6"/>
        <v>23139</v>
      </c>
      <c r="O13" s="155">
        <f t="shared" si="6"/>
        <v>300873.57999999996</v>
      </c>
      <c r="P13" s="155">
        <f t="shared" si="2"/>
        <v>150436.78999999998</v>
      </c>
      <c r="Q13" s="103"/>
      <c r="R13" s="55"/>
      <c r="S13" s="55"/>
    </row>
    <row r="14" spans="1:19" ht="5.0999999999999996" customHeight="1" thickBot="1" x14ac:dyDescent="0.55000000000000004">
      <c r="A14" s="229"/>
      <c r="B14" s="47"/>
      <c r="C14" s="42"/>
      <c r="D14" s="42"/>
      <c r="E14" s="42"/>
      <c r="F14" s="42"/>
      <c r="G14" s="42"/>
      <c r="H14" s="42"/>
      <c r="I14" s="77"/>
      <c r="J14" s="42"/>
      <c r="K14" s="42"/>
      <c r="L14" s="42"/>
      <c r="M14" s="42"/>
      <c r="N14" s="42"/>
      <c r="O14" s="46"/>
      <c r="P14" s="46"/>
      <c r="Q14" s="46"/>
      <c r="R14" s="55"/>
      <c r="S14" s="55"/>
    </row>
    <row r="15" spans="1:19" ht="17.100000000000001" customHeight="1" thickBot="1" x14ac:dyDescent="0.55000000000000004">
      <c r="A15" s="229"/>
      <c r="B15" s="148" t="s">
        <v>27</v>
      </c>
      <c r="C15" s="149">
        <f>SUM(C16:C20)</f>
        <v>20545</v>
      </c>
      <c r="D15" s="149">
        <f t="shared" ref="D15:N15" si="7">SUM(D16:D20)</f>
        <v>22465</v>
      </c>
      <c r="E15" s="149">
        <f t="shared" si="7"/>
        <v>18302</v>
      </c>
      <c r="F15" s="149">
        <f t="shared" si="7"/>
        <v>20829</v>
      </c>
      <c r="G15" s="149">
        <f t="shared" si="7"/>
        <v>28709</v>
      </c>
      <c r="H15" s="149">
        <f t="shared" si="7"/>
        <v>20116</v>
      </c>
      <c r="I15" s="149">
        <f t="shared" si="7"/>
        <v>19162</v>
      </c>
      <c r="J15" s="149">
        <f t="shared" si="7"/>
        <v>13854</v>
      </c>
      <c r="K15" s="149">
        <f t="shared" si="7"/>
        <v>11969</v>
      </c>
      <c r="L15" s="149">
        <f>SUM(L16:L20)</f>
        <v>0</v>
      </c>
      <c r="M15" s="149">
        <f t="shared" si="7"/>
        <v>0</v>
      </c>
      <c r="N15" s="149">
        <f t="shared" si="7"/>
        <v>0</v>
      </c>
      <c r="O15" s="150">
        <f t="shared" ref="O15:O24" si="8">SUM(C15:N15)</f>
        <v>175951</v>
      </c>
      <c r="P15" s="150">
        <f>O15/2</f>
        <v>87975.5</v>
      </c>
      <c r="Q15" s="150">
        <f>P15</f>
        <v>87975.5</v>
      </c>
      <c r="R15" s="55"/>
      <c r="S15" s="55"/>
    </row>
    <row r="16" spans="1:19" ht="16.25" customHeight="1" x14ac:dyDescent="0.5">
      <c r="A16" s="229"/>
      <c r="B16" s="140" t="s">
        <v>28</v>
      </c>
      <c r="C16" s="176">
        <v>20545</v>
      </c>
      <c r="D16" s="176">
        <v>22465</v>
      </c>
      <c r="E16" s="176">
        <v>18302</v>
      </c>
      <c r="F16" s="142">
        <v>20829</v>
      </c>
      <c r="G16" s="142">
        <v>28709</v>
      </c>
      <c r="H16" s="142">
        <v>20116</v>
      </c>
      <c r="I16" s="142">
        <v>19162</v>
      </c>
      <c r="J16" s="142">
        <v>13854</v>
      </c>
      <c r="K16" s="142">
        <v>11969</v>
      </c>
      <c r="L16" s="142" t="s">
        <v>125</v>
      </c>
      <c r="M16" s="142" t="s">
        <v>126</v>
      </c>
      <c r="N16" s="142" t="s">
        <v>127</v>
      </c>
      <c r="O16" s="144">
        <f t="shared" si="8"/>
        <v>175951</v>
      </c>
      <c r="P16" s="144">
        <f t="shared" ref="P16:P29" si="9">O16/2</f>
        <v>87975.5</v>
      </c>
      <c r="Q16" s="230">
        <f>SUM(P16:P20)</f>
        <v>87975.5</v>
      </c>
      <c r="R16" s="55"/>
      <c r="S16" s="55"/>
    </row>
    <row r="17" spans="1:19" ht="16.25" customHeight="1" x14ac:dyDescent="0.5">
      <c r="A17" s="229"/>
      <c r="B17" s="100" t="s">
        <v>29</v>
      </c>
      <c r="C17" s="64"/>
      <c r="D17" s="64"/>
      <c r="E17" s="64"/>
      <c r="F17" s="177"/>
      <c r="G17" s="177"/>
      <c r="H17" s="177"/>
      <c r="I17" s="64"/>
      <c r="J17" s="177"/>
      <c r="K17" s="177"/>
      <c r="L17" s="177"/>
      <c r="M17" s="64"/>
      <c r="N17" s="64"/>
      <c r="O17" s="130">
        <f t="shared" si="8"/>
        <v>0</v>
      </c>
      <c r="P17" s="130">
        <f t="shared" si="9"/>
        <v>0</v>
      </c>
      <c r="Q17" s="231"/>
      <c r="R17" s="55"/>
      <c r="S17" s="55"/>
    </row>
    <row r="18" spans="1:19" ht="16.25" customHeight="1" x14ac:dyDescent="0.5">
      <c r="A18" s="229"/>
      <c r="B18" s="100" t="s">
        <v>30</v>
      </c>
      <c r="C18" s="64"/>
      <c r="D18" s="64"/>
      <c r="E18" s="64"/>
      <c r="F18" s="178"/>
      <c r="G18" s="178"/>
      <c r="H18" s="179"/>
      <c r="I18" s="64"/>
      <c r="J18" s="64"/>
      <c r="K18" s="64"/>
      <c r="L18" s="64"/>
      <c r="M18" s="64"/>
      <c r="N18" s="64"/>
      <c r="O18" s="135">
        <f t="shared" si="8"/>
        <v>0</v>
      </c>
      <c r="P18" s="130">
        <f t="shared" si="9"/>
        <v>0</v>
      </c>
      <c r="Q18" s="231"/>
      <c r="R18" s="55"/>
      <c r="S18" s="55"/>
    </row>
    <row r="19" spans="1:19" ht="16.25" customHeight="1" x14ac:dyDescent="0.5">
      <c r="A19" s="229"/>
      <c r="B19" s="74" t="s">
        <v>31</v>
      </c>
      <c r="C19" s="75"/>
      <c r="D19" s="180"/>
      <c r="E19" s="180"/>
      <c r="F19" s="178"/>
      <c r="G19" s="178"/>
      <c r="H19" s="179"/>
      <c r="I19" s="64"/>
      <c r="J19" s="64"/>
      <c r="K19" s="64"/>
      <c r="L19" s="64"/>
      <c r="M19" s="64"/>
      <c r="N19" s="64"/>
      <c r="O19" s="135">
        <f t="shared" si="8"/>
        <v>0</v>
      </c>
      <c r="P19" s="130">
        <f t="shared" si="9"/>
        <v>0</v>
      </c>
      <c r="Q19" s="231"/>
      <c r="R19" s="55"/>
      <c r="S19" s="55"/>
    </row>
    <row r="20" spans="1:19" ht="16.25" customHeight="1" x14ac:dyDescent="0.5">
      <c r="A20" s="229"/>
      <c r="B20" s="74" t="s">
        <v>32</v>
      </c>
      <c r="C20" s="75"/>
      <c r="D20" s="180"/>
      <c r="E20" s="180"/>
      <c r="F20" s="178"/>
      <c r="G20" s="178"/>
      <c r="H20" s="179"/>
      <c r="I20" s="64"/>
      <c r="J20" s="64"/>
      <c r="K20" s="64"/>
      <c r="L20" s="64"/>
      <c r="M20" s="64"/>
      <c r="N20" s="64"/>
      <c r="O20" s="135">
        <f t="shared" si="8"/>
        <v>0</v>
      </c>
      <c r="P20" s="130">
        <f t="shared" si="9"/>
        <v>0</v>
      </c>
      <c r="Q20" s="231"/>
      <c r="R20" s="55"/>
      <c r="S20" s="55"/>
    </row>
    <row r="21" spans="1:19" ht="16.25" customHeight="1" x14ac:dyDescent="0.5">
      <c r="A21" s="229"/>
      <c r="B21" s="32" t="s">
        <v>20</v>
      </c>
      <c r="C21" s="33">
        <f>C6</f>
        <v>0</v>
      </c>
      <c r="D21" s="33">
        <f>D6</f>
        <v>0</v>
      </c>
      <c r="E21" s="137">
        <f t="shared" ref="E21:N22" si="10">E6</f>
        <v>0</v>
      </c>
      <c r="F21" s="137">
        <f t="shared" si="10"/>
        <v>0</v>
      </c>
      <c r="G21" s="137">
        <f t="shared" si="10"/>
        <v>0</v>
      </c>
      <c r="H21" s="137">
        <f t="shared" si="10"/>
        <v>0</v>
      </c>
      <c r="I21" s="137">
        <f t="shared" si="10"/>
        <v>0</v>
      </c>
      <c r="J21" s="137">
        <f t="shared" si="10"/>
        <v>0</v>
      </c>
      <c r="K21" s="137">
        <f t="shared" si="10"/>
        <v>0</v>
      </c>
      <c r="L21" s="137">
        <f t="shared" si="10"/>
        <v>0</v>
      </c>
      <c r="M21" s="137">
        <f t="shared" si="10"/>
        <v>0</v>
      </c>
      <c r="N21" s="137">
        <f t="shared" si="10"/>
        <v>0</v>
      </c>
      <c r="O21" s="131">
        <f t="shared" si="8"/>
        <v>0</v>
      </c>
      <c r="P21" s="131">
        <f t="shared" si="9"/>
        <v>0</v>
      </c>
      <c r="Q21" s="232">
        <f>-P21-P22</f>
        <v>0</v>
      </c>
      <c r="R21" s="55"/>
      <c r="S21" s="55"/>
    </row>
    <row r="22" spans="1:19" ht="16.25" customHeight="1" x14ac:dyDescent="0.5">
      <c r="A22" s="229"/>
      <c r="B22" s="32" t="s">
        <v>21</v>
      </c>
      <c r="C22" s="34">
        <f t="shared" ref="C22:D22" si="11">C7</f>
        <v>0</v>
      </c>
      <c r="D22" s="34">
        <f t="shared" si="11"/>
        <v>0</v>
      </c>
      <c r="E22" s="34">
        <f>E7</f>
        <v>0</v>
      </c>
      <c r="F22" s="34">
        <f t="shared" si="10"/>
        <v>0</v>
      </c>
      <c r="G22" s="34">
        <f t="shared" si="10"/>
        <v>0</v>
      </c>
      <c r="H22" s="34">
        <f t="shared" si="10"/>
        <v>0</v>
      </c>
      <c r="I22" s="34">
        <f t="shared" si="10"/>
        <v>0</v>
      </c>
      <c r="J22" s="34">
        <f t="shared" si="10"/>
        <v>0</v>
      </c>
      <c r="K22" s="34">
        <f t="shared" si="10"/>
        <v>0</v>
      </c>
      <c r="L22" s="34">
        <f t="shared" si="10"/>
        <v>0</v>
      </c>
      <c r="M22" s="34">
        <f t="shared" si="10"/>
        <v>0</v>
      </c>
      <c r="N22" s="34">
        <f t="shared" si="10"/>
        <v>0</v>
      </c>
      <c r="O22" s="131">
        <f t="shared" si="8"/>
        <v>0</v>
      </c>
      <c r="P22" s="131">
        <f t="shared" si="9"/>
        <v>0</v>
      </c>
      <c r="Q22" s="232"/>
      <c r="R22" s="55"/>
      <c r="S22" s="55"/>
    </row>
    <row r="23" spans="1:19" ht="16.25" customHeight="1" x14ac:dyDescent="0.5">
      <c r="A23" s="229"/>
      <c r="B23" s="35" t="s">
        <v>33</v>
      </c>
      <c r="C23" s="36"/>
      <c r="D23" s="36"/>
      <c r="E23" s="36"/>
      <c r="F23" s="36"/>
      <c r="G23" s="36"/>
      <c r="H23" s="36"/>
      <c r="I23" s="36"/>
      <c r="J23" s="36"/>
      <c r="K23" s="36"/>
      <c r="L23" s="36"/>
      <c r="M23" s="36"/>
      <c r="N23" s="3"/>
      <c r="O23" s="132">
        <f t="shared" si="8"/>
        <v>0</v>
      </c>
      <c r="P23" s="132">
        <f t="shared" si="9"/>
        <v>0</v>
      </c>
      <c r="Q23" s="233">
        <f>-P23-P24</f>
        <v>-26129.5</v>
      </c>
      <c r="R23" s="55"/>
      <c r="S23" s="55"/>
    </row>
    <row r="24" spans="1:19" ht="16.25" customHeight="1" thickBot="1" x14ac:dyDescent="0.55000000000000004">
      <c r="A24" s="229"/>
      <c r="B24" s="158" t="s">
        <v>34</v>
      </c>
      <c r="C24" s="160">
        <v>4606</v>
      </c>
      <c r="D24" s="160">
        <v>4857</v>
      </c>
      <c r="E24" s="160">
        <v>4445</v>
      </c>
      <c r="F24" s="160">
        <v>5451</v>
      </c>
      <c r="G24" s="160">
        <v>5610</v>
      </c>
      <c r="H24" s="160">
        <v>3868</v>
      </c>
      <c r="I24" s="160">
        <v>5961</v>
      </c>
      <c r="J24" s="160">
        <v>2980</v>
      </c>
      <c r="K24" s="160">
        <v>2490</v>
      </c>
      <c r="L24" s="160">
        <v>3106</v>
      </c>
      <c r="M24" s="160">
        <v>4485</v>
      </c>
      <c r="N24" s="160">
        <v>4400</v>
      </c>
      <c r="O24" s="161">
        <f t="shared" si="8"/>
        <v>52259</v>
      </c>
      <c r="P24" s="161">
        <f t="shared" si="9"/>
        <v>26129.5</v>
      </c>
      <c r="Q24" s="233"/>
      <c r="R24" s="55"/>
      <c r="S24" s="55"/>
    </row>
    <row r="25" spans="1:19" ht="13.8" customHeight="1" thickBot="1" x14ac:dyDescent="0.55000000000000004">
      <c r="A25" s="229"/>
      <c r="B25" s="164" t="s">
        <v>24</v>
      </c>
      <c r="C25" s="165">
        <f>C15-C21-C22-C23-C24</f>
        <v>15939</v>
      </c>
      <c r="D25" s="165">
        <f t="shared" ref="D25:O25" si="12">D15-D21-D22-D23-D24</f>
        <v>17608</v>
      </c>
      <c r="E25" s="165">
        <f t="shared" si="12"/>
        <v>13857</v>
      </c>
      <c r="F25" s="165">
        <f t="shared" si="12"/>
        <v>15378</v>
      </c>
      <c r="G25" s="165">
        <f t="shared" si="12"/>
        <v>23099</v>
      </c>
      <c r="H25" s="165">
        <f t="shared" si="12"/>
        <v>16248</v>
      </c>
      <c r="I25" s="165">
        <f t="shared" si="12"/>
        <v>13201</v>
      </c>
      <c r="J25" s="165">
        <f t="shared" si="12"/>
        <v>10874</v>
      </c>
      <c r="K25" s="165">
        <f t="shared" si="12"/>
        <v>9479</v>
      </c>
      <c r="L25" s="165">
        <f t="shared" si="12"/>
        <v>-3106</v>
      </c>
      <c r="M25" s="165">
        <f t="shared" si="12"/>
        <v>-4485</v>
      </c>
      <c r="N25" s="165">
        <f t="shared" si="12"/>
        <v>-4400</v>
      </c>
      <c r="O25" s="165">
        <f t="shared" si="12"/>
        <v>123692</v>
      </c>
      <c r="P25" s="165">
        <f t="shared" si="9"/>
        <v>61846</v>
      </c>
      <c r="Q25" s="101"/>
      <c r="R25" s="55"/>
      <c r="S25" s="55"/>
    </row>
    <row r="26" spans="1:19" ht="14.55" customHeight="1" x14ac:dyDescent="0.5">
      <c r="A26" s="229"/>
      <c r="B26" s="162" t="s">
        <v>20</v>
      </c>
      <c r="C26" s="163">
        <f>C21</f>
        <v>0</v>
      </c>
      <c r="D26" s="163">
        <f t="shared" ref="D26:N27" si="13">D21</f>
        <v>0</v>
      </c>
      <c r="E26" s="163">
        <f t="shared" si="13"/>
        <v>0</v>
      </c>
      <c r="F26" s="163">
        <f t="shared" si="13"/>
        <v>0</v>
      </c>
      <c r="G26" s="163">
        <f t="shared" si="13"/>
        <v>0</v>
      </c>
      <c r="H26" s="163">
        <f t="shared" si="13"/>
        <v>0</v>
      </c>
      <c r="I26" s="163">
        <f t="shared" si="13"/>
        <v>0</v>
      </c>
      <c r="J26" s="163">
        <f t="shared" si="13"/>
        <v>0</v>
      </c>
      <c r="K26" s="163">
        <f t="shared" si="13"/>
        <v>0</v>
      </c>
      <c r="L26" s="163">
        <f t="shared" si="13"/>
        <v>0</v>
      </c>
      <c r="M26" s="163">
        <f t="shared" si="13"/>
        <v>0</v>
      </c>
      <c r="N26" s="163">
        <f t="shared" si="13"/>
        <v>0</v>
      </c>
      <c r="O26" s="163">
        <f>SUM(C26:N26)</f>
        <v>0</v>
      </c>
      <c r="P26" s="163">
        <f t="shared" si="9"/>
        <v>0</v>
      </c>
      <c r="Q26" s="102"/>
      <c r="R26" s="55"/>
      <c r="S26" s="55"/>
    </row>
    <row r="27" spans="1:19" ht="14.55" customHeight="1" thickBot="1" x14ac:dyDescent="0.55000000000000004">
      <c r="A27" s="229"/>
      <c r="B27" s="151" t="s">
        <v>25</v>
      </c>
      <c r="C27" s="152">
        <f>C22</f>
        <v>0</v>
      </c>
      <c r="D27" s="152">
        <f t="shared" si="13"/>
        <v>0</v>
      </c>
      <c r="E27" s="152">
        <f t="shared" si="13"/>
        <v>0</v>
      </c>
      <c r="F27" s="152">
        <f t="shared" si="13"/>
        <v>0</v>
      </c>
      <c r="G27" s="152">
        <f t="shared" si="13"/>
        <v>0</v>
      </c>
      <c r="H27" s="152">
        <f t="shared" si="13"/>
        <v>0</v>
      </c>
      <c r="I27" s="152">
        <f t="shared" si="13"/>
        <v>0</v>
      </c>
      <c r="J27" s="152">
        <f t="shared" si="13"/>
        <v>0</v>
      </c>
      <c r="K27" s="152">
        <f t="shared" si="13"/>
        <v>0</v>
      </c>
      <c r="L27" s="152">
        <f t="shared" si="13"/>
        <v>0</v>
      </c>
      <c r="M27" s="152">
        <f t="shared" si="13"/>
        <v>0</v>
      </c>
      <c r="N27" s="152">
        <f t="shared" si="13"/>
        <v>0</v>
      </c>
      <c r="O27" s="152">
        <f>SUM(C27:N27)</f>
        <v>0</v>
      </c>
      <c r="P27" s="152">
        <f t="shared" si="9"/>
        <v>0</v>
      </c>
      <c r="Q27" s="102"/>
      <c r="R27" s="55"/>
      <c r="S27" s="55"/>
    </row>
    <row r="28" spans="1:19" ht="17.100000000000001" customHeight="1" thickBot="1" x14ac:dyDescent="0.55000000000000004">
      <c r="A28" s="229"/>
      <c r="B28" s="153" t="s">
        <v>35</v>
      </c>
      <c r="C28" s="154">
        <f>C25+C26+C27</f>
        <v>15939</v>
      </c>
      <c r="D28" s="154">
        <f t="shared" ref="D28:O28" si="14">D25+D26+D27</f>
        <v>17608</v>
      </c>
      <c r="E28" s="154">
        <f t="shared" si="14"/>
        <v>13857</v>
      </c>
      <c r="F28" s="154">
        <f t="shared" si="14"/>
        <v>15378</v>
      </c>
      <c r="G28" s="154">
        <f t="shared" si="14"/>
        <v>23099</v>
      </c>
      <c r="H28" s="154">
        <f t="shared" si="14"/>
        <v>16248</v>
      </c>
      <c r="I28" s="154">
        <f t="shared" si="14"/>
        <v>13201</v>
      </c>
      <c r="J28" s="154">
        <f t="shared" si="14"/>
        <v>10874</v>
      </c>
      <c r="K28" s="154">
        <f t="shared" si="14"/>
        <v>9479</v>
      </c>
      <c r="L28" s="154">
        <f t="shared" si="14"/>
        <v>-3106</v>
      </c>
      <c r="M28" s="154">
        <f t="shared" si="14"/>
        <v>-4485</v>
      </c>
      <c r="N28" s="154">
        <f t="shared" si="14"/>
        <v>-4400</v>
      </c>
      <c r="O28" s="155">
        <f t="shared" si="14"/>
        <v>123692</v>
      </c>
      <c r="P28" s="155">
        <f t="shared" si="9"/>
        <v>61846</v>
      </c>
      <c r="Q28" s="103"/>
      <c r="R28" s="55"/>
      <c r="S28" s="55"/>
    </row>
    <row r="29" spans="1:19" ht="24.1" customHeight="1" thickBot="1" x14ac:dyDescent="0.55000000000000004">
      <c r="A29" s="229"/>
      <c r="B29" s="156" t="s">
        <v>36</v>
      </c>
      <c r="C29" s="157">
        <f>C13+C28</f>
        <v>44221</v>
      </c>
      <c r="D29" s="157">
        <f t="shared" ref="D29:O29" si="15">D13+D28</f>
        <v>44328</v>
      </c>
      <c r="E29" s="157">
        <f t="shared" si="15"/>
        <v>38123</v>
      </c>
      <c r="F29" s="157">
        <f t="shared" si="15"/>
        <v>40374.400000000001</v>
      </c>
      <c r="G29" s="157">
        <f t="shared" si="15"/>
        <v>56412</v>
      </c>
      <c r="H29" s="157">
        <f t="shared" si="15"/>
        <v>39820.1</v>
      </c>
      <c r="I29" s="157">
        <f t="shared" si="15"/>
        <v>36102.18</v>
      </c>
      <c r="J29" s="157">
        <f t="shared" si="15"/>
        <v>33467.75</v>
      </c>
      <c r="K29" s="157">
        <f t="shared" si="15"/>
        <v>29502.79</v>
      </c>
      <c r="L29" s="157">
        <f t="shared" si="15"/>
        <v>22693.439999999999</v>
      </c>
      <c r="M29" s="157">
        <f t="shared" si="15"/>
        <v>20781.919999999998</v>
      </c>
      <c r="N29" s="157">
        <f t="shared" si="15"/>
        <v>18739</v>
      </c>
      <c r="O29" s="166">
        <f t="shared" si="15"/>
        <v>424565.57999999996</v>
      </c>
      <c r="P29" s="157">
        <f t="shared" si="9"/>
        <v>212282.78999999998</v>
      </c>
      <c r="Q29" s="104"/>
      <c r="R29" s="55"/>
      <c r="S29" s="55"/>
    </row>
    <row r="30" spans="1:19" x14ac:dyDescent="0.5">
      <c r="F30" s="119"/>
      <c r="G30" s="1"/>
      <c r="H30" s="1"/>
      <c r="I30" s="1"/>
    </row>
    <row r="31" spans="1:19" x14ac:dyDescent="0.5">
      <c r="F31" s="120"/>
      <c r="G31" s="121"/>
      <c r="H31" s="122"/>
      <c r="I31" s="122"/>
    </row>
    <row r="32" spans="1:19" x14ac:dyDescent="0.5">
      <c r="F32" s="119"/>
      <c r="G32" s="1"/>
      <c r="H32" s="1"/>
      <c r="I32" s="1"/>
    </row>
    <row r="33" spans="1:19" x14ac:dyDescent="0.5">
      <c r="F33" s="120"/>
      <c r="G33" s="121"/>
      <c r="H33" s="122"/>
      <c r="I33" s="122"/>
    </row>
    <row r="34" spans="1:19" x14ac:dyDescent="0.5">
      <c r="F34" s="119"/>
      <c r="G34" s="1"/>
      <c r="H34" s="1"/>
      <c r="I34" s="1"/>
    </row>
    <row r="35" spans="1:19" s="9" customFormat="1" x14ac:dyDescent="0.5">
      <c r="A35" s="1"/>
      <c r="B35" s="1"/>
      <c r="F35" s="120"/>
      <c r="G35" s="121"/>
      <c r="H35" s="122"/>
      <c r="I35" s="122"/>
      <c r="R35" s="1"/>
      <c r="S35" s="1"/>
    </row>
  </sheetData>
  <mergeCells count="7">
    <mergeCell ref="A1:A29"/>
    <mergeCell ref="Q3:Q5"/>
    <mergeCell ref="Q6:Q7"/>
    <mergeCell ref="Q8:Q9"/>
    <mergeCell ref="Q16:Q20"/>
    <mergeCell ref="Q21:Q22"/>
    <mergeCell ref="Q23:Q24"/>
  </mergeCells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15</vt:i4>
      </vt:variant>
    </vt:vector>
  </HeadingPairs>
  <TitlesOfParts>
    <vt:vector size="15" baseType="lpstr">
      <vt:lpstr>2026</vt:lpstr>
      <vt:lpstr>2025</vt:lpstr>
      <vt:lpstr>2024</vt:lpstr>
      <vt:lpstr>2023</vt:lpstr>
      <vt:lpstr>2022</vt:lpstr>
      <vt:lpstr>2021</vt:lpstr>
      <vt:lpstr>2020</vt:lpstr>
      <vt:lpstr>2019</vt:lpstr>
      <vt:lpstr>2018</vt:lpstr>
      <vt:lpstr>2017</vt:lpstr>
      <vt:lpstr>2016</vt:lpstr>
      <vt:lpstr>2015</vt:lpstr>
      <vt:lpstr>2014</vt:lpstr>
      <vt:lpstr>2013</vt:lpstr>
      <vt:lpstr>2012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Usuario de Microsoft Office</dc:creator>
  <cp:keywords/>
  <dc:description/>
  <cp:lastModifiedBy>Angel Luis Almaraz González</cp:lastModifiedBy>
  <cp:revision/>
  <dcterms:created xsi:type="dcterms:W3CDTF">2015-10-10T08:41:05Z</dcterms:created>
  <dcterms:modified xsi:type="dcterms:W3CDTF">2026-05-15T07:12:35Z</dcterms:modified>
  <cp:category/>
  <cp:contentStatus/>
</cp:coreProperties>
</file>