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p25" sheetId="1" r:id="rId5"/>
    <sheet state="visible" name="Oct25" sheetId="2" r:id="rId6"/>
    <sheet state="visible" name="Nov2025" sheetId="3" r:id="rId7"/>
    <sheet state="visible" name="Dic2025" sheetId="4" r:id="rId8"/>
    <sheet state="visible" name="Ene2026" sheetId="5" r:id="rId9"/>
    <sheet state="visible" name="Feb2026" sheetId="6" r:id="rId10"/>
    <sheet state="visible" name="Mar2026" sheetId="7" r:id="rId11"/>
    <sheet state="visible" name="Abr2026" sheetId="8" r:id="rId12"/>
    <sheet state="visible" name="May2026" sheetId="9" r:id="rId13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4">
      <text>
        <t xml:space="preserve">100€ VAN EN NÓMINA</t>
      </text>
    </comment>
    <comment authorId="0" ref="E5">
      <text>
        <t xml:space="preserve">400 + 100 de extras cloud
Pagado el 8 de Enero en movilfree</t>
      </text>
    </comment>
    <comment authorId="0" ref="G5">
      <text>
        <t xml:space="preserve">5 Dietas</t>
      </text>
    </comment>
    <comment authorId="0" ref="E6">
      <text>
        <t xml:space="preserve">100 de extras cloud Pagado en correhuela</t>
      </text>
    </comment>
    <comment authorId="0" ref="G6">
      <text>
        <t xml:space="preserve">10 dietas</t>
      </text>
    </comment>
    <comment authorId="0" ref="G7">
      <text>
        <t xml:space="preserve">3 dietas</t>
      </text>
    </comment>
    <comment authorId="0" ref="E8">
      <text>
        <t xml:space="preserve">llamarle para comisiones
200 + 70 extras de cloud en villa
Pagado en villa el dia 31/12</t>
      </text>
    </comment>
    <comment authorId="0" ref="G8">
      <text>
        <t xml:space="preserve">5 Dietas</t>
      </text>
    </comment>
    <comment authorId="0" ref="G9">
      <text>
        <t xml:space="preserve">3 dietas</t>
      </text>
    </comment>
    <comment authorId="0" ref="P10">
      <text>
        <t xml:space="preserve">cogido de caja</t>
      </text>
    </comment>
    <comment authorId="0" ref="L13">
      <text>
        <t xml:space="preserve">10 operaciones bono 126 euros
13 operaciones más a 8.04 euros
total 104.52 euros
16 operaciones internas * 3 euros
total 48 euros</t>
      </text>
    </comment>
    <comment authorId="0" ref="N15">
      <text>
        <t xml:space="preserve">11 dietas</t>
      </text>
    </comment>
    <comment authorId="0" ref="O15">
      <text>
        <t xml:space="preserve">1683 km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4">
      <text>
        <t xml:space="preserve">100€ VAN EN NÓMINA</t>
      </text>
    </comment>
    <comment authorId="0" ref="D5">
      <text>
        <t xml:space="preserve">ISC de Octubre, Noviembre y Diciembre 2025</t>
      </text>
    </comment>
    <comment authorId="0" ref="E5">
      <text>
        <t xml:space="preserve">300€ pagados en MovilFree</t>
      </text>
    </comment>
    <comment authorId="0" ref="F5">
      <text>
        <t xml:space="preserve">8 dietas</t>
      </text>
    </comment>
    <comment authorId="0" ref="D6">
      <text>
        <t xml:space="preserve">ISC de Octubre, Noviembre y Diciembre 2025</t>
      </text>
    </comment>
    <comment authorId="0" ref="E6">
      <text>
        <t xml:space="preserve">300€ pagados en MovilFree</t>
      </text>
    </comment>
    <comment authorId="0" ref="F6">
      <text>
        <t xml:space="preserve">6 dietas</t>
      </text>
    </comment>
    <comment authorId="0" ref="D7">
      <text>
        <t xml:space="preserve">ISC de Octubre, Noviembre y Diciembre 2025</t>
      </text>
    </comment>
    <comment authorId="0" ref="E7">
      <text>
        <t xml:space="preserve">300€ pagados en MovilFree</t>
      </text>
    </comment>
    <comment authorId="0" ref="F7">
      <text>
        <t xml:space="preserve">10 dietas</t>
      </text>
    </comment>
    <comment authorId="0" ref="D8">
      <text>
        <t xml:space="preserve">ISC de Octubre, Noviembre y Diciembre 2025</t>
      </text>
    </comment>
    <comment authorId="0" ref="E8">
      <text>
        <t xml:space="preserve">300€ pagados en MovilFree</t>
      </text>
    </comment>
    <comment authorId="0" ref="F8">
      <text>
        <t xml:space="preserve">8 dietas</t>
      </text>
    </comment>
    <comment authorId="0" ref="D9">
      <text>
        <t xml:space="preserve">ISC de Octubre, Noviembre y Diciembre 2025</t>
      </text>
    </comment>
    <comment authorId="0" ref="E9">
      <text>
        <t xml:space="preserve">300€ pagados en Correhuela</t>
      </text>
    </comment>
    <comment authorId="0" ref="F9">
      <text>
        <t xml:space="preserve">5 Dietas</t>
      </text>
    </comment>
    <comment authorId="0" ref="E10">
      <text>
        <t xml:space="preserve">300€ pagados en Correhuela</t>
      </text>
    </comment>
    <comment authorId="0" ref="P10">
      <text>
        <t xml:space="preserve">100 euros de caja </t>
      </text>
    </comment>
    <comment authorId="0" ref="M15">
      <text>
        <t xml:space="preserve">son 184 pero por ajustes sale 189,33 la diferencia se pasa al mes siguiente para restar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4">
      <text>
        <t xml:space="preserve">100€ VAN EN NÓMINA
139 ARRASTRAN DE SEPTIEMBRE Y OCTUBRE</t>
      </text>
    </comment>
    <comment authorId="0" ref="E5">
      <text>
        <t xml:space="preserve">Pagado en MovilFree
</t>
      </text>
    </comment>
    <comment authorId="0" ref="F5">
      <text>
        <t xml:space="preserve">5 DIETAS</t>
      </text>
    </comment>
    <comment authorId="0" ref="D6">
      <text>
        <t xml:space="preserve">Multa de trafico</t>
      </text>
    </comment>
    <comment authorId="0" ref="E6">
      <text>
        <t xml:space="preserve">Pagado en MovilFree</t>
      </text>
    </comment>
    <comment authorId="0" ref="E7">
      <text>
        <t xml:space="preserve">Pagado en MovilFree
</t>
      </text>
    </comment>
    <comment authorId="0" ref="F7">
      <text>
        <t xml:space="preserve">5 DIETAS</t>
      </text>
    </comment>
    <comment authorId="0" ref="E9">
      <text>
        <t xml:space="preserve">Pagado en MovilFree</t>
      </text>
    </comment>
    <comment authorId="0" ref="F9">
      <text>
        <t xml:space="preserve">5 DIETAS</t>
      </text>
    </comment>
    <comment authorId="0" ref="E10">
      <text>
        <t xml:space="preserve">Pagado en MovilFree</t>
      </text>
    </comment>
    <comment authorId="0" ref="F10">
      <text>
        <t xml:space="preserve">5 DIETAS</t>
      </text>
    </comment>
    <comment authorId="0" ref="M14">
      <text>
        <t xml:space="preserve">-5,30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4">
      <text>
        <t xml:space="preserve">100€ VAN EN NÓMINA
209 arrastran de noviembre</t>
      </text>
    </comment>
    <comment authorId="0" ref="E5">
      <text>
        <t xml:space="preserve">Pagado desde MovilFree el 7 de Abril 2026</t>
      </text>
    </comment>
    <comment authorId="0" ref="F5">
      <text>
        <t xml:space="preserve">5 DIETAS</t>
      </text>
    </comment>
    <comment authorId="0" ref="E6">
      <text>
        <t xml:space="preserve">Pagado desde MovilFree el 7 de Abril 2026</t>
      </text>
    </comment>
    <comment authorId="0" ref="F6">
      <text>
        <t xml:space="preserve">6 dietas</t>
      </text>
    </comment>
    <comment authorId="0" ref="E7">
      <text>
        <t xml:space="preserve">Pagado desde MovilFree el 7 de Abril 2026</t>
      </text>
    </comment>
    <comment authorId="0" ref="F7">
      <text>
        <t xml:space="preserve">5 DIETAS</t>
      </text>
    </comment>
    <comment authorId="0" ref="F8">
      <text>
        <t xml:space="preserve">5 DIETAS</t>
      </text>
    </comment>
    <comment authorId="0" ref="F9">
      <text>
        <t xml:space="preserve">6 dietas</t>
      </text>
    </comment>
    <comment authorId="0" ref="E10">
      <text>
        <t xml:space="preserve">Pagado desde MovilFree el 7 de Abril 2026</t>
      </text>
    </comment>
    <comment authorId="0" ref="F10">
      <text>
        <t xml:space="preserve">5 DIETAS</t>
      </text>
    </comment>
    <comment authorId="0" ref="M13">
      <text>
        <t xml:space="preserve">6.8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4">
      <text>
        <t xml:space="preserve">100€ VAN EN NÓMINA
182 viene del mes pasado</t>
      </text>
    </comment>
    <comment authorId="0" ref="D5">
      <text>
        <t xml:space="preserve">200€ ISC de Enero, Febrero y Marzo 2026</t>
      </text>
    </comment>
    <comment authorId="0" ref="E5">
      <text>
        <t xml:space="preserve">300 Comisiones + 200€ ISC de Enero, Febrero y Marzo 2026 </t>
      </text>
    </comment>
    <comment authorId="0" ref="F5">
      <text>
        <t xml:space="preserve">6 dietas</t>
      </text>
    </comment>
    <comment authorId="0" ref="D6">
      <text>
        <t xml:space="preserve">200€ ISC de Enero, Febrero y Marzo 2026</t>
      </text>
    </comment>
    <comment authorId="0" ref="E6">
      <text>
        <t xml:space="preserve">100 Comisiones + 200€ ISC de Enero, Febrero y Marzo 2026 </t>
      </text>
    </comment>
    <comment authorId="0" ref="F6">
      <text>
        <t xml:space="preserve">5 DIETAS</t>
      </text>
    </comment>
    <comment authorId="0" ref="D7">
      <text>
        <t xml:space="preserve">200€ ISC de Enero, Febrero y Marzo 2026</t>
      </text>
    </comment>
    <comment authorId="0" ref="E7">
      <text>
        <t xml:space="preserve">200 Comisiones + 200€ ISC de Enero, Febrero y Marzo 2026 </t>
      </text>
    </comment>
    <comment authorId="0" ref="F7">
      <text>
        <t xml:space="preserve">5 DIETAS</t>
      </text>
    </comment>
    <comment authorId="0" ref="D8">
      <text>
        <t xml:space="preserve">200€ ISC de Enero, Febrero y Marzo 2026</t>
      </text>
    </comment>
    <comment authorId="0" ref="E8">
      <text>
        <t xml:space="preserve">100 Comisiones + 200€ ISC de Enero, Febrero y Marzo 2026 </t>
      </text>
    </comment>
    <comment authorId="0" ref="F8">
      <text>
        <t xml:space="preserve">5 DIETAS</t>
      </text>
    </comment>
    <comment authorId="0" ref="L9">
      <text>
        <t xml:space="preserve">20 cogidos de caja</t>
      </text>
    </comment>
    <comment authorId="0" ref="L12">
      <text>
        <t xml:space="preserve">126+ 8,04*10= externas=206,40
14*3= internas=42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4">
      <text>
        <t xml:space="preserve">100€ VAN EN NÓMINA</t>
      </text>
    </comment>
    <comment authorId="0" ref="M7">
      <text>
        <t xml:space="preserve">Importe pendiente de Enero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4">
      <text>
        <t xml:space="preserve">100€ VAN EN NÓMINA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4">
      <text>
        <t xml:space="preserve">100€ VAN EN NÓMINA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4">
      <text>
        <t xml:space="preserve">100€ VAN EN NÓMINA</t>
      </text>
    </comment>
  </commentList>
</comments>
</file>

<file path=xl/sharedStrings.xml><?xml version="1.0" encoding="utf-8"?>
<sst xmlns="http://schemas.openxmlformats.org/spreadsheetml/2006/main" count="356" uniqueCount="41">
  <si>
    <t>FFVV</t>
  </si>
  <si>
    <t>Importe</t>
  </si>
  <si>
    <t>Aceleradores</t>
  </si>
  <si>
    <t>Descuentos y penalizaciones</t>
  </si>
  <si>
    <t>TOTAL</t>
  </si>
  <si>
    <t>Dietas</t>
  </si>
  <si>
    <t>KM</t>
  </si>
  <si>
    <t>Incentivos</t>
  </si>
  <si>
    <t>TIENDAS</t>
  </si>
  <si>
    <t>O2 y Varios</t>
  </si>
  <si>
    <t>Luis</t>
  </si>
  <si>
    <t>Carmen</t>
  </si>
  <si>
    <t>Juan Carlos</t>
  </si>
  <si>
    <t>Carlos</t>
  </si>
  <si>
    <t>Javier</t>
  </si>
  <si>
    <t>Cristina H</t>
  </si>
  <si>
    <t>Maite</t>
  </si>
  <si>
    <t>Elena</t>
  </si>
  <si>
    <t>Nuria Zarzoso</t>
  </si>
  <si>
    <t>Belén</t>
  </si>
  <si>
    <t>Lara</t>
  </si>
  <si>
    <t>Diego</t>
  </si>
  <si>
    <t>Vanesa</t>
  </si>
  <si>
    <t>Soraya</t>
  </si>
  <si>
    <t>Gabriel</t>
  </si>
  <si>
    <t>Marta</t>
  </si>
  <si>
    <t>Gasolina</t>
  </si>
  <si>
    <t>Km</t>
  </si>
  <si>
    <t>Salva</t>
  </si>
  <si>
    <t>Total FFVV</t>
  </si>
  <si>
    <t>Total Tiendas</t>
  </si>
  <si>
    <t>Total General</t>
  </si>
  <si>
    <t>LIQUIDACIÓN DE VENTAS DE OCTUBRE SE PAGA EN LA NÓMINA DE ENERO</t>
  </si>
  <si>
    <t>LIQUIDACIÓN DE VENTAS DE NOVIEMBRE SE PAGA EN LA NÓMINA DE FEBRERO</t>
  </si>
  <si>
    <t>Varios</t>
  </si>
  <si>
    <t>LIQUIDACIÓN DE VENTAS DE DICIEMBRE SE PAGA EN LA NÓMINA DE MARZO</t>
  </si>
  <si>
    <t>LIQUIDACIÓN DE VENTAS DE ENERO SE PAGA EN LA NÓMINA DE ABRIL</t>
  </si>
  <si>
    <t>LIQUIDACIÓN DE VENTAS DE FEBRERO SE PAGA EN LA NÓMINA DE MAYO</t>
  </si>
  <si>
    <t>LIQUIDACIÓN DE VENTAS DE MARZO SE PAGA EN LA NÓMINA DE JUNIO</t>
  </si>
  <si>
    <t>LIQUIDACIÓN DE VENTAS DE ABRIL SE PAGA EN LA NÓMINA DE JULIO</t>
  </si>
  <si>
    <t>LIQUIDACIÓN DE VENTAS DE MAYO SE PAGA EN LA NÓMINA DE AGOSTO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</si>
</sst>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#,##0\ [$€-1]"/>
    <numFmt numFmtId="166" formatCode="#,##0.0\ [$€-1]"/>
    <numFmt numFmtId="167" formatCode="#,##0.00\ [$€-1]"/>
  </numFmts>
  <fonts count="26">
    <font>
      <sz val="10.0"/>
      <color rgb="FF000000"/>
      <name val="Arial"/>
      <scheme val="minor"/>
    </font>
    <font>
      <sz val="12.0"/>
      <color rgb="FF000000"/>
      <name val="&quot;Liberation Serif&quot;"/>
    </font>
    <font>
      <sz val="12.0"/>
      <color theme="1"/>
      <name val="Arial"/>
      <scheme val="minor"/>
    </font>
    <font>
      <color theme="1"/>
      <name val="Arial"/>
      <scheme val="minor"/>
    </font>
    <font>
      <b/>
      <sz val="12.0"/>
      <color rgb="FFFFFFFF"/>
      <name val="Arial"/>
    </font>
    <font/>
    <font>
      <b/>
      <sz val="10.0"/>
      <color rgb="FFFFFFFF"/>
      <name val="Arial"/>
    </font>
    <font>
      <b/>
      <sz val="9.0"/>
      <color rgb="FFFFFFFF"/>
      <name val="Arial"/>
    </font>
    <font>
      <b/>
      <sz val="10.0"/>
      <color rgb="FFFFFFFF"/>
      <name val="&quot;Liberation Serif&quot;"/>
    </font>
    <font>
      <sz val="12.0"/>
      <color rgb="FFFFFFFF"/>
      <name val="&quot;Liberation Serif&quot;"/>
    </font>
    <font>
      <sz val="11.0"/>
      <color rgb="FF000000"/>
      <name val="Arial"/>
    </font>
    <font>
      <sz val="11.0"/>
      <color rgb="FF000000"/>
      <name val="&quot;Liberation Serif&quot;"/>
    </font>
    <font>
      <sz val="10.0"/>
      <color theme="1"/>
      <name val="Arial"/>
      <scheme val="minor"/>
    </font>
    <font>
      <sz val="12.0"/>
      <color rgb="FF000000"/>
      <name val="Arial"/>
    </font>
    <font>
      <sz val="12.0"/>
      <color rgb="FFFFFFFF"/>
      <name val="Arial"/>
    </font>
    <font>
      <sz val="12.0"/>
      <color theme="0"/>
      <name val="Arial"/>
    </font>
    <font>
      <sz val="11.0"/>
      <color rgb="FFFF0000"/>
      <name val="Arial"/>
    </font>
    <font>
      <sz val="11.0"/>
      <color rgb="FFFF0000"/>
      <name val="&quot;Liberation Serif&quot;"/>
    </font>
    <font>
      <b/>
      <sz val="8.0"/>
      <color rgb="FFFFFFFF"/>
      <name val="Arial"/>
    </font>
    <font>
      <sz val="11.0"/>
      <color rgb="FF434343"/>
      <name val="Arial"/>
    </font>
    <font>
      <sz val="11.0"/>
      <color theme="1"/>
      <name val="Arial"/>
    </font>
    <font>
      <sz val="11.0"/>
      <color rgb="FF434343"/>
      <name val="&quot;Liberation Serif&quot;"/>
    </font>
    <font>
      <sz val="10.0"/>
      <color rgb="FF434343"/>
      <name val="Arial"/>
    </font>
    <font>
      <b/>
      <sz val="10.0"/>
      <color rgb="FF434343"/>
      <name val="Arial"/>
    </font>
    <font>
      <b/>
      <sz val="9.0"/>
      <color rgb="FF434343"/>
      <name val="Arial"/>
    </font>
    <font>
      <b/>
      <sz val="14.0"/>
      <color theme="0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6AA84F"/>
        <bgColor rgb="FF6AA84F"/>
      </patternFill>
    </fill>
    <fill>
      <patternFill patternType="solid">
        <fgColor rgb="FFFF0000"/>
        <bgColor rgb="FFFF0000"/>
      </patternFill>
    </fill>
    <fill>
      <patternFill patternType="solid">
        <fgColor rgb="FFB6D7A8"/>
        <bgColor rgb="FFB6D7A8"/>
      </patternFill>
    </fill>
    <fill>
      <patternFill patternType="solid">
        <fgColor theme="4"/>
        <bgColor theme="4"/>
      </patternFill>
    </fill>
    <fill>
      <patternFill patternType="solid">
        <fgColor rgb="FF8989EB"/>
        <bgColor rgb="FF8989EB"/>
      </patternFill>
    </fill>
    <fill>
      <patternFill patternType="solid">
        <fgColor rgb="FF6D9EEB"/>
        <bgColor rgb="FF6D9EEB"/>
      </patternFill>
    </fill>
    <fill>
      <patternFill patternType="solid">
        <fgColor rgb="FFE06666"/>
        <bgColor rgb="FFE06666"/>
      </patternFill>
    </fill>
    <fill>
      <patternFill patternType="solid">
        <fgColor rgb="FFE8E7FC"/>
        <bgColor rgb="FFE8E7FC"/>
      </patternFill>
    </fill>
    <fill>
      <patternFill patternType="solid">
        <fgColor rgb="FFFFFFFF"/>
        <bgColor rgb="FFFFFFFF"/>
      </patternFill>
    </fill>
    <fill>
      <patternFill patternType="solid">
        <fgColor rgb="FFC4C3F7"/>
        <bgColor rgb="FFC4C3F7"/>
      </patternFill>
    </fill>
  </fills>
  <borders count="22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</border>
    <border>
      <left style="medium">
        <color rgb="FF000000"/>
      </left>
      <right style="thin">
        <color rgb="FFCCCCCC"/>
      </right>
      <top style="medium">
        <color rgb="FF000000"/>
      </top>
      <bottom style="medium">
        <color rgb="FF000000"/>
      </bottom>
    </border>
    <border>
      <left style="thin">
        <color rgb="FFCCCCCC"/>
      </left>
      <right style="thin">
        <color rgb="FFCCCCCC"/>
      </right>
      <top style="medium">
        <color rgb="FF000000"/>
      </top>
      <bottom style="medium">
        <color rgb="FF000000"/>
      </bottom>
    </border>
    <border>
      <left style="thin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FFFFFF"/>
      </left>
      <top style="medium">
        <color rgb="FFFFFFFF"/>
      </top>
      <bottom style="medium">
        <color rgb="FFFFFFFF"/>
      </bottom>
    </border>
    <border>
      <top style="medium">
        <color rgb="FFFFFFFF"/>
      </top>
      <bottom style="medium">
        <color rgb="FFFFFFFF"/>
      </bottom>
    </border>
    <border>
      <right style="medium">
        <color rgb="FFFFFFFF"/>
      </right>
      <top style="medium">
        <color rgb="FFFFFFFF"/>
      </top>
      <bottom style="medium">
        <color rgb="FFFFFFFF"/>
      </bottom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</border>
    <border>
      <bottom style="thin">
        <color rgb="FFFFFFFF"/>
      </bottom>
    </border>
    <border>
      <left style="thin">
        <color rgb="FFFFFFFF"/>
      </left>
      <bottom style="thin">
        <color rgb="FFFFFFFF"/>
      </bottom>
    </border>
  </borders>
  <cellStyleXfs count="1">
    <xf borderId="0" fillId="0" fontId="0" numFmtId="0" applyAlignment="1" applyFont="1"/>
  </cellStyleXfs>
  <cellXfs count="10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center"/>
    </xf>
    <xf borderId="1" fillId="0" fontId="1" numFmtId="0" xfId="0" applyAlignment="1" applyBorder="1" applyFont="1">
      <alignment shrinkToFit="0" vertical="center" wrapText="0"/>
    </xf>
    <xf borderId="1" fillId="0" fontId="2" numFmtId="0" xfId="0" applyAlignment="1" applyBorder="1" applyFont="1">
      <alignment vertical="center"/>
    </xf>
    <xf borderId="1" fillId="0" fontId="3" numFmtId="0" xfId="0" applyAlignment="1" applyBorder="1" applyFont="1">
      <alignment vertical="center"/>
    </xf>
    <xf borderId="2" fillId="2" fontId="4" numFmtId="164" xfId="0" applyAlignment="1" applyBorder="1" applyFill="1" applyFont="1" applyNumberFormat="1">
      <alignment horizontal="center" readingOrder="0" shrinkToFit="0" vertical="center" wrapText="0"/>
    </xf>
    <xf borderId="3" fillId="0" fontId="5" numFmtId="0" xfId="0" applyBorder="1" applyFont="1"/>
    <xf borderId="4" fillId="0" fontId="5" numFmtId="0" xfId="0" applyBorder="1" applyFont="1"/>
    <xf borderId="5" fillId="3" fontId="6" numFmtId="0" xfId="0" applyAlignment="1" applyBorder="1" applyFill="1" applyFont="1">
      <alignment horizontal="center" readingOrder="0" vertical="center"/>
    </xf>
    <xf borderId="5" fillId="3" fontId="6" numFmtId="0" xfId="0" applyAlignment="1" applyBorder="1" applyFont="1">
      <alignment horizontal="center" readingOrder="0" shrinkToFit="0" vertical="center" wrapText="0"/>
    </xf>
    <xf borderId="5" fillId="4" fontId="7" numFmtId="0" xfId="0" applyAlignment="1" applyBorder="1" applyFill="1" applyFont="1">
      <alignment horizontal="center" readingOrder="0" shrinkToFit="0" vertical="center" wrapText="1"/>
    </xf>
    <xf borderId="5" fillId="3" fontId="8" numFmtId="0" xfId="0" applyAlignment="1" applyBorder="1" applyFont="1">
      <alignment horizontal="center" readingOrder="0" vertical="center"/>
    </xf>
    <xf borderId="5" fillId="2" fontId="6" numFmtId="0" xfId="0" applyAlignment="1" applyBorder="1" applyFont="1">
      <alignment horizontal="center" readingOrder="0" vertical="center"/>
    </xf>
    <xf borderId="1" fillId="0" fontId="9" numFmtId="0" xfId="0" applyAlignment="1" applyBorder="1" applyFont="1">
      <alignment horizontal="center" shrinkToFit="0" vertical="center" wrapText="0"/>
    </xf>
    <xf borderId="6" fillId="4" fontId="7" numFmtId="0" xfId="0" applyAlignment="1" applyBorder="1" applyFont="1">
      <alignment horizontal="center" readingOrder="0" shrinkToFit="0" vertical="center" wrapText="1"/>
    </xf>
    <xf borderId="7" fillId="0" fontId="5" numFmtId="0" xfId="0" applyBorder="1" applyFont="1"/>
    <xf borderId="2" fillId="0" fontId="1" numFmtId="0" xfId="0" applyAlignment="1" applyBorder="1" applyFont="1">
      <alignment shrinkToFit="0" vertical="center" wrapText="0"/>
    </xf>
    <xf borderId="8" fillId="0" fontId="10" numFmtId="0" xfId="0" applyAlignment="1" applyBorder="1" applyFont="1">
      <alignment readingOrder="0" vertical="center"/>
    </xf>
    <xf borderId="8" fillId="0" fontId="10" numFmtId="165" xfId="0" applyAlignment="1" applyBorder="1" applyFont="1" applyNumberFormat="1">
      <alignment horizontal="right" readingOrder="0" vertical="center"/>
    </xf>
    <xf borderId="8" fillId="0" fontId="10" numFmtId="165" xfId="0" applyAlignment="1" applyBorder="1" applyFont="1" applyNumberFormat="1">
      <alignment readingOrder="0" shrinkToFit="0" vertical="center" wrapText="0"/>
    </xf>
    <xf borderId="8" fillId="0" fontId="11" numFmtId="166" xfId="0" applyAlignment="1" applyBorder="1" applyFont="1" applyNumberFormat="1">
      <alignment shrinkToFit="0" vertical="center" wrapText="0"/>
    </xf>
    <xf borderId="0" fillId="0" fontId="11" numFmtId="166" xfId="0" applyAlignment="1" applyFont="1" applyNumberFormat="1">
      <alignment shrinkToFit="0" vertical="center" wrapText="0"/>
    </xf>
    <xf borderId="3" fillId="0" fontId="12" numFmtId="0" xfId="0" applyAlignment="1" applyBorder="1" applyFont="1">
      <alignment readingOrder="0" vertical="center"/>
    </xf>
    <xf borderId="8" fillId="0" fontId="10" numFmtId="166" xfId="0" applyAlignment="1" applyBorder="1" applyFont="1" applyNumberFormat="1">
      <alignment readingOrder="0" vertical="center"/>
    </xf>
    <xf borderId="8" fillId="0" fontId="10" numFmtId="166" xfId="0" applyAlignment="1" applyBorder="1" applyFont="1" applyNumberFormat="1">
      <alignment horizontal="right" readingOrder="0" vertical="center"/>
    </xf>
    <xf borderId="8" fillId="0" fontId="10" numFmtId="166" xfId="0" applyAlignment="1" applyBorder="1" applyFont="1" applyNumberFormat="1">
      <alignment readingOrder="0" shrinkToFit="0" vertical="center" wrapText="0"/>
    </xf>
    <xf borderId="9" fillId="0" fontId="10" numFmtId="166" xfId="0" applyAlignment="1" applyBorder="1" applyFont="1" applyNumberFormat="1">
      <alignment readingOrder="0" shrinkToFit="0" vertical="center" wrapText="0"/>
    </xf>
    <xf borderId="10" fillId="0" fontId="5" numFmtId="0" xfId="0" applyBorder="1" applyFont="1"/>
    <xf borderId="0" fillId="0" fontId="10" numFmtId="166" xfId="0" applyAlignment="1" applyFont="1" applyNumberFormat="1">
      <alignment readingOrder="0" shrinkToFit="0" vertical="center" wrapText="0"/>
    </xf>
    <xf borderId="8" fillId="0" fontId="11" numFmtId="165" xfId="0" applyAlignment="1" applyBorder="1" applyFont="1" applyNumberFormat="1">
      <alignment shrinkToFit="0" vertical="center" wrapText="0"/>
    </xf>
    <xf borderId="11" fillId="5" fontId="13" numFmtId="0" xfId="0" applyAlignment="1" applyBorder="1" applyFill="1" applyFont="1">
      <alignment readingOrder="0" vertical="center"/>
    </xf>
    <xf borderId="11" fillId="5" fontId="13" numFmtId="166" xfId="0" applyAlignment="1" applyBorder="1" applyFont="1" applyNumberFormat="1">
      <alignment horizontal="right" readingOrder="0" vertical="center"/>
    </xf>
    <xf borderId="11" fillId="5" fontId="1" numFmtId="166" xfId="0" applyAlignment="1" applyBorder="1" applyFont="1" applyNumberFormat="1">
      <alignment shrinkToFit="0" vertical="center" wrapText="0"/>
    </xf>
    <xf borderId="8" fillId="0" fontId="10" numFmtId="166" xfId="0" applyAlignment="1" applyBorder="1" applyFont="1" applyNumberFormat="1">
      <alignment readingOrder="0" shrinkToFit="0" vertical="bottom" wrapText="0"/>
    </xf>
    <xf borderId="8" fillId="3" fontId="10" numFmtId="166" xfId="0" applyAlignment="1" applyBorder="1" applyFont="1" applyNumberFormat="1">
      <alignment readingOrder="0" shrinkToFit="0" vertical="bottom" wrapText="0"/>
    </xf>
    <xf borderId="12" fillId="2" fontId="7" numFmtId="0" xfId="0" applyAlignment="1" applyBorder="1" applyFont="1">
      <alignment horizontal="center" readingOrder="0" shrinkToFit="0" vertical="center" wrapText="1"/>
    </xf>
    <xf borderId="12" fillId="2" fontId="6" numFmtId="0" xfId="0" applyAlignment="1" applyBorder="1" applyFont="1">
      <alignment horizontal="center" readingOrder="0" shrinkToFit="0" vertical="center" wrapText="0"/>
    </xf>
    <xf borderId="5" fillId="2" fontId="6" numFmtId="0" xfId="0" applyAlignment="1" applyBorder="1" applyFont="1">
      <alignment horizontal="center" readingOrder="0" shrinkToFit="0" vertical="center" wrapText="0"/>
    </xf>
    <xf borderId="13" fillId="0" fontId="10" numFmtId="166" xfId="0" applyAlignment="1" applyBorder="1" applyFont="1" applyNumberFormat="1">
      <alignment readingOrder="0" shrinkToFit="0" vertical="center" wrapText="0"/>
    </xf>
    <xf borderId="14" fillId="0" fontId="10" numFmtId="166" xfId="0" applyAlignment="1" applyBorder="1" applyFont="1" applyNumberFormat="1">
      <alignment readingOrder="0" shrinkToFit="0" vertical="center" wrapText="0"/>
    </xf>
    <xf borderId="15" fillId="0" fontId="10" numFmtId="166" xfId="0" applyAlignment="1" applyBorder="1" applyFont="1" applyNumberFormat="1">
      <alignment readingOrder="0" shrinkToFit="0" vertical="center" wrapText="0"/>
    </xf>
    <xf borderId="11" fillId="5" fontId="1" numFmtId="166" xfId="0" applyAlignment="1" applyBorder="1" applyFont="1" applyNumberFormat="1">
      <alignment readingOrder="0" vertical="center"/>
    </xf>
    <xf borderId="11" fillId="5" fontId="1" numFmtId="167" xfId="0" applyAlignment="1" applyBorder="1" applyFont="1" applyNumberFormat="1">
      <alignment horizontal="right" readingOrder="0" vertical="center"/>
    </xf>
    <xf borderId="11" fillId="5" fontId="1" numFmtId="167" xfId="0" applyAlignment="1" applyBorder="1" applyFont="1" applyNumberFormat="1">
      <alignment shrinkToFit="0" vertical="center" wrapText="0"/>
    </xf>
    <xf borderId="1" fillId="0" fontId="13" numFmtId="0" xfId="0" applyAlignment="1" applyBorder="1" applyFont="1">
      <alignment shrinkToFit="0" vertical="center" wrapText="0"/>
    </xf>
    <xf borderId="1" fillId="0" fontId="3" numFmtId="0" xfId="0" applyBorder="1" applyFont="1"/>
    <xf borderId="1" fillId="3" fontId="14" numFmtId="0" xfId="0" applyAlignment="1" applyBorder="1" applyFont="1">
      <alignment readingOrder="0" vertical="center"/>
    </xf>
    <xf borderId="2" fillId="3" fontId="9" numFmtId="167" xfId="0" applyAlignment="1" applyBorder="1" applyFont="1" applyNumberFormat="1">
      <alignment horizontal="right" readingOrder="0" vertical="center"/>
    </xf>
    <xf borderId="2" fillId="2" fontId="15" numFmtId="0" xfId="0" applyAlignment="1" applyBorder="1" applyFont="1">
      <alignment readingOrder="0" vertical="center"/>
    </xf>
    <xf borderId="3" fillId="2" fontId="15" numFmtId="167" xfId="0" applyAlignment="1" applyBorder="1" applyFont="1" applyNumberFormat="1">
      <alignment horizontal="center" vertical="center"/>
    </xf>
    <xf borderId="2" fillId="6" fontId="4" numFmtId="0" xfId="0" applyAlignment="1" applyBorder="1" applyFill="1" applyFont="1">
      <alignment horizontal="center" readingOrder="0" shrinkToFit="0" vertical="center" wrapText="0"/>
    </xf>
    <xf borderId="8" fillId="0" fontId="16" numFmtId="165" xfId="0" applyAlignment="1" applyBorder="1" applyFont="1" applyNumberFormat="1">
      <alignment readingOrder="0" shrinkToFit="0" vertical="center" wrapText="0"/>
    </xf>
    <xf borderId="0" fillId="0" fontId="17" numFmtId="166" xfId="0" applyAlignment="1" applyFont="1" applyNumberFormat="1">
      <alignment shrinkToFit="0" vertical="center" wrapText="0"/>
    </xf>
    <xf borderId="5" fillId="0" fontId="1" numFmtId="0" xfId="0" applyAlignment="1" applyBorder="1" applyFont="1">
      <alignment shrinkToFit="0" vertical="center" wrapText="0"/>
    </xf>
    <xf borderId="16" fillId="7" fontId="4" numFmtId="0" xfId="0" applyAlignment="1" applyBorder="1" applyFill="1" applyFont="1">
      <alignment horizontal="center" readingOrder="0" shrinkToFit="0" vertical="center" wrapText="0"/>
    </xf>
    <xf borderId="17" fillId="0" fontId="5" numFmtId="0" xfId="0" applyBorder="1" applyFont="1"/>
    <xf borderId="18" fillId="0" fontId="5" numFmtId="0" xfId="0" applyBorder="1" applyFont="1"/>
    <xf borderId="4" fillId="0" fontId="2" numFmtId="0" xfId="0" applyAlignment="1" applyBorder="1" applyFont="1">
      <alignment vertical="center"/>
    </xf>
    <xf borderId="19" fillId="8" fontId="6" numFmtId="0" xfId="0" applyAlignment="1" applyBorder="1" applyFill="1" applyFont="1">
      <alignment horizontal="center" readingOrder="0" vertical="center"/>
    </xf>
    <xf borderId="19" fillId="8" fontId="6" numFmtId="0" xfId="0" applyAlignment="1" applyBorder="1" applyFont="1">
      <alignment horizontal="center" readingOrder="0" shrinkToFit="0" vertical="center" wrapText="0"/>
    </xf>
    <xf borderId="19" fillId="9" fontId="18" numFmtId="0" xfId="0" applyAlignment="1" applyBorder="1" applyFill="1" applyFont="1">
      <alignment horizontal="center" readingOrder="0" shrinkToFit="0" vertical="center" wrapText="1"/>
    </xf>
    <xf borderId="19" fillId="8" fontId="8" numFmtId="0" xfId="0" applyAlignment="1" applyBorder="1" applyFont="1">
      <alignment horizontal="center" readingOrder="0" vertical="center"/>
    </xf>
    <xf borderId="20" fillId="0" fontId="9" numFmtId="0" xfId="0" applyAlignment="1" applyBorder="1" applyFont="1">
      <alignment horizontal="center" shrinkToFit="0" vertical="center" wrapText="0"/>
    </xf>
    <xf borderId="16" fillId="9" fontId="18" numFmtId="0" xfId="0" applyAlignment="1" applyBorder="1" applyFont="1">
      <alignment horizontal="center" readingOrder="0" shrinkToFit="0" vertical="center" wrapText="1"/>
    </xf>
    <xf borderId="19" fillId="0" fontId="19" numFmtId="0" xfId="0" applyAlignment="1" applyBorder="1" applyFont="1">
      <alignment readingOrder="0" vertical="center"/>
    </xf>
    <xf borderId="19" fillId="0" fontId="19" numFmtId="165" xfId="0" applyAlignment="1" applyBorder="1" applyFont="1" applyNumberFormat="1">
      <alignment horizontal="right" readingOrder="0" vertical="center"/>
    </xf>
    <xf borderId="8" fillId="0" fontId="20" numFmtId="165" xfId="0" applyAlignment="1" applyBorder="1" applyFont="1" applyNumberFormat="1">
      <alignment horizontal="right"/>
    </xf>
    <xf borderId="19" fillId="0" fontId="16" numFmtId="165" xfId="0" applyAlignment="1" applyBorder="1" applyFont="1" applyNumberFormat="1">
      <alignment readingOrder="0" shrinkToFit="0" vertical="center" wrapText="0"/>
    </xf>
    <xf borderId="19" fillId="0" fontId="21" numFmtId="166" xfId="0" applyAlignment="1" applyBorder="1" applyFont="1" applyNumberFormat="1">
      <alignment shrinkToFit="0" vertical="center" wrapText="0"/>
    </xf>
    <xf borderId="19" fillId="10" fontId="19" numFmtId="166" xfId="0" applyAlignment="1" applyBorder="1" applyFill="1" applyFont="1" applyNumberFormat="1">
      <alignment readingOrder="0" vertical="center"/>
    </xf>
    <xf borderId="19" fillId="10" fontId="19" numFmtId="166" xfId="0" applyAlignment="1" applyBorder="1" applyFont="1" applyNumberFormat="1">
      <alignment horizontal="right" readingOrder="0" vertical="center"/>
    </xf>
    <xf borderId="19" fillId="10" fontId="19" numFmtId="166" xfId="0" applyAlignment="1" applyBorder="1" applyFont="1" applyNumberFormat="1">
      <alignment readingOrder="0" shrinkToFit="0" vertical="center" wrapText="0"/>
    </xf>
    <xf borderId="16" fillId="10" fontId="19" numFmtId="166" xfId="0" applyAlignment="1" applyBorder="1" applyFont="1" applyNumberFormat="1">
      <alignment readingOrder="0" shrinkToFit="0" vertical="center" wrapText="0"/>
    </xf>
    <xf borderId="18" fillId="10" fontId="5" numFmtId="0" xfId="0" applyBorder="1" applyFont="1"/>
    <xf borderId="19" fillId="10" fontId="21" numFmtId="166" xfId="0" applyAlignment="1" applyBorder="1" applyFont="1" applyNumberFormat="1">
      <alignment shrinkToFit="0" vertical="center" wrapText="0"/>
    </xf>
    <xf borderId="19" fillId="0" fontId="19" numFmtId="166" xfId="0" applyAlignment="1" applyBorder="1" applyFont="1" applyNumberFormat="1">
      <alignment readingOrder="0" shrinkToFit="0" vertical="center" wrapText="0"/>
    </xf>
    <xf borderId="19" fillId="0" fontId="19" numFmtId="165" xfId="0" applyAlignment="1" applyBorder="1" applyFont="1" applyNumberFormat="1">
      <alignment readingOrder="0" shrinkToFit="0" vertical="center" wrapText="0"/>
    </xf>
    <xf borderId="19" fillId="11" fontId="19" numFmtId="166" xfId="0" applyAlignment="1" applyBorder="1" applyFill="1" applyFont="1" applyNumberFormat="1">
      <alignment readingOrder="0" vertical="center"/>
    </xf>
    <xf borderId="19" fillId="11" fontId="19" numFmtId="166" xfId="0" applyAlignment="1" applyBorder="1" applyFont="1" applyNumberFormat="1">
      <alignment horizontal="right" readingOrder="0" vertical="center"/>
    </xf>
    <xf borderId="19" fillId="11" fontId="19" numFmtId="166" xfId="0" applyAlignment="1" applyBorder="1" applyFont="1" applyNumberFormat="1">
      <alignment readingOrder="0" shrinkToFit="0" vertical="center" wrapText="0"/>
    </xf>
    <xf borderId="16" fillId="11" fontId="19" numFmtId="166" xfId="0" applyAlignment="1" applyBorder="1" applyFont="1" applyNumberFormat="1">
      <alignment readingOrder="0" shrinkToFit="0" vertical="center" wrapText="0"/>
    </xf>
    <xf borderId="18" fillId="11" fontId="5" numFmtId="0" xfId="0" applyBorder="1" applyFont="1"/>
    <xf borderId="19" fillId="11" fontId="21" numFmtId="166" xfId="0" applyAlignment="1" applyBorder="1" applyFont="1" applyNumberFormat="1">
      <alignment shrinkToFit="0" vertical="center" wrapText="0"/>
    </xf>
    <xf borderId="8" fillId="0" fontId="20" numFmtId="165" xfId="0" applyAlignment="1" applyBorder="1" applyFont="1" applyNumberFormat="1">
      <alignment horizontal="right" readingOrder="0"/>
    </xf>
    <xf borderId="19" fillId="10" fontId="22" numFmtId="166" xfId="0" applyAlignment="1" applyBorder="1" applyFont="1" applyNumberFormat="1">
      <alignment readingOrder="0" vertical="center"/>
    </xf>
    <xf borderId="19" fillId="5" fontId="19" numFmtId="0" xfId="0" applyAlignment="1" applyBorder="1" applyFont="1">
      <alignment readingOrder="0" vertical="center"/>
    </xf>
    <xf borderId="19" fillId="5" fontId="19" numFmtId="166" xfId="0" applyAlignment="1" applyBorder="1" applyFont="1" applyNumberFormat="1">
      <alignment horizontal="right" readingOrder="0" vertical="center"/>
    </xf>
    <xf borderId="19" fillId="5" fontId="21" numFmtId="166" xfId="0" applyAlignment="1" applyBorder="1" applyFont="1" applyNumberFormat="1">
      <alignment shrinkToFit="0" vertical="center" wrapText="0"/>
    </xf>
    <xf borderId="19" fillId="11" fontId="19" numFmtId="166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center" wrapText="0"/>
    </xf>
    <xf borderId="21" fillId="0" fontId="1" numFmtId="0" xfId="0" applyAlignment="1" applyBorder="1" applyFont="1">
      <alignment shrinkToFit="0" vertical="center" wrapText="0"/>
    </xf>
    <xf borderId="19" fillId="10" fontId="19" numFmtId="166" xfId="0" applyAlignment="1" applyBorder="1" applyFont="1" applyNumberFormat="1">
      <alignment readingOrder="0" shrinkToFit="0" vertical="bottom" wrapText="0"/>
    </xf>
    <xf borderId="19" fillId="12" fontId="19" numFmtId="166" xfId="0" applyAlignment="1" applyBorder="1" applyFill="1" applyFont="1" applyNumberFormat="1">
      <alignment readingOrder="0" shrinkToFit="0" vertical="bottom" wrapText="0"/>
    </xf>
    <xf borderId="19" fillId="12" fontId="23" numFmtId="0" xfId="0" applyAlignment="1" applyBorder="1" applyFont="1">
      <alignment horizontal="center" readingOrder="0" shrinkToFit="0" vertical="center" wrapText="0"/>
    </xf>
    <xf borderId="19" fillId="12" fontId="24" numFmtId="0" xfId="0" applyAlignment="1" applyBorder="1" applyFont="1">
      <alignment horizontal="center" readingOrder="0" shrinkToFit="0" vertical="center" wrapText="1"/>
    </xf>
    <xf borderId="19" fillId="0" fontId="19" numFmtId="166" xfId="0" applyAlignment="1" applyBorder="1" applyFont="1" applyNumberFormat="1">
      <alignment readingOrder="0" shrinkToFit="0" vertical="bottom" wrapText="0"/>
    </xf>
    <xf borderId="19" fillId="5" fontId="21" numFmtId="166" xfId="0" applyAlignment="1" applyBorder="1" applyFont="1" applyNumberFormat="1">
      <alignment readingOrder="0" vertical="center"/>
    </xf>
    <xf borderId="19" fillId="5" fontId="21" numFmtId="167" xfId="0" applyAlignment="1" applyBorder="1" applyFont="1" applyNumberFormat="1">
      <alignment horizontal="right" readingOrder="0" vertical="center"/>
    </xf>
    <xf borderId="19" fillId="5" fontId="21" numFmtId="167" xfId="0" applyAlignment="1" applyBorder="1" applyFont="1" applyNumberFormat="1">
      <alignment shrinkToFit="0" vertical="center" wrapText="0"/>
    </xf>
    <xf borderId="5" fillId="0" fontId="13" numFmtId="0" xfId="0" applyAlignment="1" applyBorder="1" applyFont="1">
      <alignment shrinkToFit="0" vertical="center" wrapText="0"/>
    </xf>
    <xf borderId="12" fillId="0" fontId="3" numFmtId="0" xfId="0" applyBorder="1" applyFont="1"/>
    <xf borderId="2" fillId="0" fontId="3" numFmtId="0" xfId="0" applyAlignment="1" applyBorder="1" applyFont="1">
      <alignment vertical="center"/>
    </xf>
    <xf borderId="16" fillId="7" fontId="15" numFmtId="0" xfId="0" applyAlignment="1" applyBorder="1" applyFont="1">
      <alignment readingOrder="0" vertical="center"/>
    </xf>
    <xf borderId="16" fillId="7" fontId="25" numFmtId="166" xfId="0" applyAlignment="1" applyBorder="1" applyFont="1" applyNumberFormat="1">
      <alignment horizontal="center" vertical="center"/>
    </xf>
    <xf borderId="4" fillId="0" fontId="3" numFmtId="0" xfId="0" applyAlignment="1" applyBorder="1" applyFont="1">
      <alignment vertical="center"/>
    </xf>
    <xf borderId="11" fillId="0" fontId="3" numFmtId="0" xfId="0" applyAlignment="1" applyBorder="1" applyFont="1">
      <alignment vertical="center"/>
    </xf>
    <xf borderId="19" fillId="0" fontId="21" numFmtId="165" xfId="0" applyAlignment="1" applyBorder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E8E7FC"/>
          <bgColor rgb="FFE8E7F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4C3F7"/>
          <bgColor rgb="FFC4C3F7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4">
    <tableStyle count="4" pivot="0" name="Nov2025-style">
      <tableStyleElement dxfId="1" type="headerRow"/>
      <tableStyleElement dxfId="2" type="firstRowStripe"/>
      <tableStyleElement dxfId="1" type="secondRowStripe"/>
      <tableStyleElement dxfId="3" type="totalRow"/>
    </tableStyle>
    <tableStyle count="4" pivot="0" name="Nov2025-style 2">
      <tableStyleElement dxfId="4" type="headerRow"/>
      <tableStyleElement dxfId="2" type="firstRowStripe"/>
      <tableStyleElement dxfId="1" type="secondRowStripe"/>
      <tableStyleElement dxfId="3" type="totalRow"/>
    </tableStyle>
    <tableStyle count="4" pivot="0" name="Dic2025-style">
      <tableStyleElement dxfId="1" type="headerRow"/>
      <tableStyleElement dxfId="2" type="firstRowStripe"/>
      <tableStyleElement dxfId="1" type="secondRowStripe"/>
      <tableStyleElement dxfId="3" type="totalRow"/>
    </tableStyle>
    <tableStyle count="4" pivot="0" name="Dic2025-style 2">
      <tableStyleElement dxfId="4" type="headerRow"/>
      <tableStyleElement dxfId="2" type="firstRowStripe"/>
      <tableStyleElement dxfId="1" type="secondRowStripe"/>
      <tableStyleElement dxfId="3" type="totalRow"/>
    </tableStyle>
    <tableStyle count="4" pivot="0" name="Ene2026-style">
      <tableStyleElement dxfId="1" type="headerRow"/>
      <tableStyleElement dxfId="2" type="firstRowStripe"/>
      <tableStyleElement dxfId="1" type="secondRowStripe"/>
      <tableStyleElement dxfId="3" type="totalRow"/>
    </tableStyle>
    <tableStyle count="4" pivot="0" name="Ene2026-style 2">
      <tableStyleElement dxfId="4" type="headerRow"/>
      <tableStyleElement dxfId="2" type="firstRowStripe"/>
      <tableStyleElement dxfId="1" type="secondRowStripe"/>
      <tableStyleElement dxfId="3" type="totalRow"/>
    </tableStyle>
    <tableStyle count="4" pivot="0" name="Feb2026-style">
      <tableStyleElement dxfId="1" type="headerRow"/>
      <tableStyleElement dxfId="2" type="firstRowStripe"/>
      <tableStyleElement dxfId="1" type="secondRowStripe"/>
      <tableStyleElement dxfId="3" type="totalRow"/>
    </tableStyle>
    <tableStyle count="4" pivot="0" name="Feb2026-style 2">
      <tableStyleElement dxfId="4" type="headerRow"/>
      <tableStyleElement dxfId="2" type="firstRowStripe"/>
      <tableStyleElement dxfId="1" type="secondRowStripe"/>
      <tableStyleElement dxfId="3" type="totalRow"/>
    </tableStyle>
    <tableStyle count="4" pivot="0" name="Mar2026-style">
      <tableStyleElement dxfId="1" type="headerRow"/>
      <tableStyleElement dxfId="2" type="firstRowStripe"/>
      <tableStyleElement dxfId="1" type="secondRowStripe"/>
      <tableStyleElement dxfId="3" type="totalRow"/>
    </tableStyle>
    <tableStyle count="4" pivot="0" name="Mar2026-style 2">
      <tableStyleElement dxfId="4" type="headerRow"/>
      <tableStyleElement dxfId="2" type="firstRowStripe"/>
      <tableStyleElement dxfId="1" type="secondRowStripe"/>
      <tableStyleElement dxfId="3" type="totalRow"/>
    </tableStyle>
    <tableStyle count="4" pivot="0" name="Abr2026-style">
      <tableStyleElement dxfId="1" type="headerRow"/>
      <tableStyleElement dxfId="2" type="firstRowStripe"/>
      <tableStyleElement dxfId="1" type="secondRowStripe"/>
      <tableStyleElement dxfId="3" type="totalRow"/>
    </tableStyle>
    <tableStyle count="4" pivot="0" name="Abr2026-style 2">
      <tableStyleElement dxfId="4" type="headerRow"/>
      <tableStyleElement dxfId="2" type="firstRowStripe"/>
      <tableStyleElement dxfId="1" type="secondRowStripe"/>
      <tableStyleElement dxfId="3" type="totalRow"/>
    </tableStyle>
    <tableStyle count="4" pivot="0" name="May2026-style">
      <tableStyleElement dxfId="1" type="headerRow"/>
      <tableStyleElement dxfId="2" type="firstRowStripe"/>
      <tableStyleElement dxfId="1" type="secondRowStripe"/>
      <tableStyleElement dxfId="3" type="totalRow"/>
    </tableStyle>
    <tableStyle count="4" pivot="0" name="May2026-style 2">
      <tableStyleElement dxfId="4" type="headerRow"/>
      <tableStyleElement dxfId="2" type="firstRowStripe"/>
      <tableStyleElement dxfId="1" type="secondRowStripe"/>
      <tableStyleElement dxfId="3" type="totalRow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headerRowCount="0" ref="B4:I11" displayName="Table_1" name="Table_1" id="1">
  <tableColumns count="8">
    <tableColumn totalsRowLabel="TOTAL" name="Column1" id="1"/>
    <tableColumn totalsRowFunction="custom" name="Column2" id="2"/>
    <tableColumn totalsRowFunction="custom" name="Column3" id="3"/>
    <tableColumn totalsRowFunction="custom" name="Column4" id="4"/>
    <tableColumn totalsRowFunction="custom" name="Column5" id="5"/>
    <tableColumn totalsRowFunction="custom" name="Column6" id="6"/>
    <tableColumn totalsRowFunction="custom" name="Column7" id="7"/>
    <tableColumn totalsRowFunction="custom" name="Column8" id="8"/>
  </tableColumns>
  <tableStyleInfo name="Nov2025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totalsRowCount="1" headerRowCount="0" ref="K14:P15" displayName="Table_2" name="Table_2" id="2">
  <tableColumns count="6">
    <tableColumn totalsRowLabel="TOTAL" name="Column1" id="1"/>
    <tableColumn totalsRowFunction="custom" name="Column2" id="2"/>
    <tableColumn totalsRowFunction="custom" name="Column3" id="3"/>
    <tableColumn totalsRowFunction="custom" name="Column4" id="4"/>
    <tableColumn name="Column5" id="5"/>
    <tableColumn totalsRowFunction="custom" name="Column6" id="6"/>
  </tableColumns>
  <tableStyleInfo name="Nov2025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totalsRowCount="1" headerRowCount="0" ref="B4:I11" displayName="Table_3" name="Table_3" id="3">
  <tableColumns count="8">
    <tableColumn totalsRowLabel="TOTAL" name="Column1" id="1"/>
    <tableColumn totalsRowFunction="custom" name="Column2" id="2"/>
    <tableColumn totalsRowFunction="custom" name="Column3" id="3"/>
    <tableColumn totalsRowFunction="custom" name="Column4" id="4"/>
    <tableColumn totalsRowFunction="custom" name="Column5" id="5"/>
    <tableColumn totalsRowFunction="custom" name="Column6" id="6"/>
    <tableColumn totalsRowFunction="custom" name="Column7" id="7"/>
    <tableColumn totalsRowFunction="custom" name="Column8" id="8"/>
  </tableColumns>
  <tableStyleInfo name="Dic2025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totalsRowCount="1" headerRowCount="0" ref="K14:P15" displayName="Table_4" name="Table_4" id="4">
  <tableColumns count="6">
    <tableColumn totalsRowLabel="TOTAL" name="Column1" id="1"/>
    <tableColumn totalsRowFunction="custom" name="Column2" id="2"/>
    <tableColumn totalsRowFunction="custom" name="Column3" id="3"/>
    <tableColumn totalsRowFunction="custom" name="Column4" id="4"/>
    <tableColumn name="Column5" id="5"/>
    <tableColumn totalsRowFunction="custom" name="Column6" id="6"/>
  </tableColumns>
  <tableStyleInfo name="Dic2025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totalsRowCount="1" headerRowCount="0" ref="B4:I11" displayName="Table_5" name="Table_5" id="5">
  <tableColumns count="8">
    <tableColumn totalsRowLabel="TOTAL" name="Column1" id="1"/>
    <tableColumn totalsRowFunction="custom" name="Column2" id="2"/>
    <tableColumn totalsRowFunction="custom" name="Column3" id="3"/>
    <tableColumn totalsRowFunction="custom" name="Column4" id="4"/>
    <tableColumn totalsRowFunction="custom" name="Column5" id="5"/>
    <tableColumn totalsRowFunction="custom" name="Column6" id="6"/>
    <tableColumn totalsRowFunction="custom" name="Column7" id="7"/>
    <tableColumn totalsRowFunction="custom" name="Column8" id="8"/>
  </tableColumns>
  <tableStyleInfo name="Ene2026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totalsRowCount="1" headerRowCount="0" ref="K14:P15" displayName="Table_6" name="Table_6" id="6">
  <tableColumns count="6">
    <tableColumn totalsRowLabel="TOTAL" name="Column1" id="1"/>
    <tableColumn totalsRowFunction="custom" name="Column2" id="2"/>
    <tableColumn totalsRowFunction="custom" name="Column3" id="3"/>
    <tableColumn totalsRowFunction="custom" name="Column4" id="4"/>
    <tableColumn name="Column5" id="5"/>
    <tableColumn totalsRowFunction="custom" name="Column6" id="6"/>
  </tableColumns>
  <tableStyleInfo name="Ene2026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totalsRowCount="1" headerRowCount="0" ref="B4:I11" displayName="Table_7" name="Table_7" id="7">
  <tableColumns count="8">
    <tableColumn totalsRowLabel="TOTAL" name="Column1" id="1"/>
    <tableColumn totalsRowFunction="custom" name="Column2" id="2"/>
    <tableColumn totalsRowFunction="custom" name="Column3" id="3"/>
    <tableColumn totalsRowFunction="custom" name="Column4" id="4"/>
    <tableColumn totalsRowFunction="custom" name="Column5" id="5"/>
    <tableColumn totalsRowFunction="custom" name="Column6" id="6"/>
    <tableColumn totalsRowFunction="custom" name="Column7" id="7"/>
    <tableColumn totalsRowFunction="custom" name="Column8" id="8"/>
  </tableColumns>
  <tableStyleInfo name="Feb2026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totalsRowCount="1" headerRowCount="0" ref="K14:P15" displayName="Table_8" name="Table_8" id="8">
  <tableColumns count="6">
    <tableColumn totalsRowLabel="TOTAL" name="Column1" id="1"/>
    <tableColumn totalsRowFunction="custom" name="Column2" id="2"/>
    <tableColumn totalsRowFunction="custom" name="Column3" id="3"/>
    <tableColumn totalsRowFunction="custom" name="Column4" id="4"/>
    <tableColumn name="Column5" id="5"/>
    <tableColumn totalsRowFunction="custom" name="Column6" id="6"/>
  </tableColumns>
  <tableStyleInfo name="Feb2026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.xml><?xml version="1.0" encoding="utf-8"?>
<table xmlns="http://schemas.openxmlformats.org/spreadsheetml/2006/main" totalsRowCount="1" headerRowCount="0" ref="B4:I11" displayName="Table_9" name="Table_9" id="9">
  <tableColumns count="8">
    <tableColumn totalsRowLabel="TOTAL" name="Column1" id="1"/>
    <tableColumn totalsRowFunction="custom" name="Column2" id="2"/>
    <tableColumn totalsRowFunction="custom" name="Column3" id="3"/>
    <tableColumn totalsRowFunction="custom" name="Column4" id="4"/>
    <tableColumn totalsRowFunction="custom" name="Column5" id="5"/>
    <tableColumn totalsRowFunction="custom" name="Column6" id="6"/>
    <tableColumn totalsRowFunction="custom" name="Column7" id="7"/>
    <tableColumn totalsRowFunction="custom" name="Column8" id="8"/>
  </tableColumns>
  <tableStyleInfo name="Mar2026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.xml><?xml version="1.0" encoding="utf-8"?>
<table xmlns="http://schemas.openxmlformats.org/spreadsheetml/2006/main" totalsRowCount="1" headerRowCount="0" ref="K14:P15" displayName="Table_10" name="Table_10" id="10">
  <tableColumns count="6">
    <tableColumn totalsRowLabel="TOTAL" name="Column1" id="1"/>
    <tableColumn totalsRowFunction="custom" name="Column2" id="2"/>
    <tableColumn totalsRowFunction="custom" name="Column3" id="3"/>
    <tableColumn totalsRowFunction="custom" name="Column4" id="4"/>
    <tableColumn name="Column5" id="5"/>
    <tableColumn totalsRowFunction="custom" name="Column6" id="6"/>
  </tableColumns>
  <tableStyleInfo name="Mar2026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.xml><?xml version="1.0" encoding="utf-8"?>
<table xmlns="http://schemas.openxmlformats.org/spreadsheetml/2006/main" totalsRowCount="1" headerRowCount="0" ref="B4:I11" displayName="Table_11" name="Table_11" id="11">
  <tableColumns count="8">
    <tableColumn totalsRowLabel="TOTAL" name="Column1" id="1"/>
    <tableColumn totalsRowFunction="custom" name="Column2" id="2"/>
    <tableColumn totalsRowFunction="custom" name="Column3" id="3"/>
    <tableColumn totalsRowFunction="custom" name="Column4" id="4"/>
    <tableColumn totalsRowFunction="custom" name="Column5" id="5"/>
    <tableColumn totalsRowFunction="custom" name="Column6" id="6"/>
    <tableColumn totalsRowFunction="custom" name="Column7" id="7"/>
    <tableColumn totalsRowFunction="custom" name="Column8" id="8"/>
  </tableColumns>
  <tableStyleInfo name="Abr2026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2.xml><?xml version="1.0" encoding="utf-8"?>
<table xmlns="http://schemas.openxmlformats.org/spreadsheetml/2006/main" totalsRowCount="1" headerRowCount="0" ref="K14:P15" displayName="Table_12" name="Table_12" id="12">
  <tableColumns count="6">
    <tableColumn totalsRowLabel="TOTAL" name="Column1" id="1"/>
    <tableColumn totalsRowFunction="custom" name="Column2" id="2"/>
    <tableColumn totalsRowFunction="custom" name="Column3" id="3"/>
    <tableColumn totalsRowFunction="custom" name="Column4" id="4"/>
    <tableColumn name="Column5" id="5"/>
    <tableColumn totalsRowFunction="custom" name="Column6" id="6"/>
  </tableColumns>
  <tableStyleInfo name="Abr2026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3.xml><?xml version="1.0" encoding="utf-8"?>
<table xmlns="http://schemas.openxmlformats.org/spreadsheetml/2006/main" totalsRowCount="1" headerRowCount="0" ref="B4:I11" displayName="Table_13" name="Table_13" id="13">
  <tableColumns count="8">
    <tableColumn totalsRowLabel="TOTAL" name="Column1" id="1"/>
    <tableColumn totalsRowFunction="custom" name="Column2" id="2"/>
    <tableColumn totalsRowFunction="custom" name="Column3" id="3"/>
    <tableColumn totalsRowFunction="custom" name="Column4" id="4"/>
    <tableColumn totalsRowFunction="custom" name="Column5" id="5"/>
    <tableColumn totalsRowFunction="custom" name="Column6" id="6"/>
    <tableColumn totalsRowFunction="custom" name="Column7" id="7"/>
    <tableColumn totalsRowFunction="custom" name="Column8" id="8"/>
  </tableColumns>
  <tableStyleInfo name="May2026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4.xml><?xml version="1.0" encoding="utf-8"?>
<table xmlns="http://schemas.openxmlformats.org/spreadsheetml/2006/main" totalsRowCount="1" headerRowCount="0" ref="K14:P15" displayName="Table_14" name="Table_14" id="14">
  <tableColumns count="6">
    <tableColumn totalsRowLabel="TOTAL" name="Column1" id="1"/>
    <tableColumn totalsRowFunction="custom" name="Column2" id="2"/>
    <tableColumn totalsRowFunction="custom" name="Column3" id="3"/>
    <tableColumn totalsRowFunction="custom" name="Column4" id="4"/>
    <tableColumn name="Column5" id="5"/>
    <tableColumn totalsRowFunction="custom" name="Column6" id="6"/>
  </tableColumns>
  <tableStyleInfo name="May2026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Relationship Id="rId6" Type="http://schemas.openxmlformats.org/officeDocument/2006/relationships/table" Target="../tables/table1.xml"/><Relationship Id="rId7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Relationship Id="rId6" Type="http://schemas.openxmlformats.org/officeDocument/2006/relationships/table" Target="../tables/table3.xml"/><Relationship Id="rId7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<Relationship Id="rId6" Type="http://schemas.openxmlformats.org/officeDocument/2006/relationships/table" Target="../tables/table5.xml"/><Relationship Id="rId7" Type="http://schemas.openxmlformats.org/officeDocument/2006/relationships/table" Target="../tables/table6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6.vml"/><Relationship Id="rId6" Type="http://schemas.openxmlformats.org/officeDocument/2006/relationships/table" Target="../tables/table7.xml"/><Relationship Id="rId7" Type="http://schemas.openxmlformats.org/officeDocument/2006/relationships/table" Target="../tables/table8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7.vml"/><Relationship Id="rId6" Type="http://schemas.openxmlformats.org/officeDocument/2006/relationships/table" Target="../tables/table9.xml"/><Relationship Id="rId7" Type="http://schemas.openxmlformats.org/officeDocument/2006/relationships/table" Target="../tables/table10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8.vml"/><Relationship Id="rId6" Type="http://schemas.openxmlformats.org/officeDocument/2006/relationships/table" Target="../tables/table11.xml"/><Relationship Id="rId7" Type="http://schemas.openxmlformats.org/officeDocument/2006/relationships/table" Target="../tables/table12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9.vml"/><Relationship Id="rId6" Type="http://schemas.openxmlformats.org/officeDocument/2006/relationships/table" Target="../tables/table13.xml"/><Relationship Id="rId7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/>
  </sheetViews>
  <sheetFormatPr customHeight="1" defaultColWidth="12.63" defaultRowHeight="15.75"/>
  <cols>
    <col customWidth="1" min="1" max="1" width="0.63"/>
    <col customWidth="1" min="2" max="2" width="14.25"/>
    <col customWidth="1" min="3" max="3" width="8.75"/>
    <col customWidth="1" min="4" max="4" width="11.5"/>
    <col customWidth="1" min="5" max="5" width="12.0"/>
    <col customWidth="1" min="6" max="6" width="9.5"/>
    <col customWidth="1" min="7" max="7" width="8.88"/>
    <col customWidth="1" min="8" max="8" width="8.0"/>
    <col customWidth="1" min="9" max="9" width="10.5"/>
    <col customWidth="1" min="10" max="10" width="2.25"/>
    <col customWidth="1" min="11" max="11" width="13.13"/>
    <col customWidth="1" min="12" max="12" width="10.5"/>
    <col customWidth="1" min="13" max="13" width="10.0"/>
    <col customWidth="1" min="14" max="14" width="7.88"/>
    <col customWidth="1" min="15" max="15" width="6.38"/>
    <col customWidth="1" min="16" max="16" width="10.38"/>
    <col customWidth="1" min="17" max="17" width="18.25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3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2"/>
      <c r="B2" s="5">
        <v>45901.0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7"/>
      <c r="Q2" s="3"/>
      <c r="R2" s="3"/>
      <c r="S2" s="3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>
      <c r="A3" s="2"/>
      <c r="B3" s="8" t="s">
        <v>0</v>
      </c>
      <c r="C3" s="9" t="s">
        <v>1</v>
      </c>
      <c r="D3" s="9" t="s">
        <v>2</v>
      </c>
      <c r="E3" s="10" t="s">
        <v>3</v>
      </c>
      <c r="F3" s="11" t="s">
        <v>4</v>
      </c>
      <c r="G3" s="12" t="s">
        <v>5</v>
      </c>
      <c r="H3" s="12" t="s">
        <v>6</v>
      </c>
      <c r="I3" s="12" t="s">
        <v>7</v>
      </c>
      <c r="J3" s="13"/>
      <c r="K3" s="11" t="s">
        <v>8</v>
      </c>
      <c r="L3" s="9" t="s">
        <v>1</v>
      </c>
      <c r="M3" s="9" t="s">
        <v>9</v>
      </c>
      <c r="N3" s="14" t="s">
        <v>3</v>
      </c>
      <c r="O3" s="15"/>
      <c r="P3" s="11" t="s">
        <v>4</v>
      </c>
      <c r="Q3" s="3"/>
      <c r="R3" s="3"/>
      <c r="S3" s="3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>
      <c r="A4" s="16"/>
      <c r="B4" s="17" t="s">
        <v>10</v>
      </c>
      <c r="C4" s="18">
        <v>61.0</v>
      </c>
      <c r="D4" s="18"/>
      <c r="E4" s="19">
        <v>100.0</v>
      </c>
      <c r="F4" s="20">
        <f t="shared" ref="F4:F10" si="1">C4+D4-E4</f>
        <v>-39</v>
      </c>
      <c r="G4" s="21"/>
      <c r="H4" s="21"/>
      <c r="I4" s="21">
        <f t="shared" ref="I4:I10" si="2">F4-G4-H4</f>
        <v>-39</v>
      </c>
      <c r="J4" s="22"/>
      <c r="K4" s="23" t="s">
        <v>11</v>
      </c>
      <c r="L4" s="24">
        <v>345.6</v>
      </c>
      <c r="M4" s="25">
        <v>36.08</v>
      </c>
      <c r="N4" s="26"/>
      <c r="O4" s="27"/>
      <c r="P4" s="20">
        <f t="shared" ref="P4:P13" si="3">(L4+M4)-N4</f>
        <v>381.68</v>
      </c>
      <c r="Q4" s="22"/>
      <c r="R4" s="3"/>
      <c r="S4" s="3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</row>
    <row r="5">
      <c r="A5" s="16"/>
      <c r="B5" s="17" t="s">
        <v>12</v>
      </c>
      <c r="C5" s="18">
        <v>700.0</v>
      </c>
      <c r="D5" s="18"/>
      <c r="E5" s="19">
        <v>500.0</v>
      </c>
      <c r="F5" s="20">
        <f t="shared" si="1"/>
        <v>200</v>
      </c>
      <c r="G5" s="28">
        <v>121.75</v>
      </c>
      <c r="H5" s="21"/>
      <c r="I5" s="21">
        <f t="shared" si="2"/>
        <v>78.25</v>
      </c>
      <c r="J5" s="22"/>
      <c r="K5" s="23" t="s">
        <v>13</v>
      </c>
      <c r="L5" s="24">
        <v>276.0</v>
      </c>
      <c r="M5" s="25"/>
      <c r="N5" s="26"/>
      <c r="O5" s="27"/>
      <c r="P5" s="20">
        <f t="shared" si="3"/>
        <v>276</v>
      </c>
      <c r="Q5" s="22"/>
      <c r="R5" s="3"/>
      <c r="S5" s="3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</row>
    <row r="6">
      <c r="A6" s="16"/>
      <c r="B6" s="17" t="s">
        <v>14</v>
      </c>
      <c r="C6" s="18">
        <v>429.0</v>
      </c>
      <c r="D6" s="18"/>
      <c r="E6" s="19">
        <v>100.0</v>
      </c>
      <c r="F6" s="20">
        <f t="shared" si="1"/>
        <v>329</v>
      </c>
      <c r="G6" s="28">
        <v>236.9</v>
      </c>
      <c r="H6" s="21"/>
      <c r="I6" s="21">
        <f t="shared" si="2"/>
        <v>92.1</v>
      </c>
      <c r="J6" s="22"/>
      <c r="K6" s="23" t="s">
        <v>15</v>
      </c>
      <c r="L6" s="24">
        <v>0.0</v>
      </c>
      <c r="M6" s="25"/>
      <c r="N6" s="26"/>
      <c r="O6" s="27"/>
      <c r="P6" s="20">
        <f t="shared" si="3"/>
        <v>0</v>
      </c>
      <c r="Q6" s="22"/>
      <c r="R6" s="3"/>
      <c r="S6" s="3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</row>
    <row r="7">
      <c r="A7" s="16"/>
      <c r="B7" s="17" t="s">
        <v>16</v>
      </c>
      <c r="C7" s="18">
        <v>204.0</v>
      </c>
      <c r="D7" s="18"/>
      <c r="E7" s="29"/>
      <c r="F7" s="20">
        <f t="shared" si="1"/>
        <v>204</v>
      </c>
      <c r="G7" s="28">
        <v>73.05</v>
      </c>
      <c r="H7" s="21"/>
      <c r="I7" s="21">
        <f t="shared" si="2"/>
        <v>130.95</v>
      </c>
      <c r="J7" s="22"/>
      <c r="K7" s="23" t="s">
        <v>17</v>
      </c>
      <c r="L7" s="24">
        <v>237.5</v>
      </c>
      <c r="M7" s="25">
        <v>20.0</v>
      </c>
      <c r="N7" s="26"/>
      <c r="O7" s="27"/>
      <c r="P7" s="20">
        <f t="shared" si="3"/>
        <v>257.5</v>
      </c>
      <c r="Q7" s="22"/>
      <c r="R7" s="3"/>
      <c r="S7" s="3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</row>
    <row r="8">
      <c r="A8" s="16"/>
      <c r="B8" s="17" t="s">
        <v>17</v>
      </c>
      <c r="C8" s="18">
        <v>504.0</v>
      </c>
      <c r="D8" s="18"/>
      <c r="E8" s="19">
        <v>270.0</v>
      </c>
      <c r="F8" s="20">
        <f t="shared" si="1"/>
        <v>234</v>
      </c>
      <c r="G8" s="28">
        <v>121.75</v>
      </c>
      <c r="H8" s="21"/>
      <c r="I8" s="21">
        <f t="shared" si="2"/>
        <v>112.25</v>
      </c>
      <c r="J8" s="22"/>
      <c r="K8" s="23" t="s">
        <v>18</v>
      </c>
      <c r="L8" s="24">
        <v>284.1</v>
      </c>
      <c r="M8" s="25"/>
      <c r="N8" s="26"/>
      <c r="O8" s="27"/>
      <c r="P8" s="20">
        <f t="shared" si="3"/>
        <v>284.1</v>
      </c>
      <c r="Q8" s="22"/>
      <c r="R8" s="3"/>
      <c r="S8" s="3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</row>
    <row r="9">
      <c r="A9" s="16"/>
      <c r="B9" s="17" t="s">
        <v>19</v>
      </c>
      <c r="C9" s="18">
        <v>191.0</v>
      </c>
      <c r="D9" s="18"/>
      <c r="E9" s="29"/>
      <c r="F9" s="20">
        <f t="shared" si="1"/>
        <v>191</v>
      </c>
      <c r="G9" s="28">
        <v>73.05</v>
      </c>
      <c r="H9" s="21"/>
      <c r="I9" s="21">
        <f t="shared" si="2"/>
        <v>117.95</v>
      </c>
      <c r="J9" s="22"/>
      <c r="K9" s="23" t="s">
        <v>20</v>
      </c>
      <c r="L9" s="24">
        <v>85.0</v>
      </c>
      <c r="M9" s="25"/>
      <c r="N9" s="26"/>
      <c r="O9" s="27"/>
      <c r="P9" s="20">
        <f t="shared" si="3"/>
        <v>85</v>
      </c>
      <c r="Q9" s="22"/>
      <c r="R9" s="3"/>
      <c r="S9" s="3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</row>
    <row r="10">
      <c r="A10" s="16"/>
      <c r="B10" s="17" t="s">
        <v>21</v>
      </c>
      <c r="C10" s="18">
        <v>0.0</v>
      </c>
      <c r="D10" s="18"/>
      <c r="E10" s="29"/>
      <c r="F10" s="20">
        <f t="shared" si="1"/>
        <v>0</v>
      </c>
      <c r="G10" s="21"/>
      <c r="H10" s="21"/>
      <c r="I10" s="21">
        <f t="shared" si="2"/>
        <v>0</v>
      </c>
      <c r="J10" s="22"/>
      <c r="K10" s="23" t="s">
        <v>22</v>
      </c>
      <c r="L10" s="24">
        <v>107.0</v>
      </c>
      <c r="M10" s="25">
        <v>8.04</v>
      </c>
      <c r="N10" s="26"/>
      <c r="O10" s="27"/>
      <c r="P10" s="20">
        <f t="shared" si="3"/>
        <v>115.04</v>
      </c>
      <c r="Q10" s="22"/>
      <c r="R10" s="3"/>
      <c r="S10" s="3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>
      <c r="A11" s="16"/>
      <c r="B11" s="30" t="s">
        <v>4</v>
      </c>
      <c r="C11" s="31">
        <f>SUM(C4:C10)</f>
        <v>2089</v>
      </c>
      <c r="D11" s="31">
        <f t="shared" ref="D11:E11" si="4">SUM(D4:D8)</f>
        <v>0</v>
      </c>
      <c r="E11" s="31">
        <f t="shared" si="4"/>
        <v>970</v>
      </c>
      <c r="F11" s="32">
        <f t="shared" ref="F11:I11" si="5">SUM(F4:F10)</f>
        <v>1119</v>
      </c>
      <c r="G11" s="32">
        <f t="shared" si="5"/>
        <v>626.5</v>
      </c>
      <c r="H11" s="32">
        <f t="shared" si="5"/>
        <v>0</v>
      </c>
      <c r="I11" s="32">
        <f t="shared" si="5"/>
        <v>492.5</v>
      </c>
      <c r="J11" s="22"/>
      <c r="K11" s="33" t="s">
        <v>23</v>
      </c>
      <c r="L11" s="25">
        <v>32.1</v>
      </c>
      <c r="M11" s="25"/>
      <c r="N11" s="26"/>
      <c r="O11" s="27"/>
      <c r="P11" s="20">
        <f t="shared" si="3"/>
        <v>32.1</v>
      </c>
      <c r="Q11" s="22"/>
      <c r="R11" s="3"/>
      <c r="S11" s="3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>
      <c r="A12" s="2"/>
      <c r="B12" s="2"/>
      <c r="C12" s="2"/>
      <c r="D12" s="2"/>
      <c r="E12" s="2"/>
      <c r="F12" s="2"/>
      <c r="G12" s="16"/>
      <c r="H12" s="16"/>
      <c r="I12" s="16"/>
      <c r="J12" s="16"/>
      <c r="K12" s="33" t="s">
        <v>24</v>
      </c>
      <c r="L12" s="25">
        <v>16.5</v>
      </c>
      <c r="M12" s="25">
        <v>20.0</v>
      </c>
      <c r="N12" s="26"/>
      <c r="O12" s="27"/>
      <c r="P12" s="20">
        <f t="shared" si="3"/>
        <v>36.5</v>
      </c>
      <c r="Q12" s="22"/>
      <c r="R12" s="3"/>
      <c r="S12" s="3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>
      <c r="A13" s="2"/>
      <c r="B13" s="2"/>
      <c r="C13" s="2"/>
      <c r="D13" s="2"/>
      <c r="E13" s="2"/>
      <c r="F13" s="2"/>
      <c r="G13" s="16"/>
      <c r="H13" s="16"/>
      <c r="I13" s="16"/>
      <c r="J13" s="16"/>
      <c r="K13" s="33" t="s">
        <v>25</v>
      </c>
      <c r="L13" s="25">
        <v>278.52</v>
      </c>
      <c r="M13" s="25"/>
      <c r="N13" s="26"/>
      <c r="O13" s="27"/>
      <c r="P13" s="20">
        <f t="shared" si="3"/>
        <v>278.52</v>
      </c>
      <c r="Q13" s="22"/>
      <c r="R13" s="3"/>
      <c r="S13" s="3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>
      <c r="A14" s="2"/>
      <c r="B14" s="2"/>
      <c r="C14" s="2"/>
      <c r="D14" s="2"/>
      <c r="E14" s="2"/>
      <c r="F14" s="2"/>
      <c r="G14" s="16"/>
      <c r="H14" s="16"/>
      <c r="I14" s="16"/>
      <c r="J14" s="16"/>
      <c r="K14" s="34"/>
      <c r="L14" s="9" t="s">
        <v>1</v>
      </c>
      <c r="M14" s="9" t="s">
        <v>26</v>
      </c>
      <c r="N14" s="35" t="s">
        <v>5</v>
      </c>
      <c r="O14" s="36" t="s">
        <v>27</v>
      </c>
      <c r="P14" s="37" t="s">
        <v>7</v>
      </c>
      <c r="Q14" s="22"/>
      <c r="R14" s="3"/>
      <c r="S14" s="3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</row>
    <row r="15">
      <c r="A15" s="2"/>
      <c r="B15" s="2"/>
      <c r="C15" s="2"/>
      <c r="D15" s="2"/>
      <c r="E15" s="2"/>
      <c r="F15" s="2"/>
      <c r="G15" s="16"/>
      <c r="H15" s="16"/>
      <c r="I15" s="16"/>
      <c r="J15" s="16"/>
      <c r="K15" s="33" t="s">
        <v>28</v>
      </c>
      <c r="L15" s="25">
        <v>699.0</v>
      </c>
      <c r="M15" s="26">
        <v>198.92</v>
      </c>
      <c r="N15" s="38">
        <v>267.85</v>
      </c>
      <c r="O15" s="39">
        <v>319.77</v>
      </c>
      <c r="P15" s="40">
        <v>310.3</v>
      </c>
      <c r="Q15" s="22"/>
      <c r="R15" s="3"/>
      <c r="S15" s="3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>
      <c r="A16" s="2"/>
      <c r="B16" s="2"/>
      <c r="C16" s="2"/>
      <c r="D16" s="2"/>
      <c r="E16" s="2"/>
      <c r="F16" s="2"/>
      <c r="G16" s="16"/>
      <c r="H16" s="16"/>
      <c r="I16" s="16"/>
      <c r="J16" s="16"/>
      <c r="K16" s="41" t="s">
        <v>4</v>
      </c>
      <c r="L16" s="42">
        <f t="shared" ref="L16:M16" si="6">SUM(L4:L15)</f>
        <v>2361.32</v>
      </c>
      <c r="M16" s="42">
        <f t="shared" si="6"/>
        <v>283.04</v>
      </c>
      <c r="N16" s="42">
        <f>SUM(N4:N13)</f>
        <v>0</v>
      </c>
      <c r="O16" s="43"/>
      <c r="P16" s="43">
        <f>(L16+M16)-N16</f>
        <v>2644.36</v>
      </c>
      <c r="Q16" s="22"/>
      <c r="R16" s="3"/>
      <c r="S16" s="3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5"/>
      <c r="L17" s="45"/>
      <c r="M17" s="45"/>
      <c r="N17" s="45"/>
      <c r="O17" s="45"/>
      <c r="P17" s="45"/>
      <c r="Q17" s="3"/>
      <c r="R17" s="3"/>
      <c r="S17" s="3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</row>
    <row r="18">
      <c r="A18" s="3"/>
      <c r="B18" s="46" t="s">
        <v>29</v>
      </c>
      <c r="C18" s="47">
        <f>F11</f>
        <v>1119</v>
      </c>
      <c r="D18" s="6"/>
      <c r="E18" s="6"/>
      <c r="F18" s="6"/>
      <c r="G18" s="6"/>
      <c r="H18" s="6"/>
      <c r="I18" s="7"/>
      <c r="J18" s="4"/>
      <c r="K18" s="46" t="s">
        <v>30</v>
      </c>
      <c r="L18" s="47">
        <f>P16</f>
        <v>2644.36</v>
      </c>
      <c r="M18" s="6"/>
      <c r="N18" s="6"/>
      <c r="O18" s="6"/>
      <c r="P18" s="7"/>
      <c r="Q18" s="3"/>
      <c r="R18" s="3"/>
      <c r="S18" s="3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</row>
    <row r="19">
      <c r="A19" s="4"/>
      <c r="B19" s="48" t="s">
        <v>31</v>
      </c>
      <c r="C19" s="7"/>
      <c r="D19" s="49">
        <f>C18+L18</f>
        <v>3763.36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7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</sheetData>
  <mergeCells count="16">
    <mergeCell ref="B2:P2"/>
    <mergeCell ref="N3:O3"/>
    <mergeCell ref="N4:O4"/>
    <mergeCell ref="N5:O5"/>
    <mergeCell ref="N6:O6"/>
    <mergeCell ref="N7:O7"/>
    <mergeCell ref="N8:O8"/>
    <mergeCell ref="B19:C19"/>
    <mergeCell ref="D19:P19"/>
    <mergeCell ref="N9:O9"/>
    <mergeCell ref="N10:O10"/>
    <mergeCell ref="N11:O11"/>
    <mergeCell ref="N12:O12"/>
    <mergeCell ref="N13:O13"/>
    <mergeCell ref="C18:I18"/>
    <mergeCell ref="L18:P18"/>
  </mergeCell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/>
  </sheetViews>
  <sheetFormatPr customHeight="1" defaultColWidth="12.63" defaultRowHeight="15.75"/>
  <cols>
    <col customWidth="1" min="1" max="1" width="0.63"/>
    <col customWidth="1" min="2" max="2" width="11.38"/>
    <col customWidth="1" min="3" max="3" width="8.75"/>
    <col customWidth="1" min="4" max="4" width="11.5"/>
    <col customWidth="1" min="5" max="5" width="8.5"/>
    <col customWidth="1" min="6" max="6" width="8.88"/>
    <col customWidth="1" min="7" max="7" width="5.5"/>
    <col customWidth="1" min="8" max="9" width="10.5"/>
    <col customWidth="1" min="10" max="10" width="2.25"/>
    <col customWidth="1" min="11" max="11" width="13.13"/>
    <col customWidth="1" min="12" max="12" width="10.5"/>
    <col customWidth="1" min="13" max="13" width="10.0"/>
    <col customWidth="1" min="14" max="14" width="7.88"/>
    <col customWidth="1" min="15" max="15" width="6.38"/>
    <col customWidth="1" min="16" max="16" width="10.38"/>
    <col customWidth="1" min="17" max="17" width="18.25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3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2"/>
      <c r="B2" s="50" t="s">
        <v>32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7"/>
      <c r="Q2" s="3"/>
      <c r="R2" s="3"/>
      <c r="S2" s="3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>
      <c r="A3" s="2"/>
      <c r="B3" s="8" t="s">
        <v>0</v>
      </c>
      <c r="C3" s="9" t="s">
        <v>1</v>
      </c>
      <c r="D3" s="9" t="s">
        <v>2</v>
      </c>
      <c r="E3" s="10" t="s">
        <v>3</v>
      </c>
      <c r="F3" s="12" t="s">
        <v>5</v>
      </c>
      <c r="G3" s="12" t="s">
        <v>6</v>
      </c>
      <c r="H3" s="12" t="s">
        <v>7</v>
      </c>
      <c r="I3" s="11" t="s">
        <v>4</v>
      </c>
      <c r="J3" s="13"/>
      <c r="K3" s="11" t="s">
        <v>8</v>
      </c>
      <c r="L3" s="9" t="s">
        <v>1</v>
      </c>
      <c r="M3" s="9" t="s">
        <v>9</v>
      </c>
      <c r="N3" s="14" t="s">
        <v>3</v>
      </c>
      <c r="O3" s="15"/>
      <c r="P3" s="11" t="s">
        <v>4</v>
      </c>
      <c r="Q3" s="3"/>
      <c r="R3" s="3"/>
      <c r="S3" s="3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>
      <c r="A4" s="16"/>
      <c r="B4" s="17" t="s">
        <v>10</v>
      </c>
      <c r="C4" s="18">
        <v>0.0</v>
      </c>
      <c r="D4" s="18"/>
      <c r="E4" s="51">
        <v>100.0</v>
      </c>
      <c r="F4" s="21"/>
      <c r="G4" s="21"/>
      <c r="H4" s="52">
        <f t="shared" ref="H4:H10" si="1">I4-F4-G4</f>
        <v>-100</v>
      </c>
      <c r="I4" s="20">
        <f t="shared" ref="I4:I10" si="2">C4+D4-E4</f>
        <v>-100</v>
      </c>
      <c r="J4" s="22"/>
      <c r="K4" s="23" t="s">
        <v>11</v>
      </c>
      <c r="L4" s="24">
        <v>342.0</v>
      </c>
      <c r="M4" s="25"/>
      <c r="N4" s="26"/>
      <c r="O4" s="27"/>
      <c r="P4" s="20">
        <f t="shared" ref="P4:P13" si="3">(L4+M4)-N4</f>
        <v>342</v>
      </c>
      <c r="Q4" s="22"/>
      <c r="R4" s="3"/>
      <c r="S4" s="3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</row>
    <row r="5">
      <c r="A5" s="16"/>
      <c r="B5" s="17" t="s">
        <v>12</v>
      </c>
      <c r="C5" s="18">
        <v>430.0</v>
      </c>
      <c r="D5" s="18">
        <v>200.0</v>
      </c>
      <c r="E5" s="19">
        <v>300.0</v>
      </c>
      <c r="F5" s="28">
        <v>194.8</v>
      </c>
      <c r="G5" s="21"/>
      <c r="H5" s="21">
        <f t="shared" si="1"/>
        <v>135.2</v>
      </c>
      <c r="I5" s="20">
        <f t="shared" si="2"/>
        <v>330</v>
      </c>
      <c r="J5" s="22"/>
      <c r="K5" s="23" t="s">
        <v>13</v>
      </c>
      <c r="L5" s="24">
        <v>285.0</v>
      </c>
      <c r="M5" s="25">
        <v>10.0</v>
      </c>
      <c r="N5" s="26"/>
      <c r="O5" s="27"/>
      <c r="P5" s="20">
        <f t="shared" si="3"/>
        <v>295</v>
      </c>
      <c r="Q5" s="22"/>
      <c r="R5" s="3"/>
      <c r="S5" s="3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</row>
    <row r="6">
      <c r="A6" s="16"/>
      <c r="B6" s="17" t="s">
        <v>14</v>
      </c>
      <c r="C6" s="18">
        <v>477.0</v>
      </c>
      <c r="D6" s="18">
        <v>200.0</v>
      </c>
      <c r="E6" s="19">
        <v>300.0</v>
      </c>
      <c r="F6" s="28">
        <v>146.1</v>
      </c>
      <c r="G6" s="21"/>
      <c r="H6" s="21">
        <f t="shared" si="1"/>
        <v>230.9</v>
      </c>
      <c r="I6" s="20">
        <f t="shared" si="2"/>
        <v>377</v>
      </c>
      <c r="J6" s="22"/>
      <c r="K6" s="23" t="s">
        <v>15</v>
      </c>
      <c r="L6" s="24">
        <v>238.1</v>
      </c>
      <c r="M6" s="25"/>
      <c r="N6" s="26"/>
      <c r="O6" s="27"/>
      <c r="P6" s="20">
        <f t="shared" si="3"/>
        <v>238.1</v>
      </c>
      <c r="Q6" s="22"/>
      <c r="R6" s="3"/>
      <c r="S6" s="3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</row>
    <row r="7">
      <c r="A7" s="16"/>
      <c r="B7" s="17" t="s">
        <v>16</v>
      </c>
      <c r="C7" s="18">
        <v>687.0</v>
      </c>
      <c r="D7" s="18">
        <v>200.0</v>
      </c>
      <c r="E7" s="19">
        <v>300.0</v>
      </c>
      <c r="F7" s="28">
        <v>236.9</v>
      </c>
      <c r="G7" s="21"/>
      <c r="H7" s="21">
        <f t="shared" si="1"/>
        <v>350.1</v>
      </c>
      <c r="I7" s="20">
        <f t="shared" si="2"/>
        <v>587</v>
      </c>
      <c r="J7" s="22"/>
      <c r="K7" s="23" t="s">
        <v>17</v>
      </c>
      <c r="L7" s="24">
        <v>347.0</v>
      </c>
      <c r="M7" s="25">
        <v>10.0</v>
      </c>
      <c r="N7" s="26"/>
      <c r="O7" s="27"/>
      <c r="P7" s="20">
        <f t="shared" si="3"/>
        <v>357</v>
      </c>
      <c r="Q7" s="22"/>
      <c r="R7" s="3"/>
      <c r="S7" s="3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</row>
    <row r="8">
      <c r="A8" s="16"/>
      <c r="B8" s="17" t="s">
        <v>17</v>
      </c>
      <c r="C8" s="18">
        <v>441.0</v>
      </c>
      <c r="D8" s="18">
        <v>200.0</v>
      </c>
      <c r="E8" s="19">
        <v>300.0</v>
      </c>
      <c r="F8" s="28">
        <v>194.8</v>
      </c>
      <c r="G8" s="21"/>
      <c r="H8" s="21">
        <f t="shared" si="1"/>
        <v>146.2</v>
      </c>
      <c r="I8" s="20">
        <f t="shared" si="2"/>
        <v>341</v>
      </c>
      <c r="J8" s="22"/>
      <c r="K8" s="23" t="s">
        <v>18</v>
      </c>
      <c r="L8" s="24">
        <v>221.3</v>
      </c>
      <c r="M8" s="25"/>
      <c r="N8" s="26"/>
      <c r="O8" s="27"/>
      <c r="P8" s="20">
        <f t="shared" si="3"/>
        <v>221.3</v>
      </c>
      <c r="Q8" s="22"/>
      <c r="R8" s="3"/>
      <c r="S8" s="3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</row>
    <row r="9">
      <c r="A9" s="16"/>
      <c r="B9" s="17" t="s">
        <v>19</v>
      </c>
      <c r="C9" s="18">
        <v>353.0</v>
      </c>
      <c r="D9" s="18">
        <v>200.0</v>
      </c>
      <c r="E9" s="19">
        <v>300.0</v>
      </c>
      <c r="F9" s="28">
        <v>121.75</v>
      </c>
      <c r="G9" s="21"/>
      <c r="H9" s="21">
        <f t="shared" si="1"/>
        <v>131.25</v>
      </c>
      <c r="I9" s="20">
        <f t="shared" si="2"/>
        <v>253</v>
      </c>
      <c r="J9" s="22"/>
      <c r="K9" s="23" t="s">
        <v>20</v>
      </c>
      <c r="L9" s="24">
        <v>165.5</v>
      </c>
      <c r="M9" s="25"/>
      <c r="N9" s="26">
        <v>10.0</v>
      </c>
      <c r="O9" s="27"/>
      <c r="P9" s="20">
        <f t="shared" si="3"/>
        <v>155.5</v>
      </c>
      <c r="Q9" s="22"/>
      <c r="R9" s="3"/>
      <c r="S9" s="3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</row>
    <row r="10">
      <c r="A10" s="16"/>
      <c r="B10" s="17" t="s">
        <v>21</v>
      </c>
      <c r="C10" s="18">
        <v>300.0</v>
      </c>
      <c r="D10" s="18"/>
      <c r="E10" s="19">
        <v>300.0</v>
      </c>
      <c r="F10" s="21"/>
      <c r="G10" s="21"/>
      <c r="H10" s="21">
        <f t="shared" si="1"/>
        <v>0</v>
      </c>
      <c r="I10" s="20">
        <f t="shared" si="2"/>
        <v>0</v>
      </c>
      <c r="J10" s="22"/>
      <c r="K10" s="23" t="s">
        <v>22</v>
      </c>
      <c r="L10" s="24">
        <v>229.5</v>
      </c>
      <c r="M10" s="25"/>
      <c r="N10" s="26">
        <v>10.0</v>
      </c>
      <c r="O10" s="27"/>
      <c r="P10" s="20">
        <f t="shared" si="3"/>
        <v>219.5</v>
      </c>
      <c r="Q10" s="22"/>
      <c r="R10" s="3"/>
      <c r="S10" s="3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>
      <c r="A11" s="16"/>
      <c r="B11" s="30" t="s">
        <v>4</v>
      </c>
      <c r="C11" s="31">
        <f t="shared" ref="C11:D11" si="4">SUM(C4:C10)</f>
        <v>2688</v>
      </c>
      <c r="D11" s="31">
        <f t="shared" si="4"/>
        <v>1000</v>
      </c>
      <c r="E11" s="31">
        <f>SUM(E4:E8)</f>
        <v>1300</v>
      </c>
      <c r="F11" s="32">
        <f t="shared" ref="F11:I11" si="5">SUM(F4:F10)</f>
        <v>894.35</v>
      </c>
      <c r="G11" s="32">
        <f t="shared" si="5"/>
        <v>0</v>
      </c>
      <c r="H11" s="32">
        <f t="shared" si="5"/>
        <v>893.65</v>
      </c>
      <c r="I11" s="32">
        <f t="shared" si="5"/>
        <v>1788</v>
      </c>
      <c r="J11" s="22"/>
      <c r="K11" s="33" t="s">
        <v>23</v>
      </c>
      <c r="L11" s="25">
        <v>4.0</v>
      </c>
      <c r="M11" s="25"/>
      <c r="N11" s="26"/>
      <c r="O11" s="27"/>
      <c r="P11" s="20">
        <f t="shared" si="3"/>
        <v>4</v>
      </c>
      <c r="Q11" s="22"/>
      <c r="R11" s="3"/>
      <c r="S11" s="3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>
      <c r="A12" s="2"/>
      <c r="B12" s="2"/>
      <c r="C12" s="2"/>
      <c r="D12" s="2"/>
      <c r="E12" s="2"/>
      <c r="F12" s="16"/>
      <c r="G12" s="16"/>
      <c r="H12" s="16"/>
      <c r="I12" s="16"/>
      <c r="J12" s="16"/>
      <c r="K12" s="33" t="s">
        <v>24</v>
      </c>
      <c r="L12" s="25">
        <v>0.0</v>
      </c>
      <c r="M12" s="25"/>
      <c r="N12" s="26"/>
      <c r="O12" s="27"/>
      <c r="P12" s="20">
        <f t="shared" si="3"/>
        <v>0</v>
      </c>
      <c r="Q12" s="22"/>
      <c r="R12" s="3"/>
      <c r="S12" s="3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>
      <c r="A13" s="2"/>
      <c r="B13" s="2"/>
      <c r="C13" s="2"/>
      <c r="D13" s="2"/>
      <c r="E13" s="2"/>
      <c r="F13" s="16"/>
      <c r="G13" s="16"/>
      <c r="H13" s="16"/>
      <c r="I13" s="16"/>
      <c r="J13" s="16"/>
      <c r="K13" s="33" t="s">
        <v>25</v>
      </c>
      <c r="L13" s="25">
        <v>193.08</v>
      </c>
      <c r="M13" s="25"/>
      <c r="N13" s="26"/>
      <c r="O13" s="27"/>
      <c r="P13" s="20">
        <f t="shared" si="3"/>
        <v>193.08</v>
      </c>
      <c r="Q13" s="22"/>
      <c r="R13" s="3"/>
      <c r="S13" s="3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>
      <c r="A14" s="2"/>
      <c r="B14" s="2"/>
      <c r="C14" s="2"/>
      <c r="D14" s="2"/>
      <c r="E14" s="2"/>
      <c r="F14" s="16"/>
      <c r="G14" s="16"/>
      <c r="H14" s="16"/>
      <c r="I14" s="16"/>
      <c r="J14" s="16"/>
      <c r="K14" s="34"/>
      <c r="L14" s="9" t="s">
        <v>1</v>
      </c>
      <c r="M14" s="9" t="s">
        <v>26</v>
      </c>
      <c r="N14" s="35" t="s">
        <v>5</v>
      </c>
      <c r="O14" s="36" t="s">
        <v>27</v>
      </c>
      <c r="P14" s="37" t="s">
        <v>7</v>
      </c>
      <c r="Q14" s="22"/>
      <c r="R14" s="3"/>
      <c r="S14" s="3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</row>
    <row r="15">
      <c r="A15" s="2"/>
      <c r="B15" s="2"/>
      <c r="C15" s="2"/>
      <c r="D15" s="2"/>
      <c r="E15" s="2"/>
      <c r="F15" s="16"/>
      <c r="G15" s="16"/>
      <c r="H15" s="16"/>
      <c r="I15" s="16"/>
      <c r="J15" s="16"/>
      <c r="K15" s="33" t="s">
        <v>28</v>
      </c>
      <c r="L15" s="25">
        <v>0.0</v>
      </c>
      <c r="M15" s="26">
        <v>189.33</v>
      </c>
      <c r="N15" s="38">
        <v>73.05</v>
      </c>
      <c r="O15" s="39">
        <v>116.28</v>
      </c>
      <c r="P15" s="40">
        <v>189.33</v>
      </c>
      <c r="Q15" s="22"/>
      <c r="R15" s="3"/>
      <c r="S15" s="3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>
      <c r="A16" s="2"/>
      <c r="B16" s="2"/>
      <c r="C16" s="2"/>
      <c r="D16" s="2"/>
      <c r="E16" s="2"/>
      <c r="F16" s="16"/>
      <c r="G16" s="16"/>
      <c r="H16" s="16"/>
      <c r="I16" s="16"/>
      <c r="J16" s="16"/>
      <c r="K16" s="41" t="s">
        <v>4</v>
      </c>
      <c r="L16" s="42">
        <f t="shared" ref="L16:M16" si="6">SUM(L4:L15)</f>
        <v>2025.48</v>
      </c>
      <c r="M16" s="42">
        <f t="shared" si="6"/>
        <v>209.33</v>
      </c>
      <c r="N16" s="42">
        <f>SUM(N4:N13)</f>
        <v>20</v>
      </c>
      <c r="O16" s="43"/>
      <c r="P16" s="43">
        <f>(L16+M16)-N16</f>
        <v>2214.81</v>
      </c>
      <c r="Q16" s="22"/>
      <c r="R16" s="3"/>
      <c r="S16" s="3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5"/>
      <c r="L17" s="45"/>
      <c r="M17" s="45"/>
      <c r="N17" s="45"/>
      <c r="O17" s="45"/>
      <c r="P17" s="45"/>
      <c r="Q17" s="3"/>
      <c r="R17" s="3"/>
      <c r="S17" s="3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</row>
    <row r="18">
      <c r="A18" s="3"/>
      <c r="B18" s="46" t="s">
        <v>29</v>
      </c>
      <c r="C18" s="47">
        <f>I11</f>
        <v>1788</v>
      </c>
      <c r="D18" s="6"/>
      <c r="E18" s="6"/>
      <c r="F18" s="6"/>
      <c r="G18" s="6"/>
      <c r="H18" s="6"/>
      <c r="I18" s="7"/>
      <c r="J18" s="4"/>
      <c r="K18" s="46" t="s">
        <v>30</v>
      </c>
      <c r="L18" s="47">
        <f>P16</f>
        <v>2214.81</v>
      </c>
      <c r="M18" s="6"/>
      <c r="N18" s="6"/>
      <c r="O18" s="6"/>
      <c r="P18" s="7"/>
      <c r="Q18" s="3"/>
      <c r="R18" s="3"/>
      <c r="S18" s="3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</row>
    <row r="19">
      <c r="A19" s="4"/>
      <c r="B19" s="48" t="s">
        <v>31</v>
      </c>
      <c r="C19" s="7"/>
      <c r="D19" s="49">
        <f>C18+L18</f>
        <v>4002.81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7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</sheetData>
  <mergeCells count="16">
    <mergeCell ref="B2:P2"/>
    <mergeCell ref="N3:O3"/>
    <mergeCell ref="N4:O4"/>
    <mergeCell ref="N5:O5"/>
    <mergeCell ref="N6:O6"/>
    <mergeCell ref="N7:O7"/>
    <mergeCell ref="N8:O8"/>
    <mergeCell ref="B19:C19"/>
    <mergeCell ref="D19:P19"/>
    <mergeCell ref="N9:O9"/>
    <mergeCell ref="N10:O10"/>
    <mergeCell ref="N11:O11"/>
    <mergeCell ref="N12:O12"/>
    <mergeCell ref="N13:O13"/>
    <mergeCell ref="C18:I18"/>
    <mergeCell ref="L18:P18"/>
  </mergeCell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11.0"/>
    <col customWidth="1" min="3" max="3" width="9.13"/>
    <col customWidth="1" min="4" max="4" width="8.38"/>
    <col customWidth="1" min="5" max="9" width="11.0"/>
    <col customWidth="1" min="10" max="10" width="3.13"/>
    <col customWidth="1" min="11" max="11" width="12.5"/>
    <col customWidth="1" min="12" max="13" width="11.13"/>
    <col customWidth="1" min="14" max="14" width="6.0"/>
    <col customWidth="1" min="15" max="15" width="5.38"/>
    <col customWidth="1" min="16" max="16" width="11.13"/>
    <col customWidth="1" min="17" max="31" width="13.0"/>
  </cols>
  <sheetData>
    <row r="1">
      <c r="A1" s="1"/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3"/>
      <c r="R1" s="3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16"/>
      <c r="B2" s="54" t="s">
        <v>33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6"/>
      <c r="Q2" s="57"/>
      <c r="R2" s="3"/>
      <c r="S2" s="3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>
      <c r="A3" s="16"/>
      <c r="B3" s="58" t="s">
        <v>0</v>
      </c>
      <c r="C3" s="59" t="s">
        <v>1</v>
      </c>
      <c r="D3" s="59" t="s">
        <v>34</v>
      </c>
      <c r="E3" s="60" t="s">
        <v>3</v>
      </c>
      <c r="F3" s="58" t="s">
        <v>5</v>
      </c>
      <c r="G3" s="58" t="s">
        <v>6</v>
      </c>
      <c r="H3" s="58" t="s">
        <v>7</v>
      </c>
      <c r="I3" s="61" t="s">
        <v>4</v>
      </c>
      <c r="J3" s="62"/>
      <c r="K3" s="61" t="s">
        <v>8</v>
      </c>
      <c r="L3" s="59" t="s">
        <v>1</v>
      </c>
      <c r="M3" s="59" t="s">
        <v>9</v>
      </c>
      <c r="N3" s="63" t="s">
        <v>3</v>
      </c>
      <c r="O3" s="56"/>
      <c r="P3" s="61" t="s">
        <v>4</v>
      </c>
      <c r="Q3" s="57"/>
      <c r="R3" s="3"/>
      <c r="S3" s="3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>
      <c r="A4" s="16"/>
      <c r="B4" s="64" t="s">
        <v>10</v>
      </c>
      <c r="C4" s="65">
        <v>30.0</v>
      </c>
      <c r="D4" s="66"/>
      <c r="E4" s="67">
        <v>239.0</v>
      </c>
      <c r="F4" s="68"/>
      <c r="G4" s="68"/>
      <c r="H4" s="68">
        <f t="shared" ref="H4:H10" si="1">I4-F4-G4</f>
        <v>-209</v>
      </c>
      <c r="I4" s="68">
        <f t="shared" ref="I4:I10" si="2">C4+D4-E4</f>
        <v>-209</v>
      </c>
      <c r="J4" s="22"/>
      <c r="K4" s="69" t="s">
        <v>11</v>
      </c>
      <c r="L4" s="70">
        <v>160.0</v>
      </c>
      <c r="M4" s="71">
        <v>20.0</v>
      </c>
      <c r="N4" s="72"/>
      <c r="O4" s="73"/>
      <c r="P4" s="74">
        <f t="shared" ref="P4:P12" si="3">(L4+M4)-N4</f>
        <v>180</v>
      </c>
      <c r="Q4" s="22"/>
      <c r="R4" s="3"/>
      <c r="S4" s="3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</row>
    <row r="5">
      <c r="A5" s="16"/>
      <c r="B5" s="64" t="s">
        <v>12</v>
      </c>
      <c r="C5" s="65">
        <v>458.0</v>
      </c>
      <c r="D5" s="75"/>
      <c r="E5" s="76">
        <v>200.0</v>
      </c>
      <c r="F5" s="75">
        <v>121.8</v>
      </c>
      <c r="G5" s="75"/>
      <c r="H5" s="68">
        <f t="shared" si="1"/>
        <v>136.2</v>
      </c>
      <c r="I5" s="68">
        <f t="shared" si="2"/>
        <v>258</v>
      </c>
      <c r="J5" s="22"/>
      <c r="K5" s="77" t="s">
        <v>13</v>
      </c>
      <c r="L5" s="78">
        <v>4.5</v>
      </c>
      <c r="M5" s="79"/>
      <c r="N5" s="80"/>
      <c r="O5" s="81"/>
      <c r="P5" s="82">
        <f t="shared" si="3"/>
        <v>4.5</v>
      </c>
      <c r="Q5" s="22"/>
      <c r="R5" s="3"/>
      <c r="S5" s="3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</row>
    <row r="6">
      <c r="A6" s="16"/>
      <c r="B6" s="64" t="s">
        <v>14</v>
      </c>
      <c r="C6" s="65">
        <v>393.0</v>
      </c>
      <c r="D6" s="83">
        <v>-50.0</v>
      </c>
      <c r="E6" s="76">
        <v>200.0</v>
      </c>
      <c r="F6" s="75"/>
      <c r="G6" s="75"/>
      <c r="H6" s="68">
        <f t="shared" si="1"/>
        <v>143</v>
      </c>
      <c r="I6" s="68">
        <f t="shared" si="2"/>
        <v>143</v>
      </c>
      <c r="J6" s="22"/>
      <c r="K6" s="69" t="s">
        <v>15</v>
      </c>
      <c r="L6" s="70">
        <v>158.6</v>
      </c>
      <c r="M6" s="71"/>
      <c r="N6" s="72"/>
      <c r="O6" s="73"/>
      <c r="P6" s="74">
        <f t="shared" si="3"/>
        <v>158.6</v>
      </c>
      <c r="Q6" s="22"/>
      <c r="R6" s="3"/>
      <c r="S6" s="3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</row>
    <row r="7">
      <c r="A7" s="16"/>
      <c r="B7" s="64" t="s">
        <v>16</v>
      </c>
      <c r="C7" s="65">
        <v>447.0</v>
      </c>
      <c r="D7" s="65"/>
      <c r="E7" s="76">
        <v>200.0</v>
      </c>
      <c r="F7" s="75">
        <v>121.8</v>
      </c>
      <c r="G7" s="68"/>
      <c r="H7" s="68">
        <f t="shared" si="1"/>
        <v>125.2</v>
      </c>
      <c r="I7" s="68">
        <f t="shared" si="2"/>
        <v>247</v>
      </c>
      <c r="J7" s="22"/>
      <c r="K7" s="77" t="s">
        <v>17</v>
      </c>
      <c r="L7" s="78">
        <v>215.3</v>
      </c>
      <c r="M7" s="79"/>
      <c r="N7" s="80"/>
      <c r="O7" s="81"/>
      <c r="P7" s="82">
        <f t="shared" si="3"/>
        <v>215.3</v>
      </c>
      <c r="Q7" s="22"/>
      <c r="R7" s="3"/>
      <c r="S7" s="3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</row>
    <row r="8">
      <c r="A8" s="16"/>
      <c r="B8" s="64" t="s">
        <v>17</v>
      </c>
      <c r="C8" s="65">
        <v>100.0</v>
      </c>
      <c r="D8" s="65"/>
      <c r="E8" s="76">
        <v>0.0</v>
      </c>
      <c r="F8" s="68"/>
      <c r="G8" s="68"/>
      <c r="H8" s="68">
        <f t="shared" si="1"/>
        <v>100</v>
      </c>
      <c r="I8" s="68">
        <f t="shared" si="2"/>
        <v>100</v>
      </c>
      <c r="J8" s="22"/>
      <c r="K8" s="84" t="s">
        <v>18</v>
      </c>
      <c r="L8" s="70">
        <v>263.1</v>
      </c>
      <c r="M8" s="71"/>
      <c r="N8" s="72"/>
      <c r="O8" s="73"/>
      <c r="P8" s="74">
        <f t="shared" si="3"/>
        <v>263.1</v>
      </c>
      <c r="Q8" s="22"/>
      <c r="R8" s="3"/>
      <c r="S8" s="3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</row>
    <row r="9">
      <c r="A9" s="16"/>
      <c r="B9" s="64" t="s">
        <v>19</v>
      </c>
      <c r="C9" s="65">
        <v>625.0</v>
      </c>
      <c r="D9" s="65"/>
      <c r="E9" s="76">
        <v>300.0</v>
      </c>
      <c r="F9" s="75">
        <v>121.8</v>
      </c>
      <c r="G9" s="68"/>
      <c r="H9" s="68">
        <f t="shared" si="1"/>
        <v>203.2</v>
      </c>
      <c r="I9" s="68">
        <f t="shared" si="2"/>
        <v>325</v>
      </c>
      <c r="J9" s="22"/>
      <c r="K9" s="77" t="s">
        <v>20</v>
      </c>
      <c r="L9" s="78">
        <v>121.1</v>
      </c>
      <c r="M9" s="79"/>
      <c r="N9" s="80"/>
      <c r="O9" s="81"/>
      <c r="P9" s="82">
        <f t="shared" si="3"/>
        <v>121.1</v>
      </c>
      <c r="Q9" s="22"/>
      <c r="R9" s="3"/>
      <c r="S9" s="3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</row>
    <row r="10">
      <c r="A10" s="16"/>
      <c r="B10" s="64" t="s">
        <v>21</v>
      </c>
      <c r="C10" s="65">
        <v>350.0</v>
      </c>
      <c r="D10" s="65"/>
      <c r="E10" s="76">
        <v>100.0</v>
      </c>
      <c r="F10" s="75">
        <v>121.8</v>
      </c>
      <c r="G10" s="68"/>
      <c r="H10" s="68">
        <f t="shared" si="1"/>
        <v>128.2</v>
      </c>
      <c r="I10" s="68">
        <f t="shared" si="2"/>
        <v>250</v>
      </c>
      <c r="J10" s="22"/>
      <c r="K10" s="69" t="s">
        <v>22</v>
      </c>
      <c r="L10" s="70">
        <v>82.0</v>
      </c>
      <c r="M10" s="71"/>
      <c r="N10" s="72"/>
      <c r="O10" s="73"/>
      <c r="P10" s="74">
        <f t="shared" si="3"/>
        <v>82</v>
      </c>
      <c r="Q10" s="22"/>
      <c r="R10" s="3"/>
      <c r="S10" s="3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>
      <c r="A11" s="16"/>
      <c r="B11" s="85" t="s">
        <v>4</v>
      </c>
      <c r="C11" s="86">
        <f t="shared" ref="C11:I11" si="4">SUM(C4:C10)</f>
        <v>2403</v>
      </c>
      <c r="D11" s="86">
        <f t="shared" si="4"/>
        <v>-50</v>
      </c>
      <c r="E11" s="86">
        <f t="shared" si="4"/>
        <v>1239</v>
      </c>
      <c r="F11" s="87">
        <f t="shared" si="4"/>
        <v>487.2</v>
      </c>
      <c r="G11" s="87">
        <f t="shared" si="4"/>
        <v>0</v>
      </c>
      <c r="H11" s="87">
        <f t="shared" si="4"/>
        <v>626.8</v>
      </c>
      <c r="I11" s="87">
        <f t="shared" si="4"/>
        <v>1114</v>
      </c>
      <c r="J11" s="22"/>
      <c r="K11" s="88" t="s">
        <v>24</v>
      </c>
      <c r="L11" s="79">
        <v>0.5</v>
      </c>
      <c r="M11" s="79">
        <v>8.04</v>
      </c>
      <c r="N11" s="80"/>
      <c r="O11" s="81"/>
      <c r="P11" s="82">
        <f t="shared" si="3"/>
        <v>8.54</v>
      </c>
      <c r="Q11" s="22"/>
      <c r="R11" s="3"/>
      <c r="S11" s="3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>
      <c r="A12" s="2"/>
      <c r="B12" s="89"/>
      <c r="C12" s="89"/>
      <c r="D12" s="89"/>
      <c r="E12" s="89"/>
      <c r="F12" s="90"/>
      <c r="G12" s="90"/>
      <c r="H12" s="90"/>
      <c r="I12" s="90"/>
      <c r="J12" s="16"/>
      <c r="K12" s="91" t="s">
        <v>25</v>
      </c>
      <c r="L12" s="71"/>
      <c r="M12" s="71"/>
      <c r="N12" s="72"/>
      <c r="O12" s="73"/>
      <c r="P12" s="74">
        <f t="shared" si="3"/>
        <v>0</v>
      </c>
      <c r="Q12" s="22"/>
      <c r="R12" s="3"/>
      <c r="S12" s="3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>
      <c r="A13" s="2"/>
      <c r="B13" s="2"/>
      <c r="C13" s="2"/>
      <c r="D13" s="2"/>
      <c r="E13" s="2"/>
      <c r="F13" s="16"/>
      <c r="G13" s="16"/>
      <c r="H13" s="16"/>
      <c r="I13" s="16"/>
      <c r="J13" s="16"/>
      <c r="K13" s="92"/>
      <c r="L13" s="93" t="s">
        <v>1</v>
      </c>
      <c r="M13" s="93" t="s">
        <v>26</v>
      </c>
      <c r="N13" s="94" t="s">
        <v>5</v>
      </c>
      <c r="O13" s="93" t="s">
        <v>27</v>
      </c>
      <c r="P13" s="93" t="s">
        <v>7</v>
      </c>
      <c r="Q13" s="22"/>
      <c r="R13" s="3"/>
      <c r="S13" s="3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>
      <c r="A14" s="2"/>
      <c r="B14" s="2"/>
      <c r="C14" s="2"/>
      <c r="D14" s="2"/>
      <c r="E14" s="2"/>
      <c r="F14" s="16"/>
      <c r="G14" s="16"/>
      <c r="H14" s="16"/>
      <c r="I14" s="16"/>
      <c r="J14" s="16"/>
      <c r="K14" s="95" t="s">
        <v>28</v>
      </c>
      <c r="L14" s="75">
        <v>0.0</v>
      </c>
      <c r="M14" s="75">
        <v>174.5</v>
      </c>
      <c r="N14" s="68"/>
      <c r="O14" s="75">
        <v>174.5</v>
      </c>
      <c r="P14" s="75">
        <v>0.0</v>
      </c>
      <c r="Q14" s="22"/>
      <c r="R14" s="3"/>
      <c r="S14" s="3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</row>
    <row r="15">
      <c r="A15" s="2"/>
      <c r="B15" s="2"/>
      <c r="C15" s="2"/>
      <c r="D15" s="2"/>
      <c r="E15" s="2"/>
      <c r="F15" s="16"/>
      <c r="G15" s="16"/>
      <c r="H15" s="16"/>
      <c r="I15" s="16"/>
      <c r="J15" s="16"/>
      <c r="K15" s="96" t="s">
        <v>4</v>
      </c>
      <c r="L15" s="97">
        <f t="shared" ref="L15:M15" si="5">SUM(L4:L14)</f>
        <v>1005.1</v>
      </c>
      <c r="M15" s="97">
        <f t="shared" si="5"/>
        <v>202.54</v>
      </c>
      <c r="N15" s="97">
        <f>SUM(N4:N12)</f>
        <v>0</v>
      </c>
      <c r="O15" s="98"/>
      <c r="P15" s="98">
        <f>(L15+M15)-N15</f>
        <v>1207.64</v>
      </c>
      <c r="Q15" s="22"/>
      <c r="R15" s="3"/>
      <c r="S15" s="3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>
      <c r="A16" s="44"/>
      <c r="B16" s="99"/>
      <c r="C16" s="99"/>
      <c r="D16" s="99"/>
      <c r="E16" s="99"/>
      <c r="F16" s="99"/>
      <c r="G16" s="99"/>
      <c r="H16" s="99"/>
      <c r="I16" s="99"/>
      <c r="J16" s="99"/>
      <c r="K16" s="100"/>
      <c r="L16" s="100"/>
      <c r="M16" s="100"/>
      <c r="N16" s="100"/>
      <c r="O16" s="100"/>
      <c r="P16" s="100"/>
      <c r="Q16" s="3"/>
      <c r="R16" s="3"/>
      <c r="S16" s="3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>
      <c r="A17" s="101"/>
      <c r="B17" s="102" t="s">
        <v>31</v>
      </c>
      <c r="C17" s="56"/>
      <c r="D17" s="103">
        <f>I11+P15</f>
        <v>2321.64</v>
      </c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6"/>
      <c r="Q17" s="10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</row>
    <row r="18">
      <c r="A18" s="4"/>
      <c r="B18" s="105"/>
      <c r="C18" s="105"/>
      <c r="D18" s="105"/>
      <c r="E18" s="105"/>
      <c r="F18" s="105"/>
      <c r="G18" s="105"/>
      <c r="H18" s="105"/>
      <c r="I18" s="105"/>
      <c r="J18" s="105"/>
      <c r="K18" s="105"/>
      <c r="L18" s="105"/>
      <c r="M18" s="105"/>
      <c r="N18" s="105"/>
      <c r="O18" s="105"/>
      <c r="P18" s="105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</sheetData>
  <mergeCells count="13">
    <mergeCell ref="N9:O9"/>
    <mergeCell ref="N10:O10"/>
    <mergeCell ref="N11:O11"/>
    <mergeCell ref="N12:O12"/>
    <mergeCell ref="B17:C17"/>
    <mergeCell ref="D17:P17"/>
    <mergeCell ref="B2:P2"/>
    <mergeCell ref="N3:O3"/>
    <mergeCell ref="N4:O4"/>
    <mergeCell ref="N5:O5"/>
    <mergeCell ref="N6:O6"/>
    <mergeCell ref="N7:O7"/>
    <mergeCell ref="N8:O8"/>
  </mergeCells>
  <drawing r:id="rId2"/>
  <legacyDrawing r:id="rId3"/>
  <tableParts count="2"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13"/>
    <col customWidth="1" min="2" max="2" width="10.0"/>
    <col customWidth="1" min="3" max="3" width="8.75"/>
    <col customWidth="1" min="4" max="4" width="6.5"/>
    <col customWidth="1" min="5" max="5" width="11.0"/>
    <col customWidth="1" min="6" max="6" width="8.63"/>
    <col customWidth="1" min="7" max="7" width="5.88"/>
    <col customWidth="1" min="8" max="8" width="10.0"/>
    <col customWidth="1" min="9" max="9" width="11.0"/>
    <col customWidth="1" min="10" max="10" width="3.13"/>
    <col customWidth="1" min="11" max="11" width="12.5"/>
    <col customWidth="1" min="12" max="13" width="11.13"/>
    <col customWidth="1" min="14" max="14" width="6.0"/>
    <col customWidth="1" min="15" max="15" width="5.38"/>
    <col customWidth="1" min="16" max="16" width="11.13"/>
    <col customWidth="1" min="17" max="31" width="13.0"/>
  </cols>
  <sheetData>
    <row r="1">
      <c r="A1" s="1"/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3"/>
      <c r="R1" s="3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16"/>
      <c r="B2" s="54" t="s">
        <v>35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6"/>
      <c r="Q2" s="57"/>
      <c r="R2" s="3"/>
      <c r="S2" s="3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>
      <c r="A3" s="16"/>
      <c r="B3" s="58" t="s">
        <v>0</v>
      </c>
      <c r="C3" s="59" t="s">
        <v>1</v>
      </c>
      <c r="D3" s="59" t="s">
        <v>34</v>
      </c>
      <c r="E3" s="60" t="s">
        <v>3</v>
      </c>
      <c r="F3" s="58" t="s">
        <v>5</v>
      </c>
      <c r="G3" s="58" t="s">
        <v>6</v>
      </c>
      <c r="H3" s="58" t="s">
        <v>7</v>
      </c>
      <c r="I3" s="61" t="s">
        <v>4</v>
      </c>
      <c r="J3" s="62"/>
      <c r="K3" s="61" t="s">
        <v>8</v>
      </c>
      <c r="L3" s="59" t="s">
        <v>1</v>
      </c>
      <c r="M3" s="59" t="s">
        <v>9</v>
      </c>
      <c r="N3" s="63" t="s">
        <v>3</v>
      </c>
      <c r="O3" s="56"/>
      <c r="P3" s="61" t="s">
        <v>4</v>
      </c>
      <c r="Q3" s="57"/>
      <c r="R3" s="3"/>
      <c r="S3" s="3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>
      <c r="A4" s="16"/>
      <c r="B4" s="64" t="s">
        <v>10</v>
      </c>
      <c r="C4" s="65">
        <v>127.0</v>
      </c>
      <c r="D4" s="65"/>
      <c r="E4" s="67">
        <v>309.0</v>
      </c>
      <c r="F4" s="68"/>
      <c r="G4" s="68"/>
      <c r="H4" s="68">
        <f t="shared" ref="H4:H10" si="1">I4-F4-G4</f>
        <v>-182</v>
      </c>
      <c r="I4" s="68">
        <f t="shared" ref="I4:I10" si="2">C4+D4-E4</f>
        <v>-182</v>
      </c>
      <c r="J4" s="22"/>
      <c r="K4" s="69" t="s">
        <v>11</v>
      </c>
      <c r="L4" s="70">
        <v>39.04</v>
      </c>
      <c r="M4" s="71"/>
      <c r="N4" s="72"/>
      <c r="O4" s="73"/>
      <c r="P4" s="74">
        <f t="shared" ref="P4:P12" si="3">(L4+M4)-N4</f>
        <v>39.04</v>
      </c>
      <c r="Q4" s="22"/>
      <c r="R4" s="3"/>
      <c r="S4" s="3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</row>
    <row r="5">
      <c r="A5" s="16"/>
      <c r="B5" s="64" t="s">
        <v>12</v>
      </c>
      <c r="C5" s="65">
        <v>414.0</v>
      </c>
      <c r="D5" s="65"/>
      <c r="E5" s="76">
        <v>200.0</v>
      </c>
      <c r="F5" s="75">
        <v>121.8</v>
      </c>
      <c r="G5" s="75"/>
      <c r="H5" s="68">
        <f t="shared" si="1"/>
        <v>92.2</v>
      </c>
      <c r="I5" s="68">
        <f t="shared" si="2"/>
        <v>214</v>
      </c>
      <c r="J5" s="22"/>
      <c r="K5" s="77" t="s">
        <v>13</v>
      </c>
      <c r="L5" s="78">
        <v>100.5</v>
      </c>
      <c r="M5" s="79"/>
      <c r="N5" s="80"/>
      <c r="O5" s="81"/>
      <c r="P5" s="82">
        <f t="shared" si="3"/>
        <v>100.5</v>
      </c>
      <c r="Q5" s="22"/>
      <c r="R5" s="3"/>
      <c r="S5" s="3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</row>
    <row r="6">
      <c r="A6" s="16"/>
      <c r="B6" s="64" t="s">
        <v>14</v>
      </c>
      <c r="C6" s="65">
        <v>707.0</v>
      </c>
      <c r="D6" s="65"/>
      <c r="E6" s="76">
        <v>400.0</v>
      </c>
      <c r="F6" s="28">
        <v>146.1</v>
      </c>
      <c r="G6" s="68"/>
      <c r="H6" s="68">
        <f t="shared" si="1"/>
        <v>160.9</v>
      </c>
      <c r="I6" s="68">
        <f t="shared" si="2"/>
        <v>307</v>
      </c>
      <c r="J6" s="22"/>
      <c r="K6" s="69" t="s">
        <v>15</v>
      </c>
      <c r="L6" s="70">
        <v>38.0</v>
      </c>
      <c r="M6" s="71"/>
      <c r="N6" s="72"/>
      <c r="O6" s="73"/>
      <c r="P6" s="74">
        <f t="shared" si="3"/>
        <v>38</v>
      </c>
      <c r="Q6" s="22"/>
      <c r="R6" s="3"/>
      <c r="S6" s="3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</row>
    <row r="7">
      <c r="A7" s="16"/>
      <c r="B7" s="64" t="s">
        <v>16</v>
      </c>
      <c r="C7" s="65">
        <v>438.0</v>
      </c>
      <c r="D7" s="65"/>
      <c r="E7" s="76">
        <v>200.0</v>
      </c>
      <c r="F7" s="75">
        <v>121.8</v>
      </c>
      <c r="G7" s="68"/>
      <c r="H7" s="68">
        <f t="shared" si="1"/>
        <v>116.2</v>
      </c>
      <c r="I7" s="68">
        <f t="shared" si="2"/>
        <v>238</v>
      </c>
      <c r="J7" s="22"/>
      <c r="K7" s="77" t="s">
        <v>17</v>
      </c>
      <c r="L7" s="78">
        <v>10.0</v>
      </c>
      <c r="M7" s="79"/>
      <c r="N7" s="80"/>
      <c r="O7" s="81"/>
      <c r="P7" s="82">
        <f t="shared" si="3"/>
        <v>10</v>
      </c>
      <c r="Q7" s="22"/>
      <c r="R7" s="3"/>
      <c r="S7" s="3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</row>
    <row r="8">
      <c r="A8" s="16"/>
      <c r="B8" s="64" t="s">
        <v>17</v>
      </c>
      <c r="C8" s="65">
        <v>209.0</v>
      </c>
      <c r="D8" s="65"/>
      <c r="E8" s="106"/>
      <c r="F8" s="75">
        <v>121.8</v>
      </c>
      <c r="G8" s="68"/>
      <c r="H8" s="68">
        <f t="shared" si="1"/>
        <v>87.2</v>
      </c>
      <c r="I8" s="68">
        <f t="shared" si="2"/>
        <v>209</v>
      </c>
      <c r="J8" s="22"/>
      <c r="K8" s="84" t="s">
        <v>18</v>
      </c>
      <c r="L8" s="70">
        <v>71.0</v>
      </c>
      <c r="M8" s="71"/>
      <c r="N8" s="72">
        <v>30.0</v>
      </c>
      <c r="O8" s="73"/>
      <c r="P8" s="74">
        <f t="shared" si="3"/>
        <v>41</v>
      </c>
      <c r="Q8" s="22"/>
      <c r="R8" s="3"/>
      <c r="S8" s="3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</row>
    <row r="9">
      <c r="A9" s="16"/>
      <c r="B9" s="64" t="s">
        <v>19</v>
      </c>
      <c r="C9" s="65">
        <v>298.0</v>
      </c>
      <c r="D9" s="65"/>
      <c r="E9" s="106"/>
      <c r="F9" s="28">
        <v>146.1</v>
      </c>
      <c r="G9" s="68"/>
      <c r="H9" s="68">
        <f t="shared" si="1"/>
        <v>151.9</v>
      </c>
      <c r="I9" s="68">
        <f t="shared" si="2"/>
        <v>298</v>
      </c>
      <c r="J9" s="22"/>
      <c r="K9" s="77" t="s">
        <v>20</v>
      </c>
      <c r="L9" s="78">
        <v>56.5</v>
      </c>
      <c r="M9" s="79"/>
      <c r="N9" s="80">
        <v>10.0</v>
      </c>
      <c r="O9" s="81"/>
      <c r="P9" s="82">
        <f t="shared" si="3"/>
        <v>46.5</v>
      </c>
      <c r="Q9" s="22"/>
      <c r="R9" s="3"/>
      <c r="S9" s="3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</row>
    <row r="10">
      <c r="A10" s="16"/>
      <c r="B10" s="64" t="s">
        <v>21</v>
      </c>
      <c r="C10" s="65">
        <v>400.0</v>
      </c>
      <c r="D10" s="65"/>
      <c r="E10" s="76">
        <v>200.0</v>
      </c>
      <c r="F10" s="75">
        <v>121.8</v>
      </c>
      <c r="G10" s="68"/>
      <c r="H10" s="68">
        <f t="shared" si="1"/>
        <v>78.2</v>
      </c>
      <c r="I10" s="68">
        <f t="shared" si="2"/>
        <v>200</v>
      </c>
      <c r="J10" s="22"/>
      <c r="K10" s="69" t="s">
        <v>22</v>
      </c>
      <c r="L10" s="70">
        <v>38.5</v>
      </c>
      <c r="M10" s="71"/>
      <c r="N10" s="72">
        <v>30.0</v>
      </c>
      <c r="O10" s="73"/>
      <c r="P10" s="74">
        <f t="shared" si="3"/>
        <v>8.5</v>
      </c>
      <c r="Q10" s="22"/>
      <c r="R10" s="3"/>
      <c r="S10" s="3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>
      <c r="A11" s="16"/>
      <c r="B11" s="85" t="s">
        <v>4</v>
      </c>
      <c r="C11" s="86">
        <f t="shared" ref="C11:I11" si="4">SUM(C4:C10)</f>
        <v>2593</v>
      </c>
      <c r="D11" s="86">
        <f t="shared" si="4"/>
        <v>0</v>
      </c>
      <c r="E11" s="86">
        <f t="shared" si="4"/>
        <v>1309</v>
      </c>
      <c r="F11" s="87">
        <f t="shared" si="4"/>
        <v>779.4</v>
      </c>
      <c r="G11" s="87">
        <f t="shared" si="4"/>
        <v>0</v>
      </c>
      <c r="H11" s="87">
        <f t="shared" si="4"/>
        <v>504.6</v>
      </c>
      <c r="I11" s="87">
        <f t="shared" si="4"/>
        <v>1284</v>
      </c>
      <c r="J11" s="22"/>
      <c r="K11" s="88" t="s">
        <v>24</v>
      </c>
      <c r="L11" s="79">
        <v>0.0</v>
      </c>
      <c r="M11" s="79"/>
      <c r="N11" s="80">
        <v>0.0</v>
      </c>
      <c r="O11" s="81"/>
      <c r="P11" s="82">
        <f t="shared" si="3"/>
        <v>0</v>
      </c>
      <c r="Q11" s="22"/>
      <c r="R11" s="3"/>
      <c r="S11" s="3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>
      <c r="A12" s="2"/>
      <c r="B12" s="89"/>
      <c r="C12" s="89"/>
      <c r="D12" s="89"/>
      <c r="E12" s="89"/>
      <c r="F12" s="90"/>
      <c r="G12" s="90"/>
      <c r="H12" s="90"/>
      <c r="I12" s="90"/>
      <c r="J12" s="16"/>
      <c r="K12" s="91" t="s">
        <v>25</v>
      </c>
      <c r="L12" s="71">
        <v>174.24</v>
      </c>
      <c r="M12" s="71"/>
      <c r="N12" s="72"/>
      <c r="O12" s="73"/>
      <c r="P12" s="74">
        <f t="shared" si="3"/>
        <v>174.24</v>
      </c>
      <c r="Q12" s="22"/>
      <c r="R12" s="3"/>
      <c r="S12" s="3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>
      <c r="A13" s="2"/>
      <c r="B13" s="2"/>
      <c r="C13" s="2"/>
      <c r="D13" s="2"/>
      <c r="E13" s="2"/>
      <c r="F13" s="16"/>
      <c r="G13" s="16"/>
      <c r="H13" s="16"/>
      <c r="I13" s="16"/>
      <c r="J13" s="16"/>
      <c r="K13" s="92"/>
      <c r="L13" s="93" t="s">
        <v>1</v>
      </c>
      <c r="M13" s="93" t="s">
        <v>26</v>
      </c>
      <c r="N13" s="94" t="s">
        <v>5</v>
      </c>
      <c r="O13" s="93" t="s">
        <v>27</v>
      </c>
      <c r="P13" s="93" t="s">
        <v>7</v>
      </c>
      <c r="Q13" s="22"/>
      <c r="R13" s="3"/>
      <c r="S13" s="3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>
      <c r="A14" s="2"/>
      <c r="B14" s="2"/>
      <c r="C14" s="2"/>
      <c r="D14" s="2"/>
      <c r="E14" s="2"/>
      <c r="F14" s="16"/>
      <c r="G14" s="16"/>
      <c r="H14" s="16"/>
      <c r="I14" s="16"/>
      <c r="J14" s="16"/>
      <c r="K14" s="95" t="s">
        <v>28</v>
      </c>
      <c r="L14" s="75">
        <v>0.0</v>
      </c>
      <c r="M14" s="75">
        <v>174.5</v>
      </c>
      <c r="N14" s="68"/>
      <c r="O14" s="75"/>
      <c r="P14" s="68">
        <f>L14-O14</f>
        <v>0</v>
      </c>
      <c r="Q14" s="22"/>
      <c r="R14" s="3"/>
      <c r="S14" s="3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</row>
    <row r="15">
      <c r="A15" s="2"/>
      <c r="B15" s="2"/>
      <c r="C15" s="2"/>
      <c r="D15" s="2"/>
      <c r="E15" s="2"/>
      <c r="F15" s="16"/>
      <c r="G15" s="16"/>
      <c r="H15" s="16"/>
      <c r="I15" s="16"/>
      <c r="J15" s="16"/>
      <c r="K15" s="96" t="s">
        <v>4</v>
      </c>
      <c r="L15" s="97">
        <f t="shared" ref="L15:M15" si="5">SUM(L4:L14)</f>
        <v>527.78</v>
      </c>
      <c r="M15" s="97">
        <f t="shared" si="5"/>
        <v>174.5</v>
      </c>
      <c r="N15" s="97">
        <f>SUM(N4:N12)</f>
        <v>70</v>
      </c>
      <c r="O15" s="98"/>
      <c r="P15" s="98">
        <f>(L15+M15)-N15</f>
        <v>632.28</v>
      </c>
      <c r="Q15" s="22"/>
      <c r="R15" s="3"/>
      <c r="S15" s="3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>
      <c r="A16" s="44"/>
      <c r="B16" s="99"/>
      <c r="C16" s="99"/>
      <c r="D16" s="99"/>
      <c r="E16" s="99"/>
      <c r="F16" s="99"/>
      <c r="G16" s="99"/>
      <c r="H16" s="99"/>
      <c r="I16" s="99"/>
      <c r="J16" s="99"/>
      <c r="K16" s="100"/>
      <c r="L16" s="100"/>
      <c r="M16" s="100"/>
      <c r="N16" s="100"/>
      <c r="O16" s="100"/>
      <c r="P16" s="100"/>
      <c r="Q16" s="3"/>
      <c r="R16" s="3"/>
      <c r="S16" s="3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>
      <c r="A17" s="101"/>
      <c r="B17" s="102" t="s">
        <v>31</v>
      </c>
      <c r="C17" s="56"/>
      <c r="D17" s="103">
        <f>I11+P15</f>
        <v>1916.28</v>
      </c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6"/>
      <c r="Q17" s="10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</row>
    <row r="18">
      <c r="A18" s="4"/>
      <c r="B18" s="105"/>
      <c r="C18" s="105"/>
      <c r="D18" s="105"/>
      <c r="E18" s="105"/>
      <c r="F18" s="105"/>
      <c r="G18" s="105"/>
      <c r="H18" s="105"/>
      <c r="I18" s="105"/>
      <c r="J18" s="105"/>
      <c r="K18" s="105"/>
      <c r="L18" s="105"/>
      <c r="M18" s="105"/>
      <c r="N18" s="105"/>
      <c r="O18" s="105"/>
      <c r="P18" s="105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</sheetData>
  <mergeCells count="13">
    <mergeCell ref="N9:O9"/>
    <mergeCell ref="N10:O10"/>
    <mergeCell ref="N11:O11"/>
    <mergeCell ref="N12:O12"/>
    <mergeCell ref="B17:C17"/>
    <mergeCell ref="D17:P17"/>
    <mergeCell ref="B2:P2"/>
    <mergeCell ref="N3:O3"/>
    <mergeCell ref="N4:O4"/>
    <mergeCell ref="N5:O5"/>
    <mergeCell ref="N6:O6"/>
    <mergeCell ref="N7:O7"/>
    <mergeCell ref="N8:O8"/>
  </mergeCells>
  <drawing r:id="rId2"/>
  <legacyDrawing r:id="rId3"/>
  <tableParts count="2">
    <tablePart r:id="rId6"/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0.38"/>
    <col customWidth="1" min="2" max="2" width="11.0"/>
    <col customWidth="1" min="3" max="3" width="7.0"/>
    <col customWidth="1" min="4" max="4" width="8.25"/>
    <col customWidth="1" min="5" max="6" width="11.0"/>
    <col customWidth="1" min="7" max="7" width="6.13"/>
    <col customWidth="1" min="8" max="8" width="8.88"/>
    <col customWidth="1" min="9" max="9" width="11.0"/>
    <col customWidth="1" min="10" max="10" width="3.13"/>
    <col customWidth="1" min="11" max="11" width="12.5"/>
    <col customWidth="1" min="12" max="13" width="11.13"/>
    <col customWidth="1" min="14" max="14" width="6.0"/>
    <col customWidth="1" min="15" max="15" width="5.38"/>
    <col customWidth="1" min="16" max="16" width="11.13"/>
    <col customWidth="1" min="17" max="31" width="13.0"/>
  </cols>
  <sheetData>
    <row r="1">
      <c r="A1" s="1"/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3"/>
      <c r="R1" s="3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16"/>
      <c r="B2" s="54" t="s">
        <v>36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6"/>
      <c r="Q2" s="57"/>
      <c r="R2" s="3"/>
      <c r="S2" s="3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>
      <c r="A3" s="16"/>
      <c r="B3" s="58" t="s">
        <v>0</v>
      </c>
      <c r="C3" s="59" t="s">
        <v>1</v>
      </c>
      <c r="D3" s="59" t="s">
        <v>34</v>
      </c>
      <c r="E3" s="60" t="s">
        <v>3</v>
      </c>
      <c r="F3" s="58" t="s">
        <v>5</v>
      </c>
      <c r="G3" s="58" t="s">
        <v>6</v>
      </c>
      <c r="H3" s="58" t="s">
        <v>7</v>
      </c>
      <c r="I3" s="61" t="s">
        <v>4</v>
      </c>
      <c r="J3" s="62"/>
      <c r="K3" s="61" t="s">
        <v>8</v>
      </c>
      <c r="L3" s="59" t="s">
        <v>1</v>
      </c>
      <c r="M3" s="59" t="s">
        <v>9</v>
      </c>
      <c r="N3" s="63" t="s">
        <v>3</v>
      </c>
      <c r="O3" s="56"/>
      <c r="P3" s="61" t="s">
        <v>4</v>
      </c>
      <c r="Q3" s="57"/>
      <c r="R3" s="3"/>
      <c r="S3" s="3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>
      <c r="A4" s="16"/>
      <c r="B4" s="64" t="s">
        <v>10</v>
      </c>
      <c r="C4" s="65">
        <v>38.0</v>
      </c>
      <c r="D4" s="65"/>
      <c r="E4" s="67">
        <v>282.0</v>
      </c>
      <c r="F4" s="68"/>
      <c r="G4" s="68"/>
      <c r="H4" s="68">
        <f t="shared" ref="H4:H10" si="1">I4-F4-G4</f>
        <v>-244</v>
      </c>
      <c r="I4" s="68">
        <f t="shared" ref="I4:I10" si="2">C4+D4-E4</f>
        <v>-244</v>
      </c>
      <c r="J4" s="22"/>
      <c r="K4" s="69" t="s">
        <v>11</v>
      </c>
      <c r="L4" s="70">
        <v>58.0</v>
      </c>
      <c r="M4" s="71"/>
      <c r="N4" s="72">
        <v>10.0</v>
      </c>
      <c r="O4" s="73"/>
      <c r="P4" s="74">
        <f t="shared" ref="P4:P12" si="3">(L4+M4)-N4</f>
        <v>48</v>
      </c>
      <c r="Q4" s="22"/>
      <c r="R4" s="3"/>
      <c r="S4" s="3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</row>
    <row r="5">
      <c r="A5" s="16"/>
      <c r="B5" s="64" t="s">
        <v>12</v>
      </c>
      <c r="C5" s="65">
        <v>614.0</v>
      </c>
      <c r="D5" s="76">
        <v>200.0</v>
      </c>
      <c r="E5" s="76">
        <v>500.0</v>
      </c>
      <c r="F5" s="28">
        <v>146.1</v>
      </c>
      <c r="G5" s="75"/>
      <c r="H5" s="68">
        <f t="shared" si="1"/>
        <v>167.9</v>
      </c>
      <c r="I5" s="68">
        <f t="shared" si="2"/>
        <v>314</v>
      </c>
      <c r="J5" s="22"/>
      <c r="K5" s="77" t="s">
        <v>13</v>
      </c>
      <c r="L5" s="78">
        <v>8.0</v>
      </c>
      <c r="M5" s="79"/>
      <c r="N5" s="80"/>
      <c r="O5" s="81"/>
      <c r="P5" s="82">
        <f t="shared" si="3"/>
        <v>8</v>
      </c>
      <c r="Q5" s="22"/>
      <c r="R5" s="3"/>
      <c r="S5" s="3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</row>
    <row r="6">
      <c r="A6" s="16"/>
      <c r="B6" s="64" t="s">
        <v>14</v>
      </c>
      <c r="C6" s="65">
        <v>335.0</v>
      </c>
      <c r="D6" s="76">
        <v>200.0</v>
      </c>
      <c r="E6" s="76">
        <v>300.0</v>
      </c>
      <c r="F6" s="75">
        <v>121.8</v>
      </c>
      <c r="G6" s="68"/>
      <c r="H6" s="68">
        <f t="shared" si="1"/>
        <v>113.2</v>
      </c>
      <c r="I6" s="68">
        <f t="shared" si="2"/>
        <v>235</v>
      </c>
      <c r="J6" s="22"/>
      <c r="K6" s="69" t="s">
        <v>15</v>
      </c>
      <c r="L6" s="70">
        <v>78.0</v>
      </c>
      <c r="M6" s="71"/>
      <c r="N6" s="72"/>
      <c r="O6" s="73"/>
      <c r="P6" s="74">
        <f t="shared" si="3"/>
        <v>78</v>
      </c>
      <c r="Q6" s="22"/>
      <c r="R6" s="3"/>
      <c r="S6" s="3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</row>
    <row r="7">
      <c r="A7" s="16"/>
      <c r="B7" s="64" t="s">
        <v>16</v>
      </c>
      <c r="C7" s="65">
        <v>426.0</v>
      </c>
      <c r="D7" s="76">
        <v>200.0</v>
      </c>
      <c r="E7" s="76">
        <v>400.0</v>
      </c>
      <c r="F7" s="75">
        <v>121.8</v>
      </c>
      <c r="G7" s="68"/>
      <c r="H7" s="68">
        <f t="shared" si="1"/>
        <v>104.2</v>
      </c>
      <c r="I7" s="68">
        <f t="shared" si="2"/>
        <v>226</v>
      </c>
      <c r="J7" s="22"/>
      <c r="K7" s="77" t="s">
        <v>17</v>
      </c>
      <c r="L7" s="78">
        <v>296.0</v>
      </c>
      <c r="M7" s="79"/>
      <c r="N7" s="80"/>
      <c r="O7" s="81"/>
      <c r="P7" s="82">
        <f t="shared" si="3"/>
        <v>296</v>
      </c>
      <c r="Q7" s="22"/>
      <c r="R7" s="3"/>
      <c r="S7" s="3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</row>
    <row r="8">
      <c r="A8" s="16"/>
      <c r="B8" s="64" t="s">
        <v>17</v>
      </c>
      <c r="C8" s="65">
        <v>336.0</v>
      </c>
      <c r="D8" s="76">
        <v>200.0</v>
      </c>
      <c r="E8" s="76">
        <v>300.0</v>
      </c>
      <c r="F8" s="75">
        <v>121.8</v>
      </c>
      <c r="G8" s="68"/>
      <c r="H8" s="68">
        <f t="shared" si="1"/>
        <v>114.2</v>
      </c>
      <c r="I8" s="68">
        <f t="shared" si="2"/>
        <v>236</v>
      </c>
      <c r="J8" s="22"/>
      <c r="K8" s="84" t="s">
        <v>18</v>
      </c>
      <c r="L8" s="70">
        <v>150.5</v>
      </c>
      <c r="M8" s="71"/>
      <c r="N8" s="72"/>
      <c r="O8" s="73"/>
      <c r="P8" s="74">
        <f t="shared" si="3"/>
        <v>150.5</v>
      </c>
      <c r="Q8" s="22"/>
      <c r="R8" s="3"/>
      <c r="S8" s="3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</row>
    <row r="9">
      <c r="A9" s="16"/>
      <c r="B9" s="64" t="s">
        <v>19</v>
      </c>
      <c r="C9" s="65">
        <v>90.0</v>
      </c>
      <c r="D9" s="65"/>
      <c r="E9" s="106"/>
      <c r="F9" s="68"/>
      <c r="G9" s="68"/>
      <c r="H9" s="68">
        <f t="shared" si="1"/>
        <v>90</v>
      </c>
      <c r="I9" s="68">
        <f t="shared" si="2"/>
        <v>90</v>
      </c>
      <c r="J9" s="22"/>
      <c r="K9" s="77" t="s">
        <v>20</v>
      </c>
      <c r="L9" s="78">
        <v>80.0</v>
      </c>
      <c r="M9" s="79"/>
      <c r="N9" s="80"/>
      <c r="O9" s="81"/>
      <c r="P9" s="82">
        <f t="shared" si="3"/>
        <v>80</v>
      </c>
      <c r="Q9" s="22"/>
      <c r="R9" s="3"/>
      <c r="S9" s="3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</row>
    <row r="10">
      <c r="A10" s="16"/>
      <c r="B10" s="64" t="s">
        <v>21</v>
      </c>
      <c r="C10" s="65"/>
      <c r="D10" s="65"/>
      <c r="E10" s="76">
        <v>200.0</v>
      </c>
      <c r="F10" s="68"/>
      <c r="G10" s="68"/>
      <c r="H10" s="68">
        <f t="shared" si="1"/>
        <v>-200</v>
      </c>
      <c r="I10" s="68">
        <f t="shared" si="2"/>
        <v>-200</v>
      </c>
      <c r="J10" s="22"/>
      <c r="K10" s="69" t="s">
        <v>22</v>
      </c>
      <c r="L10" s="70">
        <v>4.0</v>
      </c>
      <c r="M10" s="71"/>
      <c r="N10" s="72"/>
      <c r="O10" s="73"/>
      <c r="P10" s="74">
        <f t="shared" si="3"/>
        <v>4</v>
      </c>
      <c r="Q10" s="22"/>
      <c r="R10" s="3"/>
      <c r="S10" s="3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>
      <c r="A11" s="16"/>
      <c r="B11" s="85" t="s">
        <v>4</v>
      </c>
      <c r="C11" s="86">
        <f t="shared" ref="C11:I11" si="4">SUM(C4:C10)</f>
        <v>1839</v>
      </c>
      <c r="D11" s="86">
        <f t="shared" si="4"/>
        <v>800</v>
      </c>
      <c r="E11" s="86">
        <f t="shared" si="4"/>
        <v>1982</v>
      </c>
      <c r="F11" s="87">
        <f t="shared" si="4"/>
        <v>511.5</v>
      </c>
      <c r="G11" s="87">
        <f t="shared" si="4"/>
        <v>0</v>
      </c>
      <c r="H11" s="87">
        <f t="shared" si="4"/>
        <v>145.5</v>
      </c>
      <c r="I11" s="87">
        <f t="shared" si="4"/>
        <v>657</v>
      </c>
      <c r="J11" s="22"/>
      <c r="K11" s="88" t="s">
        <v>24</v>
      </c>
      <c r="L11" s="79"/>
      <c r="M11" s="79"/>
      <c r="N11" s="80"/>
      <c r="O11" s="81"/>
      <c r="P11" s="82">
        <f t="shared" si="3"/>
        <v>0</v>
      </c>
      <c r="Q11" s="22"/>
      <c r="R11" s="3"/>
      <c r="S11" s="3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>
      <c r="A12" s="2"/>
      <c r="B12" s="89"/>
      <c r="C12" s="89"/>
      <c r="D12" s="89"/>
      <c r="E12" s="89"/>
      <c r="F12" s="90"/>
      <c r="G12" s="90"/>
      <c r="H12" s="90"/>
      <c r="I12" s="90"/>
      <c r="J12" s="16"/>
      <c r="K12" s="91" t="s">
        <v>25</v>
      </c>
      <c r="L12" s="71">
        <v>248.4</v>
      </c>
      <c r="M12" s="71"/>
      <c r="N12" s="72"/>
      <c r="O12" s="73"/>
      <c r="P12" s="74">
        <f t="shared" si="3"/>
        <v>248.4</v>
      </c>
      <c r="Q12" s="22"/>
      <c r="R12" s="3"/>
      <c r="S12" s="3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>
      <c r="A13" s="2"/>
      <c r="B13" s="2"/>
      <c r="C13" s="2"/>
      <c r="D13" s="2"/>
      <c r="E13" s="2"/>
      <c r="F13" s="16"/>
      <c r="G13" s="16"/>
      <c r="H13" s="16"/>
      <c r="I13" s="16"/>
      <c r="J13" s="16"/>
      <c r="K13" s="92"/>
      <c r="L13" s="93" t="s">
        <v>1</v>
      </c>
      <c r="M13" s="93" t="s">
        <v>26</v>
      </c>
      <c r="N13" s="94" t="s">
        <v>5</v>
      </c>
      <c r="O13" s="93" t="s">
        <v>27</v>
      </c>
      <c r="P13" s="93" t="s">
        <v>7</v>
      </c>
      <c r="Q13" s="22"/>
      <c r="R13" s="3"/>
      <c r="S13" s="3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>
      <c r="A14" s="2"/>
      <c r="B14" s="2"/>
      <c r="C14" s="2"/>
      <c r="D14" s="2"/>
      <c r="E14" s="2"/>
      <c r="F14" s="16"/>
      <c r="G14" s="16"/>
      <c r="H14" s="16"/>
      <c r="I14" s="16"/>
      <c r="J14" s="16"/>
      <c r="K14" s="95" t="s">
        <v>28</v>
      </c>
      <c r="L14" s="75">
        <v>0.0</v>
      </c>
      <c r="M14" s="75">
        <v>203.49</v>
      </c>
      <c r="N14" s="68"/>
      <c r="O14" s="75"/>
      <c r="P14" s="68">
        <f>L14-O14</f>
        <v>0</v>
      </c>
      <c r="Q14" s="22"/>
      <c r="R14" s="3"/>
      <c r="S14" s="3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</row>
    <row r="15">
      <c r="A15" s="2"/>
      <c r="B15" s="2"/>
      <c r="C15" s="2"/>
      <c r="D15" s="2"/>
      <c r="E15" s="2"/>
      <c r="F15" s="16"/>
      <c r="G15" s="16"/>
      <c r="H15" s="16"/>
      <c r="I15" s="16"/>
      <c r="J15" s="16"/>
      <c r="K15" s="96" t="s">
        <v>4</v>
      </c>
      <c r="L15" s="97">
        <f t="shared" ref="L15:M15" si="5">SUM(L4:L14)</f>
        <v>922.9</v>
      </c>
      <c r="M15" s="97">
        <f t="shared" si="5"/>
        <v>203.49</v>
      </c>
      <c r="N15" s="97">
        <f>SUM(N4:N12)</f>
        <v>10</v>
      </c>
      <c r="O15" s="98"/>
      <c r="P15" s="98">
        <f>(L15+M15)-N15</f>
        <v>1116.39</v>
      </c>
      <c r="Q15" s="22"/>
      <c r="R15" s="3"/>
      <c r="S15" s="3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>
      <c r="A16" s="44"/>
      <c r="B16" s="99"/>
      <c r="C16" s="99"/>
      <c r="D16" s="99"/>
      <c r="E16" s="99"/>
      <c r="F16" s="99"/>
      <c r="G16" s="99"/>
      <c r="H16" s="99"/>
      <c r="I16" s="99"/>
      <c r="J16" s="99"/>
      <c r="K16" s="100"/>
      <c r="L16" s="100"/>
      <c r="M16" s="100"/>
      <c r="N16" s="100"/>
      <c r="O16" s="100"/>
      <c r="P16" s="100"/>
      <c r="Q16" s="3"/>
      <c r="R16" s="3"/>
      <c r="S16" s="3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>
      <c r="A17" s="101"/>
      <c r="B17" s="102" t="s">
        <v>31</v>
      </c>
      <c r="C17" s="56"/>
      <c r="D17" s="103">
        <f>I11+P15</f>
        <v>1773.39</v>
      </c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6"/>
      <c r="Q17" s="10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</row>
    <row r="18">
      <c r="A18" s="4"/>
      <c r="B18" s="105"/>
      <c r="C18" s="105"/>
      <c r="D18" s="105"/>
      <c r="E18" s="105"/>
      <c r="F18" s="105"/>
      <c r="G18" s="105"/>
      <c r="H18" s="105"/>
      <c r="I18" s="105"/>
      <c r="J18" s="105"/>
      <c r="K18" s="105"/>
      <c r="L18" s="105"/>
      <c r="M18" s="105"/>
      <c r="N18" s="105"/>
      <c r="O18" s="105"/>
      <c r="P18" s="105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</sheetData>
  <mergeCells count="13">
    <mergeCell ref="N9:O9"/>
    <mergeCell ref="N10:O10"/>
    <mergeCell ref="N11:O11"/>
    <mergeCell ref="N12:O12"/>
    <mergeCell ref="B17:C17"/>
    <mergeCell ref="D17:P17"/>
    <mergeCell ref="B2:P2"/>
    <mergeCell ref="N3:O3"/>
    <mergeCell ref="N4:O4"/>
    <mergeCell ref="N5:O5"/>
    <mergeCell ref="N6:O6"/>
    <mergeCell ref="N7:O7"/>
    <mergeCell ref="N8:O8"/>
  </mergeCells>
  <drawing r:id="rId2"/>
  <legacyDrawing r:id="rId3"/>
  <tableParts count="2">
    <tablePart r:id="rId6"/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customWidth="1" min="2" max="9" width="11.0"/>
    <col customWidth="1" min="10" max="10" width="3.13"/>
    <col customWidth="1" min="11" max="11" width="12.5"/>
    <col customWidth="1" min="12" max="13" width="11.13"/>
    <col customWidth="1" min="14" max="14" width="6.0"/>
    <col customWidth="1" min="15" max="15" width="5.38"/>
    <col customWidth="1" min="16" max="16" width="11.13"/>
    <col customWidth="1" min="17" max="31" width="13.0"/>
  </cols>
  <sheetData>
    <row r="1">
      <c r="A1" s="1"/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3"/>
      <c r="R1" s="3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16"/>
      <c r="B2" s="54" t="s">
        <v>37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6"/>
      <c r="Q2" s="57"/>
      <c r="R2" s="3"/>
      <c r="S2" s="3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>
      <c r="A3" s="16"/>
      <c r="B3" s="58" t="s">
        <v>0</v>
      </c>
      <c r="C3" s="59" t="s">
        <v>1</v>
      </c>
      <c r="D3" s="59" t="s">
        <v>34</v>
      </c>
      <c r="E3" s="60" t="s">
        <v>3</v>
      </c>
      <c r="F3" s="58" t="s">
        <v>5</v>
      </c>
      <c r="G3" s="58" t="s">
        <v>6</v>
      </c>
      <c r="H3" s="58" t="s">
        <v>7</v>
      </c>
      <c r="I3" s="61" t="s">
        <v>4</v>
      </c>
      <c r="J3" s="62"/>
      <c r="K3" s="61" t="s">
        <v>8</v>
      </c>
      <c r="L3" s="59" t="s">
        <v>1</v>
      </c>
      <c r="M3" s="59" t="s">
        <v>9</v>
      </c>
      <c r="N3" s="63" t="s">
        <v>3</v>
      </c>
      <c r="O3" s="56"/>
      <c r="P3" s="61" t="s">
        <v>4</v>
      </c>
      <c r="Q3" s="57"/>
      <c r="R3" s="3"/>
      <c r="S3" s="3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>
      <c r="A4" s="16"/>
      <c r="B4" s="64" t="s">
        <v>10</v>
      </c>
      <c r="C4" s="65"/>
      <c r="D4" s="65"/>
      <c r="E4" s="67">
        <v>344.0</v>
      </c>
      <c r="F4" s="68"/>
      <c r="G4" s="68"/>
      <c r="H4" s="68">
        <f t="shared" ref="H4:H10" si="1">I4-F4-G4</f>
        <v>-344</v>
      </c>
      <c r="I4" s="68">
        <f t="shared" ref="I4:I10" si="2">C4+D4-E4</f>
        <v>-344</v>
      </c>
      <c r="J4" s="22"/>
      <c r="K4" s="69" t="s">
        <v>11</v>
      </c>
      <c r="L4" s="70"/>
      <c r="M4" s="71"/>
      <c r="N4" s="72"/>
      <c r="O4" s="73"/>
      <c r="P4" s="74">
        <f t="shared" ref="P4:P12" si="3">(L4+M4)-N4</f>
        <v>0</v>
      </c>
      <c r="Q4" s="22"/>
      <c r="R4" s="3"/>
      <c r="S4" s="3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</row>
    <row r="5">
      <c r="A5" s="16"/>
      <c r="B5" s="64" t="s">
        <v>12</v>
      </c>
      <c r="C5" s="65"/>
      <c r="D5" s="65"/>
      <c r="E5" s="76"/>
      <c r="F5" s="75"/>
      <c r="G5" s="75"/>
      <c r="H5" s="68">
        <f t="shared" si="1"/>
        <v>0</v>
      </c>
      <c r="I5" s="68">
        <f t="shared" si="2"/>
        <v>0</v>
      </c>
      <c r="J5" s="22"/>
      <c r="K5" s="77" t="s">
        <v>13</v>
      </c>
      <c r="L5" s="78"/>
      <c r="M5" s="79"/>
      <c r="N5" s="80"/>
      <c r="O5" s="81"/>
      <c r="P5" s="82">
        <f t="shared" si="3"/>
        <v>0</v>
      </c>
      <c r="Q5" s="22"/>
      <c r="R5" s="3"/>
      <c r="S5" s="3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</row>
    <row r="6">
      <c r="A6" s="16"/>
      <c r="B6" s="64" t="s">
        <v>14</v>
      </c>
      <c r="C6" s="65"/>
      <c r="D6" s="65"/>
      <c r="E6" s="76"/>
      <c r="F6" s="68"/>
      <c r="G6" s="68"/>
      <c r="H6" s="68">
        <f t="shared" si="1"/>
        <v>0</v>
      </c>
      <c r="I6" s="68">
        <f t="shared" si="2"/>
        <v>0</v>
      </c>
      <c r="J6" s="22"/>
      <c r="K6" s="69" t="s">
        <v>15</v>
      </c>
      <c r="L6" s="70"/>
      <c r="M6" s="71"/>
      <c r="N6" s="72"/>
      <c r="O6" s="73"/>
      <c r="P6" s="74">
        <f t="shared" si="3"/>
        <v>0</v>
      </c>
      <c r="Q6" s="22"/>
      <c r="R6" s="3"/>
      <c r="S6" s="3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</row>
    <row r="7">
      <c r="A7" s="16"/>
      <c r="B7" s="64" t="s">
        <v>16</v>
      </c>
      <c r="C7" s="65"/>
      <c r="D7" s="65"/>
      <c r="E7" s="106"/>
      <c r="F7" s="68"/>
      <c r="G7" s="68"/>
      <c r="H7" s="68">
        <f t="shared" si="1"/>
        <v>0</v>
      </c>
      <c r="I7" s="68">
        <f t="shared" si="2"/>
        <v>0</v>
      </c>
      <c r="J7" s="22"/>
      <c r="K7" s="77" t="s">
        <v>17</v>
      </c>
      <c r="L7" s="78"/>
      <c r="M7" s="79">
        <v>10.0</v>
      </c>
      <c r="N7" s="80"/>
      <c r="O7" s="81"/>
      <c r="P7" s="82">
        <f t="shared" si="3"/>
        <v>10</v>
      </c>
      <c r="Q7" s="22"/>
      <c r="R7" s="3"/>
      <c r="S7" s="3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</row>
    <row r="8">
      <c r="A8" s="16"/>
      <c r="B8" s="64" t="s">
        <v>17</v>
      </c>
      <c r="C8" s="65"/>
      <c r="D8" s="65"/>
      <c r="E8" s="106"/>
      <c r="F8" s="68"/>
      <c r="G8" s="68"/>
      <c r="H8" s="68">
        <f t="shared" si="1"/>
        <v>0</v>
      </c>
      <c r="I8" s="68">
        <f t="shared" si="2"/>
        <v>0</v>
      </c>
      <c r="J8" s="22"/>
      <c r="K8" s="84" t="s">
        <v>18</v>
      </c>
      <c r="L8" s="70"/>
      <c r="M8" s="71"/>
      <c r="N8" s="72"/>
      <c r="O8" s="73"/>
      <c r="P8" s="74">
        <f t="shared" si="3"/>
        <v>0</v>
      </c>
      <c r="Q8" s="22"/>
      <c r="R8" s="3"/>
      <c r="S8" s="3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</row>
    <row r="9">
      <c r="A9" s="16"/>
      <c r="B9" s="64" t="s">
        <v>19</v>
      </c>
      <c r="C9" s="65"/>
      <c r="D9" s="65"/>
      <c r="E9" s="106"/>
      <c r="F9" s="68"/>
      <c r="G9" s="68"/>
      <c r="H9" s="68">
        <f t="shared" si="1"/>
        <v>0</v>
      </c>
      <c r="I9" s="68">
        <f t="shared" si="2"/>
        <v>0</v>
      </c>
      <c r="J9" s="22"/>
      <c r="K9" s="77" t="s">
        <v>20</v>
      </c>
      <c r="L9" s="78"/>
      <c r="M9" s="79"/>
      <c r="N9" s="80"/>
      <c r="O9" s="81"/>
      <c r="P9" s="82">
        <f t="shared" si="3"/>
        <v>0</v>
      </c>
      <c r="Q9" s="22"/>
      <c r="R9" s="3"/>
      <c r="S9" s="3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</row>
    <row r="10">
      <c r="A10" s="16"/>
      <c r="B10" s="64" t="s">
        <v>21</v>
      </c>
      <c r="C10" s="65"/>
      <c r="D10" s="65"/>
      <c r="E10" s="106"/>
      <c r="F10" s="68"/>
      <c r="G10" s="68"/>
      <c r="H10" s="68">
        <f t="shared" si="1"/>
        <v>0</v>
      </c>
      <c r="I10" s="68">
        <f t="shared" si="2"/>
        <v>0</v>
      </c>
      <c r="J10" s="22"/>
      <c r="K10" s="69" t="s">
        <v>22</v>
      </c>
      <c r="L10" s="70"/>
      <c r="M10" s="71"/>
      <c r="N10" s="72"/>
      <c r="O10" s="73"/>
      <c r="P10" s="74">
        <f t="shared" si="3"/>
        <v>0</v>
      </c>
      <c r="Q10" s="22"/>
      <c r="R10" s="3"/>
      <c r="S10" s="3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>
      <c r="A11" s="16"/>
      <c r="B11" s="85" t="s">
        <v>4</v>
      </c>
      <c r="C11" s="86">
        <f t="shared" ref="C11:I11" si="4">SUM(C4:C10)</f>
        <v>0</v>
      </c>
      <c r="D11" s="86">
        <f t="shared" si="4"/>
        <v>0</v>
      </c>
      <c r="E11" s="86">
        <f t="shared" si="4"/>
        <v>344</v>
      </c>
      <c r="F11" s="87">
        <f t="shared" si="4"/>
        <v>0</v>
      </c>
      <c r="G11" s="87">
        <f t="shared" si="4"/>
        <v>0</v>
      </c>
      <c r="H11" s="87">
        <f t="shared" si="4"/>
        <v>-344</v>
      </c>
      <c r="I11" s="87">
        <f t="shared" si="4"/>
        <v>-344</v>
      </c>
      <c r="J11" s="22"/>
      <c r="K11" s="88" t="s">
        <v>24</v>
      </c>
      <c r="L11" s="79"/>
      <c r="M11" s="79"/>
      <c r="N11" s="80"/>
      <c r="O11" s="81"/>
      <c r="P11" s="82">
        <f t="shared" si="3"/>
        <v>0</v>
      </c>
      <c r="Q11" s="22"/>
      <c r="R11" s="3"/>
      <c r="S11" s="3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>
      <c r="A12" s="2"/>
      <c r="B12" s="89"/>
      <c r="C12" s="89"/>
      <c r="D12" s="89"/>
      <c r="E12" s="89"/>
      <c r="F12" s="90"/>
      <c r="G12" s="90"/>
      <c r="H12" s="90"/>
      <c r="I12" s="90"/>
      <c r="J12" s="16"/>
      <c r="K12" s="91" t="s">
        <v>25</v>
      </c>
      <c r="L12" s="71"/>
      <c r="M12" s="71"/>
      <c r="N12" s="72"/>
      <c r="O12" s="73"/>
      <c r="P12" s="74">
        <f t="shared" si="3"/>
        <v>0</v>
      </c>
      <c r="Q12" s="22"/>
      <c r="R12" s="3"/>
      <c r="S12" s="3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>
      <c r="A13" s="2"/>
      <c r="B13" s="2"/>
      <c r="C13" s="2"/>
      <c r="D13" s="2"/>
      <c r="E13" s="2"/>
      <c r="F13" s="16"/>
      <c r="G13" s="16"/>
      <c r="H13" s="16"/>
      <c r="I13" s="16"/>
      <c r="J13" s="16"/>
      <c r="K13" s="92"/>
      <c r="L13" s="93" t="s">
        <v>1</v>
      </c>
      <c r="M13" s="93" t="s">
        <v>26</v>
      </c>
      <c r="N13" s="94" t="s">
        <v>5</v>
      </c>
      <c r="O13" s="93" t="s">
        <v>27</v>
      </c>
      <c r="P13" s="93" t="s">
        <v>7</v>
      </c>
      <c r="Q13" s="22"/>
      <c r="R13" s="3"/>
      <c r="S13" s="3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>
      <c r="A14" s="2"/>
      <c r="B14" s="2"/>
      <c r="C14" s="2"/>
      <c r="D14" s="2"/>
      <c r="E14" s="2"/>
      <c r="F14" s="16"/>
      <c r="G14" s="16"/>
      <c r="H14" s="16"/>
      <c r="I14" s="16"/>
      <c r="J14" s="16"/>
      <c r="K14" s="95" t="s">
        <v>28</v>
      </c>
      <c r="L14" s="75">
        <v>0.0</v>
      </c>
      <c r="M14" s="75">
        <v>-2.14</v>
      </c>
      <c r="N14" s="68"/>
      <c r="O14" s="75"/>
      <c r="P14" s="68">
        <f>L14-O14</f>
        <v>0</v>
      </c>
      <c r="Q14" s="22"/>
      <c r="R14" s="3"/>
      <c r="S14" s="3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</row>
    <row r="15">
      <c r="A15" s="2"/>
      <c r="B15" s="2"/>
      <c r="C15" s="2"/>
      <c r="D15" s="2"/>
      <c r="E15" s="2"/>
      <c r="F15" s="16"/>
      <c r="G15" s="16"/>
      <c r="H15" s="16"/>
      <c r="I15" s="16"/>
      <c r="J15" s="16"/>
      <c r="K15" s="96" t="s">
        <v>4</v>
      </c>
      <c r="L15" s="97">
        <f t="shared" ref="L15:M15" si="5">SUM(L4:L14)</f>
        <v>0</v>
      </c>
      <c r="M15" s="97">
        <f t="shared" si="5"/>
        <v>7.86</v>
      </c>
      <c r="N15" s="97">
        <f>SUM(N4:N12)</f>
        <v>0</v>
      </c>
      <c r="O15" s="98"/>
      <c r="P15" s="98">
        <f>(L15+M15)-N15</f>
        <v>7.86</v>
      </c>
      <c r="Q15" s="22"/>
      <c r="R15" s="3"/>
      <c r="S15" s="3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>
      <c r="A16" s="44"/>
      <c r="B16" s="99"/>
      <c r="C16" s="99"/>
      <c r="D16" s="99"/>
      <c r="E16" s="99"/>
      <c r="F16" s="99"/>
      <c r="G16" s="99"/>
      <c r="H16" s="99"/>
      <c r="I16" s="99"/>
      <c r="J16" s="99"/>
      <c r="K16" s="100"/>
      <c r="L16" s="100"/>
      <c r="M16" s="100"/>
      <c r="N16" s="100"/>
      <c r="O16" s="100"/>
      <c r="P16" s="100"/>
      <c r="Q16" s="3"/>
      <c r="R16" s="3"/>
      <c r="S16" s="3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>
      <c r="A17" s="101"/>
      <c r="B17" s="102" t="s">
        <v>31</v>
      </c>
      <c r="C17" s="56"/>
      <c r="D17" s="103">
        <f>I11+P15</f>
        <v>-336.14</v>
      </c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6"/>
      <c r="Q17" s="10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</row>
    <row r="18">
      <c r="A18" s="4"/>
      <c r="B18" s="105"/>
      <c r="C18" s="105"/>
      <c r="D18" s="105"/>
      <c r="E18" s="105"/>
      <c r="F18" s="105"/>
      <c r="G18" s="105"/>
      <c r="H18" s="105"/>
      <c r="I18" s="105"/>
      <c r="J18" s="105"/>
      <c r="K18" s="105"/>
      <c r="L18" s="105"/>
      <c r="M18" s="105"/>
      <c r="N18" s="105"/>
      <c r="O18" s="105"/>
      <c r="P18" s="105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</sheetData>
  <mergeCells count="13">
    <mergeCell ref="N9:O9"/>
    <mergeCell ref="N10:O10"/>
    <mergeCell ref="N11:O11"/>
    <mergeCell ref="N12:O12"/>
    <mergeCell ref="B17:C17"/>
    <mergeCell ref="D17:P17"/>
    <mergeCell ref="B2:P2"/>
    <mergeCell ref="N3:O3"/>
    <mergeCell ref="N4:O4"/>
    <mergeCell ref="N5:O5"/>
    <mergeCell ref="N6:O6"/>
    <mergeCell ref="N7:O7"/>
    <mergeCell ref="N8:O8"/>
  </mergeCells>
  <drawing r:id="rId2"/>
  <legacyDrawing r:id="rId3"/>
  <tableParts count="2">
    <tablePart r:id="rId6"/>
    <tablePart r:id="rId7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customWidth="1" min="2" max="9" width="11.0"/>
    <col customWidth="1" min="10" max="10" width="3.13"/>
    <col customWidth="1" min="11" max="11" width="12.5"/>
    <col customWidth="1" min="12" max="13" width="11.13"/>
    <col customWidth="1" min="14" max="14" width="6.0"/>
    <col customWidth="1" min="15" max="15" width="5.38"/>
    <col customWidth="1" min="16" max="16" width="11.13"/>
    <col customWidth="1" min="17" max="31" width="13.0"/>
  </cols>
  <sheetData>
    <row r="1">
      <c r="A1" s="1"/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3"/>
      <c r="R1" s="3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16"/>
      <c r="B2" s="54" t="s">
        <v>38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6"/>
      <c r="Q2" s="57"/>
      <c r="R2" s="3"/>
      <c r="S2" s="3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>
      <c r="A3" s="16"/>
      <c r="B3" s="58" t="s">
        <v>0</v>
      </c>
      <c r="C3" s="59" t="s">
        <v>1</v>
      </c>
      <c r="D3" s="59" t="s">
        <v>34</v>
      </c>
      <c r="E3" s="60" t="s">
        <v>3</v>
      </c>
      <c r="F3" s="58" t="s">
        <v>5</v>
      </c>
      <c r="G3" s="58" t="s">
        <v>6</v>
      </c>
      <c r="H3" s="58" t="s">
        <v>7</v>
      </c>
      <c r="I3" s="61" t="s">
        <v>4</v>
      </c>
      <c r="J3" s="62"/>
      <c r="K3" s="61" t="s">
        <v>8</v>
      </c>
      <c r="L3" s="59" t="s">
        <v>1</v>
      </c>
      <c r="M3" s="59" t="s">
        <v>9</v>
      </c>
      <c r="N3" s="63" t="s">
        <v>3</v>
      </c>
      <c r="O3" s="56"/>
      <c r="P3" s="61" t="s">
        <v>4</v>
      </c>
      <c r="Q3" s="57"/>
      <c r="R3" s="3"/>
      <c r="S3" s="3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>
      <c r="A4" s="16"/>
      <c r="B4" s="64" t="s">
        <v>10</v>
      </c>
      <c r="C4" s="65"/>
      <c r="D4" s="65"/>
      <c r="E4" s="67">
        <v>100.0</v>
      </c>
      <c r="F4" s="68"/>
      <c r="G4" s="68"/>
      <c r="H4" s="68">
        <f t="shared" ref="H4:H10" si="1">I4-F4-G4</f>
        <v>-100</v>
      </c>
      <c r="I4" s="68">
        <f t="shared" ref="I4:I10" si="2">C4+D4-E4</f>
        <v>-100</v>
      </c>
      <c r="J4" s="22"/>
      <c r="K4" s="69" t="s">
        <v>11</v>
      </c>
      <c r="L4" s="70"/>
      <c r="M4" s="71"/>
      <c r="N4" s="72"/>
      <c r="O4" s="73"/>
      <c r="P4" s="74">
        <f t="shared" ref="P4:P12" si="3">(L4+M4)-N4</f>
        <v>0</v>
      </c>
      <c r="Q4" s="22"/>
      <c r="R4" s="3"/>
      <c r="S4" s="3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</row>
    <row r="5">
      <c r="A5" s="16"/>
      <c r="B5" s="64" t="s">
        <v>12</v>
      </c>
      <c r="C5" s="65"/>
      <c r="D5" s="65"/>
      <c r="E5" s="76"/>
      <c r="F5" s="75"/>
      <c r="G5" s="75"/>
      <c r="H5" s="68">
        <f t="shared" si="1"/>
        <v>0</v>
      </c>
      <c r="I5" s="68">
        <f t="shared" si="2"/>
        <v>0</v>
      </c>
      <c r="J5" s="22"/>
      <c r="K5" s="77" t="s">
        <v>13</v>
      </c>
      <c r="L5" s="78"/>
      <c r="M5" s="79"/>
      <c r="N5" s="80"/>
      <c r="O5" s="81"/>
      <c r="P5" s="82">
        <f t="shared" si="3"/>
        <v>0</v>
      </c>
      <c r="Q5" s="22"/>
      <c r="R5" s="3"/>
      <c r="S5" s="3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</row>
    <row r="6">
      <c r="A6" s="16"/>
      <c r="B6" s="64" t="s">
        <v>14</v>
      </c>
      <c r="C6" s="65"/>
      <c r="D6" s="65"/>
      <c r="E6" s="76"/>
      <c r="F6" s="68"/>
      <c r="G6" s="68"/>
      <c r="H6" s="68">
        <f t="shared" si="1"/>
        <v>0</v>
      </c>
      <c r="I6" s="68">
        <f t="shared" si="2"/>
        <v>0</v>
      </c>
      <c r="J6" s="22"/>
      <c r="K6" s="69" t="s">
        <v>15</v>
      </c>
      <c r="L6" s="70"/>
      <c r="M6" s="71"/>
      <c r="N6" s="72"/>
      <c r="O6" s="73"/>
      <c r="P6" s="74">
        <f t="shared" si="3"/>
        <v>0</v>
      </c>
      <c r="Q6" s="22"/>
      <c r="R6" s="3"/>
      <c r="S6" s="3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</row>
    <row r="7">
      <c r="A7" s="16"/>
      <c r="B7" s="64" t="s">
        <v>16</v>
      </c>
      <c r="C7" s="65"/>
      <c r="D7" s="65"/>
      <c r="E7" s="106"/>
      <c r="F7" s="68"/>
      <c r="G7" s="68"/>
      <c r="H7" s="68">
        <f t="shared" si="1"/>
        <v>0</v>
      </c>
      <c r="I7" s="68">
        <f t="shared" si="2"/>
        <v>0</v>
      </c>
      <c r="J7" s="22"/>
      <c r="K7" s="77" t="s">
        <v>17</v>
      </c>
      <c r="L7" s="78"/>
      <c r="M7" s="79"/>
      <c r="N7" s="80"/>
      <c r="O7" s="81"/>
      <c r="P7" s="82">
        <f t="shared" si="3"/>
        <v>0</v>
      </c>
      <c r="Q7" s="22"/>
      <c r="R7" s="3"/>
      <c r="S7" s="3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</row>
    <row r="8">
      <c r="A8" s="16"/>
      <c r="B8" s="64" t="s">
        <v>17</v>
      </c>
      <c r="C8" s="65"/>
      <c r="D8" s="65"/>
      <c r="E8" s="106"/>
      <c r="F8" s="68"/>
      <c r="G8" s="68"/>
      <c r="H8" s="68">
        <f t="shared" si="1"/>
        <v>0</v>
      </c>
      <c r="I8" s="68">
        <f t="shared" si="2"/>
        <v>0</v>
      </c>
      <c r="J8" s="22"/>
      <c r="K8" s="84" t="s">
        <v>18</v>
      </c>
      <c r="L8" s="70"/>
      <c r="M8" s="71"/>
      <c r="N8" s="72"/>
      <c r="O8" s="73"/>
      <c r="P8" s="74">
        <f t="shared" si="3"/>
        <v>0</v>
      </c>
      <c r="Q8" s="22"/>
      <c r="R8" s="3"/>
      <c r="S8" s="3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</row>
    <row r="9">
      <c r="A9" s="16"/>
      <c r="B9" s="64" t="s">
        <v>19</v>
      </c>
      <c r="C9" s="65"/>
      <c r="D9" s="65"/>
      <c r="E9" s="106"/>
      <c r="F9" s="68"/>
      <c r="G9" s="68"/>
      <c r="H9" s="68">
        <f t="shared" si="1"/>
        <v>0</v>
      </c>
      <c r="I9" s="68">
        <f t="shared" si="2"/>
        <v>0</v>
      </c>
      <c r="J9" s="22"/>
      <c r="K9" s="77" t="s">
        <v>20</v>
      </c>
      <c r="L9" s="78"/>
      <c r="M9" s="79"/>
      <c r="N9" s="80"/>
      <c r="O9" s="81"/>
      <c r="P9" s="82">
        <f t="shared" si="3"/>
        <v>0</v>
      </c>
      <c r="Q9" s="22"/>
      <c r="R9" s="3"/>
      <c r="S9" s="3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</row>
    <row r="10">
      <c r="A10" s="16"/>
      <c r="B10" s="64" t="s">
        <v>21</v>
      </c>
      <c r="C10" s="65"/>
      <c r="D10" s="65"/>
      <c r="E10" s="106"/>
      <c r="F10" s="68"/>
      <c r="G10" s="68"/>
      <c r="H10" s="68">
        <f t="shared" si="1"/>
        <v>0</v>
      </c>
      <c r="I10" s="68">
        <f t="shared" si="2"/>
        <v>0</v>
      </c>
      <c r="J10" s="22"/>
      <c r="K10" s="69" t="s">
        <v>22</v>
      </c>
      <c r="L10" s="70"/>
      <c r="M10" s="71"/>
      <c r="N10" s="72"/>
      <c r="O10" s="73"/>
      <c r="P10" s="74">
        <f t="shared" si="3"/>
        <v>0</v>
      </c>
      <c r="Q10" s="22"/>
      <c r="R10" s="3"/>
      <c r="S10" s="3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>
      <c r="A11" s="16"/>
      <c r="B11" s="85" t="s">
        <v>4</v>
      </c>
      <c r="C11" s="86">
        <f t="shared" ref="C11:I11" si="4">SUM(C4:C10)</f>
        <v>0</v>
      </c>
      <c r="D11" s="86">
        <f t="shared" si="4"/>
        <v>0</v>
      </c>
      <c r="E11" s="86">
        <f t="shared" si="4"/>
        <v>100</v>
      </c>
      <c r="F11" s="87">
        <f t="shared" si="4"/>
        <v>0</v>
      </c>
      <c r="G11" s="87">
        <f t="shared" si="4"/>
        <v>0</v>
      </c>
      <c r="H11" s="87">
        <f t="shared" si="4"/>
        <v>-100</v>
      </c>
      <c r="I11" s="87">
        <f t="shared" si="4"/>
        <v>-100</v>
      </c>
      <c r="J11" s="22"/>
      <c r="K11" s="88" t="s">
        <v>24</v>
      </c>
      <c r="L11" s="79"/>
      <c r="M11" s="79"/>
      <c r="N11" s="80"/>
      <c r="O11" s="81"/>
      <c r="P11" s="82">
        <f t="shared" si="3"/>
        <v>0</v>
      </c>
      <c r="Q11" s="22"/>
      <c r="R11" s="3"/>
      <c r="S11" s="3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>
      <c r="A12" s="2"/>
      <c r="B12" s="89"/>
      <c r="C12" s="89"/>
      <c r="D12" s="89"/>
      <c r="E12" s="89"/>
      <c r="F12" s="90"/>
      <c r="G12" s="90"/>
      <c r="H12" s="90"/>
      <c r="I12" s="90"/>
      <c r="J12" s="16"/>
      <c r="K12" s="91" t="s">
        <v>25</v>
      </c>
      <c r="L12" s="71"/>
      <c r="M12" s="71"/>
      <c r="N12" s="72"/>
      <c r="O12" s="73"/>
      <c r="P12" s="74">
        <f t="shared" si="3"/>
        <v>0</v>
      </c>
      <c r="Q12" s="22"/>
      <c r="R12" s="3"/>
      <c r="S12" s="3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>
      <c r="A13" s="2"/>
      <c r="B13" s="2"/>
      <c r="C13" s="2"/>
      <c r="D13" s="2"/>
      <c r="E13" s="2"/>
      <c r="F13" s="16"/>
      <c r="G13" s="16"/>
      <c r="H13" s="16"/>
      <c r="I13" s="16"/>
      <c r="J13" s="16"/>
      <c r="K13" s="92"/>
      <c r="L13" s="93" t="s">
        <v>1</v>
      </c>
      <c r="M13" s="93" t="s">
        <v>26</v>
      </c>
      <c r="N13" s="94" t="s">
        <v>5</v>
      </c>
      <c r="O13" s="93" t="s">
        <v>27</v>
      </c>
      <c r="P13" s="93" t="s">
        <v>7</v>
      </c>
      <c r="Q13" s="22"/>
      <c r="R13" s="3"/>
      <c r="S13" s="3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>
      <c r="A14" s="2"/>
      <c r="B14" s="2"/>
      <c r="C14" s="2"/>
      <c r="D14" s="2"/>
      <c r="E14" s="2"/>
      <c r="F14" s="16"/>
      <c r="G14" s="16"/>
      <c r="H14" s="16"/>
      <c r="I14" s="16"/>
      <c r="J14" s="16"/>
      <c r="K14" s="95" t="s">
        <v>28</v>
      </c>
      <c r="L14" s="75">
        <v>0.0</v>
      </c>
      <c r="M14" s="75">
        <v>-5.33</v>
      </c>
      <c r="N14" s="68"/>
      <c r="O14" s="75"/>
      <c r="P14" s="68">
        <f>L14-O14</f>
        <v>0</v>
      </c>
      <c r="Q14" s="22"/>
      <c r="R14" s="3"/>
      <c r="S14" s="3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</row>
    <row r="15">
      <c r="A15" s="2"/>
      <c r="B15" s="2"/>
      <c r="C15" s="2"/>
      <c r="D15" s="2"/>
      <c r="E15" s="2"/>
      <c r="F15" s="16"/>
      <c r="G15" s="16"/>
      <c r="H15" s="16"/>
      <c r="I15" s="16"/>
      <c r="J15" s="16"/>
      <c r="K15" s="96" t="s">
        <v>4</v>
      </c>
      <c r="L15" s="97">
        <f t="shared" ref="L15:M15" si="5">SUM(L4:L14)</f>
        <v>0</v>
      </c>
      <c r="M15" s="97">
        <f t="shared" si="5"/>
        <v>-5.33</v>
      </c>
      <c r="N15" s="97">
        <f>SUM(N4:N12)</f>
        <v>0</v>
      </c>
      <c r="O15" s="98"/>
      <c r="P15" s="98">
        <f>(L15+M15)-N15</f>
        <v>-5.33</v>
      </c>
      <c r="Q15" s="22"/>
      <c r="R15" s="3"/>
      <c r="S15" s="3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>
      <c r="A16" s="44"/>
      <c r="B16" s="99"/>
      <c r="C16" s="99"/>
      <c r="D16" s="99"/>
      <c r="E16" s="99"/>
      <c r="F16" s="99"/>
      <c r="G16" s="99"/>
      <c r="H16" s="99"/>
      <c r="I16" s="99"/>
      <c r="J16" s="99"/>
      <c r="K16" s="100"/>
      <c r="L16" s="100"/>
      <c r="M16" s="100"/>
      <c r="N16" s="100"/>
      <c r="O16" s="100"/>
      <c r="P16" s="100"/>
      <c r="Q16" s="3"/>
      <c r="R16" s="3"/>
      <c r="S16" s="3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>
      <c r="A17" s="101"/>
      <c r="B17" s="102" t="s">
        <v>31</v>
      </c>
      <c r="C17" s="56"/>
      <c r="D17" s="103">
        <f>I11+P15</f>
        <v>-105.33</v>
      </c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6"/>
      <c r="Q17" s="10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</row>
    <row r="18">
      <c r="A18" s="4"/>
      <c r="B18" s="105"/>
      <c r="C18" s="105"/>
      <c r="D18" s="105"/>
      <c r="E18" s="105"/>
      <c r="F18" s="105"/>
      <c r="G18" s="105"/>
      <c r="H18" s="105"/>
      <c r="I18" s="105"/>
      <c r="J18" s="105"/>
      <c r="K18" s="105"/>
      <c r="L18" s="105"/>
      <c r="M18" s="105"/>
      <c r="N18" s="105"/>
      <c r="O18" s="105"/>
      <c r="P18" s="105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</sheetData>
  <mergeCells count="13">
    <mergeCell ref="N9:O9"/>
    <mergeCell ref="N10:O10"/>
    <mergeCell ref="N11:O11"/>
    <mergeCell ref="N12:O12"/>
    <mergeCell ref="B17:C17"/>
    <mergeCell ref="D17:P17"/>
    <mergeCell ref="B2:P2"/>
    <mergeCell ref="N3:O3"/>
    <mergeCell ref="N4:O4"/>
    <mergeCell ref="N5:O5"/>
    <mergeCell ref="N6:O6"/>
    <mergeCell ref="N7:O7"/>
    <mergeCell ref="N8:O8"/>
  </mergeCells>
  <drawing r:id="rId2"/>
  <legacyDrawing r:id="rId3"/>
  <tableParts count="2">
    <tablePart r:id="rId6"/>
    <tablePart r:id="rId7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customWidth="1" min="2" max="9" width="11.0"/>
    <col customWidth="1" min="10" max="10" width="3.13"/>
    <col customWidth="1" min="11" max="11" width="12.5"/>
    <col customWidth="1" min="12" max="13" width="11.13"/>
    <col customWidth="1" min="14" max="14" width="6.0"/>
    <col customWidth="1" min="15" max="15" width="5.38"/>
    <col customWidth="1" min="16" max="16" width="11.13"/>
    <col customWidth="1" min="17" max="31" width="13.0"/>
  </cols>
  <sheetData>
    <row r="1">
      <c r="A1" s="1"/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3"/>
      <c r="R1" s="3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16"/>
      <c r="B2" s="54" t="s">
        <v>39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6"/>
      <c r="Q2" s="57"/>
      <c r="R2" s="3"/>
      <c r="S2" s="3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>
      <c r="A3" s="16"/>
      <c r="B3" s="58" t="s">
        <v>0</v>
      </c>
      <c r="C3" s="59" t="s">
        <v>1</v>
      </c>
      <c r="D3" s="59" t="s">
        <v>34</v>
      </c>
      <c r="E3" s="60" t="s">
        <v>3</v>
      </c>
      <c r="F3" s="58" t="s">
        <v>5</v>
      </c>
      <c r="G3" s="58" t="s">
        <v>6</v>
      </c>
      <c r="H3" s="58" t="s">
        <v>7</v>
      </c>
      <c r="I3" s="61" t="s">
        <v>4</v>
      </c>
      <c r="J3" s="62"/>
      <c r="K3" s="61" t="s">
        <v>8</v>
      </c>
      <c r="L3" s="59" t="s">
        <v>1</v>
      </c>
      <c r="M3" s="59" t="s">
        <v>9</v>
      </c>
      <c r="N3" s="63" t="s">
        <v>3</v>
      </c>
      <c r="O3" s="56"/>
      <c r="P3" s="61" t="s">
        <v>4</v>
      </c>
      <c r="Q3" s="57"/>
      <c r="R3" s="3"/>
      <c r="S3" s="3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>
      <c r="A4" s="16"/>
      <c r="B4" s="64" t="s">
        <v>10</v>
      </c>
      <c r="C4" s="65"/>
      <c r="D4" s="65"/>
      <c r="E4" s="67">
        <v>100.0</v>
      </c>
      <c r="F4" s="68"/>
      <c r="G4" s="68"/>
      <c r="H4" s="68">
        <f t="shared" ref="H4:H10" si="1">I4-F4-G4</f>
        <v>-100</v>
      </c>
      <c r="I4" s="68">
        <f t="shared" ref="I4:I10" si="2">C4+D4-E4</f>
        <v>-100</v>
      </c>
      <c r="J4" s="22"/>
      <c r="K4" s="69" t="s">
        <v>11</v>
      </c>
      <c r="L4" s="70"/>
      <c r="M4" s="71"/>
      <c r="N4" s="72"/>
      <c r="O4" s="73"/>
      <c r="P4" s="74">
        <f t="shared" ref="P4:P12" si="3">(L4+M4)-N4</f>
        <v>0</v>
      </c>
      <c r="Q4" s="22"/>
      <c r="R4" s="3"/>
      <c r="S4" s="3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</row>
    <row r="5">
      <c r="A5" s="16"/>
      <c r="B5" s="64" t="s">
        <v>12</v>
      </c>
      <c r="C5" s="65"/>
      <c r="D5" s="65"/>
      <c r="E5" s="76"/>
      <c r="F5" s="75"/>
      <c r="G5" s="75"/>
      <c r="H5" s="68">
        <f t="shared" si="1"/>
        <v>0</v>
      </c>
      <c r="I5" s="68">
        <f t="shared" si="2"/>
        <v>0</v>
      </c>
      <c r="J5" s="22"/>
      <c r="K5" s="77" t="s">
        <v>13</v>
      </c>
      <c r="L5" s="78"/>
      <c r="M5" s="79"/>
      <c r="N5" s="80"/>
      <c r="O5" s="81"/>
      <c r="P5" s="82">
        <f t="shared" si="3"/>
        <v>0</v>
      </c>
      <c r="Q5" s="22"/>
      <c r="R5" s="3"/>
      <c r="S5" s="3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</row>
    <row r="6">
      <c r="A6" s="16"/>
      <c r="B6" s="64" t="s">
        <v>14</v>
      </c>
      <c r="C6" s="65"/>
      <c r="D6" s="65"/>
      <c r="E6" s="76"/>
      <c r="F6" s="68"/>
      <c r="G6" s="68"/>
      <c r="H6" s="68">
        <f t="shared" si="1"/>
        <v>0</v>
      </c>
      <c r="I6" s="68">
        <f t="shared" si="2"/>
        <v>0</v>
      </c>
      <c r="J6" s="22"/>
      <c r="K6" s="69" t="s">
        <v>15</v>
      </c>
      <c r="L6" s="70"/>
      <c r="M6" s="71"/>
      <c r="N6" s="72"/>
      <c r="O6" s="73"/>
      <c r="P6" s="74">
        <f t="shared" si="3"/>
        <v>0</v>
      </c>
      <c r="Q6" s="22"/>
      <c r="R6" s="3"/>
      <c r="S6" s="3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</row>
    <row r="7">
      <c r="A7" s="16"/>
      <c r="B7" s="64" t="s">
        <v>16</v>
      </c>
      <c r="C7" s="65"/>
      <c r="D7" s="65"/>
      <c r="E7" s="106"/>
      <c r="F7" s="68"/>
      <c r="G7" s="68"/>
      <c r="H7" s="68">
        <f t="shared" si="1"/>
        <v>0</v>
      </c>
      <c r="I7" s="68">
        <f t="shared" si="2"/>
        <v>0</v>
      </c>
      <c r="J7" s="22"/>
      <c r="K7" s="77" t="s">
        <v>17</v>
      </c>
      <c r="L7" s="78"/>
      <c r="M7" s="79"/>
      <c r="N7" s="80"/>
      <c r="O7" s="81"/>
      <c r="P7" s="82">
        <f t="shared" si="3"/>
        <v>0</v>
      </c>
      <c r="Q7" s="22"/>
      <c r="R7" s="3"/>
      <c r="S7" s="3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</row>
    <row r="8">
      <c r="A8" s="16"/>
      <c r="B8" s="64" t="s">
        <v>17</v>
      </c>
      <c r="C8" s="65"/>
      <c r="D8" s="65"/>
      <c r="E8" s="106"/>
      <c r="F8" s="68"/>
      <c r="G8" s="68"/>
      <c r="H8" s="68">
        <f t="shared" si="1"/>
        <v>0</v>
      </c>
      <c r="I8" s="68">
        <f t="shared" si="2"/>
        <v>0</v>
      </c>
      <c r="J8" s="22"/>
      <c r="K8" s="84" t="s">
        <v>18</v>
      </c>
      <c r="L8" s="70"/>
      <c r="M8" s="71"/>
      <c r="N8" s="72"/>
      <c r="O8" s="73"/>
      <c r="P8" s="74">
        <f t="shared" si="3"/>
        <v>0</v>
      </c>
      <c r="Q8" s="22"/>
      <c r="R8" s="3"/>
      <c r="S8" s="3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</row>
    <row r="9">
      <c r="A9" s="16"/>
      <c r="B9" s="64" t="s">
        <v>19</v>
      </c>
      <c r="C9" s="65"/>
      <c r="D9" s="65"/>
      <c r="E9" s="106"/>
      <c r="F9" s="68"/>
      <c r="G9" s="68"/>
      <c r="H9" s="68">
        <f t="shared" si="1"/>
        <v>0</v>
      </c>
      <c r="I9" s="68">
        <f t="shared" si="2"/>
        <v>0</v>
      </c>
      <c r="J9" s="22"/>
      <c r="K9" s="77" t="s">
        <v>20</v>
      </c>
      <c r="L9" s="78"/>
      <c r="M9" s="79"/>
      <c r="N9" s="80"/>
      <c r="O9" s="81"/>
      <c r="P9" s="82">
        <f t="shared" si="3"/>
        <v>0</v>
      </c>
      <c r="Q9" s="22"/>
      <c r="R9" s="3"/>
      <c r="S9" s="3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</row>
    <row r="10">
      <c r="A10" s="16"/>
      <c r="B10" s="64" t="s">
        <v>21</v>
      </c>
      <c r="C10" s="65"/>
      <c r="D10" s="65"/>
      <c r="E10" s="106"/>
      <c r="F10" s="68"/>
      <c r="G10" s="68"/>
      <c r="H10" s="68">
        <f t="shared" si="1"/>
        <v>0</v>
      </c>
      <c r="I10" s="68">
        <f t="shared" si="2"/>
        <v>0</v>
      </c>
      <c r="J10" s="22"/>
      <c r="K10" s="69" t="s">
        <v>22</v>
      </c>
      <c r="L10" s="70"/>
      <c r="M10" s="71"/>
      <c r="N10" s="72"/>
      <c r="O10" s="73"/>
      <c r="P10" s="74">
        <f t="shared" si="3"/>
        <v>0</v>
      </c>
      <c r="Q10" s="22"/>
      <c r="R10" s="3"/>
      <c r="S10" s="3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>
      <c r="A11" s="16"/>
      <c r="B11" s="85" t="s">
        <v>4</v>
      </c>
      <c r="C11" s="86">
        <f t="shared" ref="C11:I11" si="4">SUM(C4:C10)</f>
        <v>0</v>
      </c>
      <c r="D11" s="86">
        <f t="shared" si="4"/>
        <v>0</v>
      </c>
      <c r="E11" s="86">
        <f t="shared" si="4"/>
        <v>100</v>
      </c>
      <c r="F11" s="87">
        <f t="shared" si="4"/>
        <v>0</v>
      </c>
      <c r="G11" s="87">
        <f t="shared" si="4"/>
        <v>0</v>
      </c>
      <c r="H11" s="87">
        <f t="shared" si="4"/>
        <v>-100</v>
      </c>
      <c r="I11" s="87">
        <f t="shared" si="4"/>
        <v>-100</v>
      </c>
      <c r="J11" s="22"/>
      <c r="K11" s="88" t="s">
        <v>24</v>
      </c>
      <c r="L11" s="79"/>
      <c r="M11" s="79"/>
      <c r="N11" s="80"/>
      <c r="O11" s="81"/>
      <c r="P11" s="82">
        <f t="shared" si="3"/>
        <v>0</v>
      </c>
      <c r="Q11" s="22"/>
      <c r="R11" s="3"/>
      <c r="S11" s="3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>
      <c r="A12" s="2"/>
      <c r="B12" s="89"/>
      <c r="C12" s="89"/>
      <c r="D12" s="89"/>
      <c r="E12" s="89"/>
      <c r="F12" s="90"/>
      <c r="G12" s="90"/>
      <c r="H12" s="90"/>
      <c r="I12" s="90"/>
      <c r="J12" s="16"/>
      <c r="K12" s="91" t="s">
        <v>25</v>
      </c>
      <c r="L12" s="71"/>
      <c r="M12" s="71"/>
      <c r="N12" s="72"/>
      <c r="O12" s="73"/>
      <c r="P12" s="74">
        <f t="shared" si="3"/>
        <v>0</v>
      </c>
      <c r="Q12" s="22"/>
      <c r="R12" s="3"/>
      <c r="S12" s="3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>
      <c r="A13" s="2"/>
      <c r="B13" s="2"/>
      <c r="C13" s="2"/>
      <c r="D13" s="2"/>
      <c r="E13" s="2"/>
      <c r="F13" s="16"/>
      <c r="G13" s="16"/>
      <c r="H13" s="16"/>
      <c r="I13" s="16"/>
      <c r="J13" s="16"/>
      <c r="K13" s="92"/>
      <c r="L13" s="93" t="s">
        <v>1</v>
      </c>
      <c r="M13" s="93" t="s">
        <v>26</v>
      </c>
      <c r="N13" s="94" t="s">
        <v>5</v>
      </c>
      <c r="O13" s="93" t="s">
        <v>27</v>
      </c>
      <c r="P13" s="93" t="s">
        <v>7</v>
      </c>
      <c r="Q13" s="22"/>
      <c r="R13" s="3"/>
      <c r="S13" s="3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>
      <c r="A14" s="2"/>
      <c r="B14" s="2"/>
      <c r="C14" s="2"/>
      <c r="D14" s="2"/>
      <c r="E14" s="2"/>
      <c r="F14" s="16"/>
      <c r="G14" s="16"/>
      <c r="H14" s="16"/>
      <c r="I14" s="16"/>
      <c r="J14" s="16"/>
      <c r="K14" s="95" t="s">
        <v>28</v>
      </c>
      <c r="L14" s="75">
        <v>0.0</v>
      </c>
      <c r="M14" s="75">
        <v>-5.33</v>
      </c>
      <c r="N14" s="68"/>
      <c r="O14" s="75"/>
      <c r="P14" s="68">
        <f>L14-O14</f>
        <v>0</v>
      </c>
      <c r="Q14" s="22"/>
      <c r="R14" s="3"/>
      <c r="S14" s="3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</row>
    <row r="15">
      <c r="A15" s="2"/>
      <c r="B15" s="2"/>
      <c r="C15" s="2"/>
      <c r="D15" s="2"/>
      <c r="E15" s="2"/>
      <c r="F15" s="16"/>
      <c r="G15" s="16"/>
      <c r="H15" s="16"/>
      <c r="I15" s="16"/>
      <c r="J15" s="16"/>
      <c r="K15" s="96" t="s">
        <v>4</v>
      </c>
      <c r="L15" s="97">
        <f t="shared" ref="L15:M15" si="5">SUM(L4:L14)</f>
        <v>0</v>
      </c>
      <c r="M15" s="97">
        <f t="shared" si="5"/>
        <v>-5.33</v>
      </c>
      <c r="N15" s="97">
        <f>SUM(N4:N12)</f>
        <v>0</v>
      </c>
      <c r="O15" s="98"/>
      <c r="P15" s="98">
        <f>(L15+M15)-N15</f>
        <v>-5.33</v>
      </c>
      <c r="Q15" s="22"/>
      <c r="R15" s="3"/>
      <c r="S15" s="3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>
      <c r="A16" s="44"/>
      <c r="B16" s="99"/>
      <c r="C16" s="99"/>
      <c r="D16" s="99"/>
      <c r="E16" s="99"/>
      <c r="F16" s="99"/>
      <c r="G16" s="99"/>
      <c r="H16" s="99"/>
      <c r="I16" s="99"/>
      <c r="J16" s="99"/>
      <c r="K16" s="100"/>
      <c r="L16" s="100"/>
      <c r="M16" s="100"/>
      <c r="N16" s="100"/>
      <c r="O16" s="100"/>
      <c r="P16" s="100"/>
      <c r="Q16" s="3"/>
      <c r="R16" s="3"/>
      <c r="S16" s="3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>
      <c r="A17" s="101"/>
      <c r="B17" s="102" t="s">
        <v>31</v>
      </c>
      <c r="C17" s="56"/>
      <c r="D17" s="103">
        <f>I11+P15</f>
        <v>-105.33</v>
      </c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6"/>
      <c r="Q17" s="10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</row>
    <row r="18">
      <c r="A18" s="4"/>
      <c r="B18" s="105"/>
      <c r="C18" s="105"/>
      <c r="D18" s="105"/>
      <c r="E18" s="105"/>
      <c r="F18" s="105"/>
      <c r="G18" s="105"/>
      <c r="H18" s="105"/>
      <c r="I18" s="105"/>
      <c r="J18" s="105"/>
      <c r="K18" s="105"/>
      <c r="L18" s="105"/>
      <c r="M18" s="105"/>
      <c r="N18" s="105"/>
      <c r="O18" s="105"/>
      <c r="P18" s="105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</sheetData>
  <mergeCells count="13">
    <mergeCell ref="N9:O9"/>
    <mergeCell ref="N10:O10"/>
    <mergeCell ref="N11:O11"/>
    <mergeCell ref="N12:O12"/>
    <mergeCell ref="B17:C17"/>
    <mergeCell ref="D17:P17"/>
    <mergeCell ref="B2:P2"/>
    <mergeCell ref="N3:O3"/>
    <mergeCell ref="N4:O4"/>
    <mergeCell ref="N5:O5"/>
    <mergeCell ref="N6:O6"/>
    <mergeCell ref="N7:O7"/>
    <mergeCell ref="N8:O8"/>
  </mergeCells>
  <drawing r:id="rId2"/>
  <legacyDrawing r:id="rId3"/>
  <tableParts count="2">
    <tablePart r:id="rId6"/>
    <tablePart r:id="rId7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customWidth="1" min="2" max="9" width="11.0"/>
    <col customWidth="1" min="10" max="10" width="3.13"/>
    <col customWidth="1" min="11" max="11" width="12.5"/>
    <col customWidth="1" min="12" max="13" width="11.13"/>
    <col customWidth="1" min="14" max="14" width="6.0"/>
    <col customWidth="1" min="15" max="15" width="5.38"/>
    <col customWidth="1" min="16" max="16" width="11.13"/>
    <col customWidth="1" min="17" max="31" width="13.0"/>
  </cols>
  <sheetData>
    <row r="1">
      <c r="A1" s="1"/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3"/>
      <c r="R1" s="3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16"/>
      <c r="B2" s="54" t="s">
        <v>40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6"/>
      <c r="Q2" s="57"/>
      <c r="R2" s="3"/>
      <c r="S2" s="3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>
      <c r="A3" s="16"/>
      <c r="B3" s="58" t="s">
        <v>0</v>
      </c>
      <c r="C3" s="59" t="s">
        <v>1</v>
      </c>
      <c r="D3" s="59" t="s">
        <v>34</v>
      </c>
      <c r="E3" s="60" t="s">
        <v>3</v>
      </c>
      <c r="F3" s="58" t="s">
        <v>5</v>
      </c>
      <c r="G3" s="58" t="s">
        <v>6</v>
      </c>
      <c r="H3" s="58" t="s">
        <v>7</v>
      </c>
      <c r="I3" s="61" t="s">
        <v>4</v>
      </c>
      <c r="J3" s="62"/>
      <c r="K3" s="61" t="s">
        <v>8</v>
      </c>
      <c r="L3" s="59" t="s">
        <v>1</v>
      </c>
      <c r="M3" s="59" t="s">
        <v>9</v>
      </c>
      <c r="N3" s="63" t="s">
        <v>3</v>
      </c>
      <c r="O3" s="56"/>
      <c r="P3" s="61" t="s">
        <v>4</v>
      </c>
      <c r="Q3" s="57"/>
      <c r="R3" s="3"/>
      <c r="S3" s="3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>
      <c r="A4" s="16"/>
      <c r="B4" s="64" t="s">
        <v>10</v>
      </c>
      <c r="C4" s="65"/>
      <c r="D4" s="65"/>
      <c r="E4" s="67">
        <v>100.0</v>
      </c>
      <c r="F4" s="68"/>
      <c r="G4" s="68"/>
      <c r="H4" s="68">
        <f t="shared" ref="H4:H10" si="1">I4-F4-G4</f>
        <v>-100</v>
      </c>
      <c r="I4" s="68">
        <f t="shared" ref="I4:I10" si="2">C4+D4-E4</f>
        <v>-100</v>
      </c>
      <c r="J4" s="22"/>
      <c r="K4" s="69" t="s">
        <v>11</v>
      </c>
      <c r="L4" s="70"/>
      <c r="M4" s="71"/>
      <c r="N4" s="72"/>
      <c r="O4" s="73"/>
      <c r="P4" s="74">
        <f t="shared" ref="P4:P12" si="3">(L4+M4)-N4</f>
        <v>0</v>
      </c>
      <c r="Q4" s="22"/>
      <c r="R4" s="3"/>
      <c r="S4" s="3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</row>
    <row r="5">
      <c r="A5" s="16"/>
      <c r="B5" s="64" t="s">
        <v>12</v>
      </c>
      <c r="C5" s="65"/>
      <c r="D5" s="65"/>
      <c r="E5" s="76"/>
      <c r="F5" s="75"/>
      <c r="G5" s="75"/>
      <c r="H5" s="68">
        <f t="shared" si="1"/>
        <v>0</v>
      </c>
      <c r="I5" s="68">
        <f t="shared" si="2"/>
        <v>0</v>
      </c>
      <c r="J5" s="22"/>
      <c r="K5" s="77" t="s">
        <v>13</v>
      </c>
      <c r="L5" s="78"/>
      <c r="M5" s="79"/>
      <c r="N5" s="80"/>
      <c r="O5" s="81"/>
      <c r="P5" s="82">
        <f t="shared" si="3"/>
        <v>0</v>
      </c>
      <c r="Q5" s="22"/>
      <c r="R5" s="3"/>
      <c r="S5" s="3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</row>
    <row r="6">
      <c r="A6" s="16"/>
      <c r="B6" s="64" t="s">
        <v>14</v>
      </c>
      <c r="C6" s="65"/>
      <c r="D6" s="65"/>
      <c r="E6" s="76"/>
      <c r="F6" s="68"/>
      <c r="G6" s="68"/>
      <c r="H6" s="68">
        <f t="shared" si="1"/>
        <v>0</v>
      </c>
      <c r="I6" s="68">
        <f t="shared" si="2"/>
        <v>0</v>
      </c>
      <c r="J6" s="22"/>
      <c r="K6" s="69" t="s">
        <v>15</v>
      </c>
      <c r="L6" s="70"/>
      <c r="M6" s="71"/>
      <c r="N6" s="72"/>
      <c r="O6" s="73"/>
      <c r="P6" s="74">
        <f t="shared" si="3"/>
        <v>0</v>
      </c>
      <c r="Q6" s="22"/>
      <c r="R6" s="3"/>
      <c r="S6" s="3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</row>
    <row r="7">
      <c r="A7" s="16"/>
      <c r="B7" s="64" t="s">
        <v>16</v>
      </c>
      <c r="C7" s="65"/>
      <c r="D7" s="65"/>
      <c r="E7" s="106"/>
      <c r="F7" s="68"/>
      <c r="G7" s="68"/>
      <c r="H7" s="68">
        <f t="shared" si="1"/>
        <v>0</v>
      </c>
      <c r="I7" s="68">
        <f t="shared" si="2"/>
        <v>0</v>
      </c>
      <c r="J7" s="22"/>
      <c r="K7" s="77" t="s">
        <v>17</v>
      </c>
      <c r="L7" s="78"/>
      <c r="M7" s="79"/>
      <c r="N7" s="80"/>
      <c r="O7" s="81"/>
      <c r="P7" s="82">
        <f t="shared" si="3"/>
        <v>0</v>
      </c>
      <c r="Q7" s="22"/>
      <c r="R7" s="3"/>
      <c r="S7" s="3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</row>
    <row r="8">
      <c r="A8" s="16"/>
      <c r="B8" s="64" t="s">
        <v>17</v>
      </c>
      <c r="C8" s="65"/>
      <c r="D8" s="65"/>
      <c r="E8" s="106"/>
      <c r="F8" s="68"/>
      <c r="G8" s="68"/>
      <c r="H8" s="68">
        <f t="shared" si="1"/>
        <v>0</v>
      </c>
      <c r="I8" s="68">
        <f t="shared" si="2"/>
        <v>0</v>
      </c>
      <c r="J8" s="22"/>
      <c r="K8" s="84" t="s">
        <v>18</v>
      </c>
      <c r="L8" s="70"/>
      <c r="M8" s="71"/>
      <c r="N8" s="72"/>
      <c r="O8" s="73"/>
      <c r="P8" s="74">
        <f t="shared" si="3"/>
        <v>0</v>
      </c>
      <c r="Q8" s="22"/>
      <c r="R8" s="3"/>
      <c r="S8" s="3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</row>
    <row r="9">
      <c r="A9" s="16"/>
      <c r="B9" s="64" t="s">
        <v>19</v>
      </c>
      <c r="C9" s="65"/>
      <c r="D9" s="65"/>
      <c r="E9" s="106"/>
      <c r="F9" s="68"/>
      <c r="G9" s="68"/>
      <c r="H9" s="68">
        <f t="shared" si="1"/>
        <v>0</v>
      </c>
      <c r="I9" s="68">
        <f t="shared" si="2"/>
        <v>0</v>
      </c>
      <c r="J9" s="22"/>
      <c r="K9" s="77" t="s">
        <v>20</v>
      </c>
      <c r="L9" s="78"/>
      <c r="M9" s="79"/>
      <c r="N9" s="80"/>
      <c r="O9" s="81"/>
      <c r="P9" s="82">
        <f t="shared" si="3"/>
        <v>0</v>
      </c>
      <c r="Q9" s="22"/>
      <c r="R9" s="3"/>
      <c r="S9" s="3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</row>
    <row r="10">
      <c r="A10" s="16"/>
      <c r="B10" s="64" t="s">
        <v>21</v>
      </c>
      <c r="C10" s="65"/>
      <c r="D10" s="65"/>
      <c r="E10" s="106"/>
      <c r="F10" s="68"/>
      <c r="G10" s="68"/>
      <c r="H10" s="68">
        <f t="shared" si="1"/>
        <v>0</v>
      </c>
      <c r="I10" s="68">
        <f t="shared" si="2"/>
        <v>0</v>
      </c>
      <c r="J10" s="22"/>
      <c r="K10" s="69" t="s">
        <v>22</v>
      </c>
      <c r="L10" s="70"/>
      <c r="M10" s="71"/>
      <c r="N10" s="72"/>
      <c r="O10" s="73"/>
      <c r="P10" s="74">
        <f t="shared" si="3"/>
        <v>0</v>
      </c>
      <c r="Q10" s="22"/>
      <c r="R10" s="3"/>
      <c r="S10" s="3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>
      <c r="A11" s="16"/>
      <c r="B11" s="85" t="s">
        <v>4</v>
      </c>
      <c r="C11" s="86">
        <f t="shared" ref="C11:I11" si="4">SUM(C4:C10)</f>
        <v>0</v>
      </c>
      <c r="D11" s="86">
        <f t="shared" si="4"/>
        <v>0</v>
      </c>
      <c r="E11" s="86">
        <f t="shared" si="4"/>
        <v>100</v>
      </c>
      <c r="F11" s="87">
        <f t="shared" si="4"/>
        <v>0</v>
      </c>
      <c r="G11" s="87">
        <f t="shared" si="4"/>
        <v>0</v>
      </c>
      <c r="H11" s="87">
        <f t="shared" si="4"/>
        <v>-100</v>
      </c>
      <c r="I11" s="87">
        <f t="shared" si="4"/>
        <v>-100</v>
      </c>
      <c r="J11" s="22"/>
      <c r="K11" s="88" t="s">
        <v>24</v>
      </c>
      <c r="L11" s="79"/>
      <c r="M11" s="79"/>
      <c r="N11" s="80"/>
      <c r="O11" s="81"/>
      <c r="P11" s="82">
        <f t="shared" si="3"/>
        <v>0</v>
      </c>
      <c r="Q11" s="22"/>
      <c r="R11" s="3"/>
      <c r="S11" s="3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>
      <c r="A12" s="2"/>
      <c r="B12" s="89"/>
      <c r="C12" s="89"/>
      <c r="D12" s="89"/>
      <c r="E12" s="89"/>
      <c r="F12" s="90"/>
      <c r="G12" s="90"/>
      <c r="H12" s="90"/>
      <c r="I12" s="90"/>
      <c r="J12" s="16"/>
      <c r="K12" s="91" t="s">
        <v>25</v>
      </c>
      <c r="L12" s="71"/>
      <c r="M12" s="71"/>
      <c r="N12" s="72"/>
      <c r="O12" s="73"/>
      <c r="P12" s="74">
        <f t="shared" si="3"/>
        <v>0</v>
      </c>
      <c r="Q12" s="22"/>
      <c r="R12" s="3"/>
      <c r="S12" s="3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>
      <c r="A13" s="2"/>
      <c r="B13" s="2"/>
      <c r="C13" s="2"/>
      <c r="D13" s="2"/>
      <c r="E13" s="2"/>
      <c r="F13" s="16"/>
      <c r="G13" s="16"/>
      <c r="H13" s="16"/>
      <c r="I13" s="16"/>
      <c r="J13" s="16"/>
      <c r="K13" s="92"/>
      <c r="L13" s="93" t="s">
        <v>1</v>
      </c>
      <c r="M13" s="93" t="s">
        <v>26</v>
      </c>
      <c r="N13" s="94" t="s">
        <v>5</v>
      </c>
      <c r="O13" s="93" t="s">
        <v>27</v>
      </c>
      <c r="P13" s="93" t="s">
        <v>7</v>
      </c>
      <c r="Q13" s="22"/>
      <c r="R13" s="3"/>
      <c r="S13" s="3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>
      <c r="A14" s="2"/>
      <c r="B14" s="2"/>
      <c r="C14" s="2"/>
      <c r="D14" s="2"/>
      <c r="E14" s="2"/>
      <c r="F14" s="16"/>
      <c r="G14" s="16"/>
      <c r="H14" s="16"/>
      <c r="I14" s="16"/>
      <c r="J14" s="16"/>
      <c r="K14" s="95" t="s">
        <v>28</v>
      </c>
      <c r="L14" s="75">
        <v>0.0</v>
      </c>
      <c r="M14" s="75">
        <v>-5.33</v>
      </c>
      <c r="N14" s="68"/>
      <c r="O14" s="75"/>
      <c r="P14" s="68">
        <f>L14-O14</f>
        <v>0</v>
      </c>
      <c r="Q14" s="22"/>
      <c r="R14" s="3"/>
      <c r="S14" s="3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</row>
    <row r="15">
      <c r="A15" s="2"/>
      <c r="B15" s="2"/>
      <c r="C15" s="2"/>
      <c r="D15" s="2"/>
      <c r="E15" s="2"/>
      <c r="F15" s="16"/>
      <c r="G15" s="16"/>
      <c r="H15" s="16"/>
      <c r="I15" s="16"/>
      <c r="J15" s="16"/>
      <c r="K15" s="96" t="s">
        <v>4</v>
      </c>
      <c r="L15" s="97">
        <f t="shared" ref="L15:M15" si="5">SUM(L4:L14)</f>
        <v>0</v>
      </c>
      <c r="M15" s="97">
        <f t="shared" si="5"/>
        <v>-5.33</v>
      </c>
      <c r="N15" s="97">
        <f>SUM(N4:N12)</f>
        <v>0</v>
      </c>
      <c r="O15" s="98"/>
      <c r="P15" s="98">
        <f>(L15+M15)-N15</f>
        <v>-5.33</v>
      </c>
      <c r="Q15" s="22"/>
      <c r="R15" s="3"/>
      <c r="S15" s="3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>
      <c r="A16" s="44"/>
      <c r="B16" s="99"/>
      <c r="C16" s="99"/>
      <c r="D16" s="99"/>
      <c r="E16" s="99"/>
      <c r="F16" s="99"/>
      <c r="G16" s="99"/>
      <c r="H16" s="99"/>
      <c r="I16" s="99"/>
      <c r="J16" s="99"/>
      <c r="K16" s="100"/>
      <c r="L16" s="100"/>
      <c r="M16" s="100"/>
      <c r="N16" s="100"/>
      <c r="O16" s="100"/>
      <c r="P16" s="100"/>
      <c r="Q16" s="3"/>
      <c r="R16" s="3"/>
      <c r="S16" s="3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>
      <c r="A17" s="101"/>
      <c r="B17" s="102" t="s">
        <v>31</v>
      </c>
      <c r="C17" s="56"/>
      <c r="D17" s="103">
        <f>I11+P15</f>
        <v>-105.33</v>
      </c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6"/>
      <c r="Q17" s="10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</row>
    <row r="18">
      <c r="A18" s="4"/>
      <c r="B18" s="105"/>
      <c r="C18" s="105"/>
      <c r="D18" s="105"/>
      <c r="E18" s="105"/>
      <c r="F18" s="105"/>
      <c r="G18" s="105"/>
      <c r="H18" s="105"/>
      <c r="I18" s="105"/>
      <c r="J18" s="105"/>
      <c r="K18" s="105"/>
      <c r="L18" s="105"/>
      <c r="M18" s="105"/>
      <c r="N18" s="105"/>
      <c r="O18" s="105"/>
      <c r="P18" s="105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</sheetData>
  <mergeCells count="13">
    <mergeCell ref="N9:O9"/>
    <mergeCell ref="N10:O10"/>
    <mergeCell ref="N11:O11"/>
    <mergeCell ref="N12:O12"/>
    <mergeCell ref="B17:C17"/>
    <mergeCell ref="D17:P17"/>
    <mergeCell ref="B2:P2"/>
    <mergeCell ref="N3:O3"/>
    <mergeCell ref="N4:O4"/>
    <mergeCell ref="N5:O5"/>
    <mergeCell ref="N6:O6"/>
    <mergeCell ref="N7:O7"/>
    <mergeCell ref="N8:O8"/>
  </mergeCells>
  <drawing r:id="rId2"/>
  <legacyDrawing r:id="rId3"/>
  <tableParts count="2">
    <tablePart r:id="rId6"/>
    <tablePart r:id="rId7"/>
  </tableParts>
</worksheet>
</file>