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2014" sheetId="1" r:id="rId4"/>
    <sheet state="visible" name="FFVV 2014" sheetId="2" r:id="rId5"/>
    <sheet state="visible" name="Tiendas 2014" sheetId="3" r:id="rId6"/>
    <sheet state="visible" name="Estimacion Rapido Tesoreria" sheetId="4" r:id="rId7"/>
    <sheet state="visible" name="Comparativa Anual Resumida" sheetId="5" r:id="rId8"/>
    <sheet state="visible" name="Informe Tesorería" sheetId="6" r:id="rId9"/>
    <sheet state="visible" name="Circulante" sheetId="7" r:id="rId10"/>
    <sheet state="visible" name="Comparativas pyg" sheetId="8" r:id="rId11"/>
    <sheet state="visible" name="Compar. compras" sheetId="9" r:id="rId12"/>
    <sheet state="visible" name="Compar. ingre-gtos" sheetId="10" r:id="rId13"/>
    <sheet state="visible" name="Esquema de Gastos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2">
      <text>
        <t xml:space="preserve">Cristina Chamorro Santos:
indemnizacion Chema:
2730 euros</t>
      </text>
    </comment>
    <comment authorId="0" ref="AO21">
      <text>
        <t xml:space="preserve">Cristina Chamorro Santos:
190: hora Raquel</t>
      </text>
    </comment>
    <comment authorId="0" ref="F25">
      <text>
        <t xml:space="preserve">Cristina Chamorro Santos:
sumado asintec</t>
      </text>
    </comment>
    <comment authorId="0" ref="Q29">
      <text>
        <t xml:space="preserve">Cristina Chamorro Santos:
Compra vehículo</t>
      </text>
    </comment>
    <comment authorId="0" ref="AC29">
      <text>
        <t xml:space="preserve">Cristina Chamorro Santos:
SANCION CONSUMO</t>
      </text>
    </comment>
    <comment authorId="0" ref="A42">
      <text>
        <t xml:space="preserve">VENTAS DIRECTAS EN TIENDA
+ COMISIONES TELEFONICA + RECARGAS NO TICADAS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Cristina Chamorro Santos:
4622,76</t>
      </text>
    </comment>
    <comment authorId="0" ref="E2">
      <text>
        <t xml:space="preserve">Cristina Chamorro Santos:
6831,56</t>
      </text>
    </comment>
    <comment authorId="0" ref="L2">
      <text>
        <t xml:space="preserve">Cristina Chamorro Santos:
no está el ISML lo pongo aquí de momento</t>
      </text>
    </comment>
    <comment authorId="0" ref="L3">
      <text>
        <t xml:space="preserve">Cristina Chamorro Santos:
pone desarrollo </t>
      </text>
    </comment>
    <comment authorId="0" ref="C7">
      <text>
        <t xml:space="preserve">Cristina Chamorro Santos:
47 Portas basico FFVV</t>
      </text>
    </comment>
    <comment authorId="0" ref="D7">
      <text>
        <t xml:space="preserve">Cristina Chamorro Santos:
25 portas portas basico 009
30 portas basico</t>
      </text>
    </comment>
    <comment authorId="0" ref="G7">
      <text>
        <t xml:space="preserve">Cristina Chamorro Santos:
basico A009: 60
Basico: 43
plus: 40</t>
      </text>
    </comment>
    <comment authorId="0" ref="H7">
      <text>
        <t xml:space="preserve">Cristina Chamorro Santos:
basico:2380 (68 un)
plus: 155 (31 uni)</t>
      </text>
    </comment>
    <comment authorId="0" ref="D9">
      <text>
        <t xml:space="preserve">Cristina Chamorro Santos:
adenlanto: 200</t>
      </text>
    </comment>
    <comment authorId="0" ref="C10">
      <text>
        <t xml:space="preserve">Cristina Chamorro Santos:
plus: 160</t>
      </text>
    </comment>
    <comment authorId="0" ref="D10">
      <text>
        <t xml:space="preserve">Cristina Chamorro Santos:
basico: 12</t>
      </text>
    </comment>
    <comment authorId="0" ref="E10">
      <text>
        <t xml:space="preserve">Cristina Chamorro Santos:
plus: 320
basico: 180</t>
      </text>
    </comment>
    <comment authorId="0" ref="F10">
      <text>
        <t xml:space="preserve">Cristina Chamorro Santos:
plus: 720
basico: 180</t>
      </text>
    </comment>
    <comment authorId="0" ref="C11">
      <text>
        <t xml:space="preserve">Cristina Chamorro Santos:
basico: 20
plus: 90</t>
      </text>
    </comment>
    <comment authorId="0" ref="E11">
      <text>
        <t xml:space="preserve">Cristina Chamorro Santos:
plus:190</t>
      </text>
    </comment>
    <comment authorId="0" ref="A15">
      <text>
        <t xml:space="preserve">La suma de ADSL y Portabilidades</t>
      </text>
    </comment>
    <comment authorId="0" ref="I15">
      <text>
        <t xml:space="preserve">Reclamado 5.690€</t>
      </text>
    </comment>
    <comment authorId="0" ref="J15">
      <text>
        <t xml:space="preserve">Reclamado 3.360€</t>
      </text>
    </comment>
    <comment authorId="0" ref="M15">
      <text>
        <t xml:space="preserve">Reclamar 1.080€</t>
      </text>
    </comment>
    <comment authorId="0" ref="A17">
      <text>
        <t xml:space="preserve">Hacemos tu Web, Te Destaco y Tu Tienda
Tu Web
Hacemos tu Tienda</t>
      </text>
    </comment>
    <comment authorId="0" ref="A21">
      <text>
        <t xml:space="preserve">La suma de ADSL y Portabilidades</t>
      </text>
    </comment>
    <comment authorId="0" ref="A23">
      <text>
        <t xml:space="preserve">Hacemos tu Web, Te Destaco y Tu Tienda
Tu Web
Hacemos tu Tienda</t>
      </text>
    </comment>
    <comment authorId="0" ref="I23">
      <text>
        <t xml:space="preserve">Reclamar 70€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Del 80% al 100% =15€
Del 100% en Adelante =25€
Sin Tope
Minimo realizar un 60% de Alto Valor del todas las realizadas.
</t>
      </text>
    </comment>
    <comment authorId="0" ref="D2">
      <text>
        <t xml:space="preserve">Cristina Chamorro Santos:
Reflejado en el ISML de Junio</t>
      </text>
    </comment>
    <comment authorId="0" ref="L2">
      <text>
        <t xml:space="preserve">REGULARIZACIONES POR BAJAS</t>
      </text>
    </comment>
    <comment authorId="0" ref="C3">
      <text>
        <t xml:space="preserve">Del 80% al 100% =10€
Del 100% en Adelante =20€
Sin Tope
Adelanto: 2080
Cierre: 20</t>
      </text>
    </comment>
    <comment authorId="0" ref="D3">
      <text>
        <t xml:space="preserve">Del 80% al 100% =10€
Del 100% en Adelante =20€
Sin Tope
Adelanto: 2380
Cierre: -60</t>
      </text>
    </comment>
    <comment authorId="0" ref="E3">
      <text>
        <t xml:space="preserve">Del 80% al 100% =10€
Del 100% en Adelante =20€
Sin Tope
Adelanto: 2180
Cierre: 20</t>
      </text>
    </comment>
    <comment authorId="0" ref="F3">
      <text>
        <t xml:space="preserve">Del 80% al 100% =10€
Del 100% en Adelante =20€
Sin Tope
Adelanto: 1065</t>
      </text>
    </comment>
    <comment authorId="0" ref="G3">
      <text>
        <t xml:space="preserve">Del 80% al 100% =10€
Del 100% en Adelante =20€
Sin Tope
Adelanto: 1200
Cierre: 15</t>
      </text>
    </comment>
    <comment authorId="0" ref="H3">
      <text>
        <t xml:space="preserve">Del 80% al 100% =10€
Del 100% en Adelante =20€
Sin Tope
Adelanto: 1185
Cierre: 0</t>
      </text>
    </comment>
    <comment authorId="0" ref="C4">
      <text>
        <t xml:space="preserve">Cristina Chamorro Santos:
adelanto:50
cierre: 0</t>
      </text>
    </comment>
    <comment authorId="0" ref="D4">
      <text>
        <t xml:space="preserve">F20140212
Ciere: 0</t>
      </text>
    </comment>
    <comment authorId="0" ref="F4">
      <text>
        <t xml:space="preserve">Cristina Chamorro Santos:
adelanto: 2365
cierre:1315</t>
      </text>
    </comment>
    <comment authorId="0" ref="G4">
      <text>
        <t xml:space="preserve">Cristina Chamorro Santos:
adelanto: 525
cierre:55</t>
      </text>
    </comment>
    <comment authorId="0" ref="H4">
      <text>
        <t xml:space="preserve">Cristina Chamorro Santos:
adenlanto. 230
cierre:-65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8">
      <text>
        <t xml:space="preserve">Cristina Chamorro Santos:
impuestos</t>
      </text>
    </comment>
    <comment authorId="0" ref="I18">
      <text>
        <t xml:space="preserve">Cristina Chamorro Santos:
impuestos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5">
      <text>
        <t xml:space="preserve">Cristina Chamorro Santos:
pendiente de que se meta todo en el programa</t>
      </text>
    </comment>
    <comment authorId="0" ref="W9">
      <text>
        <t xml:space="preserve">Cristina Chamorro Santos:
incluidas compras importacion pendientes de recepcionar</t>
      </text>
    </comment>
    <comment authorId="0" ref="X9">
      <text>
        <t xml:space="preserve">Cristina Chamorro Santos:
incluidas compras importacion pendientes de recepcionar</t>
      </text>
    </comment>
    <comment authorId="0" ref="Y9">
      <text>
        <t xml:space="preserve">Cristina Chamorro Santos:
incluidas compras importacion pendientes de recepcionar</t>
      </text>
    </comment>
    <comment authorId="0" ref="Z9">
      <text>
        <t xml:space="preserve">Cristina Chamorro Santos:
incluidas compras importacion pendientes de recepcionar</t>
      </text>
    </comment>
    <comment authorId="0" ref="AA9">
      <text>
        <t xml:space="preserve">Cristina Chamorro Santos:
incluidas compras importacion pendientes de recepcionar</t>
      </text>
    </comment>
    <comment authorId="0" ref="AB9">
      <text>
        <t xml:space="preserve">Cristina Chamorro Santos:
incluidas compras importacion pendientes de recepcionar</t>
      </text>
    </comment>
    <comment authorId="0" ref="AC9">
      <text>
        <t xml:space="preserve">Cristina Chamorro Santos:
incluidas compras importacion pendientes de recepcionar</t>
      </text>
    </comment>
    <comment authorId="0" ref="AD9">
      <text>
        <t xml:space="preserve">Cristina Chamorro Santos:
incluidas compras importacion pendientes de recepcionar</t>
      </text>
    </comment>
    <comment authorId="0" ref="AE9">
      <text>
        <t xml:space="preserve">Cristina Chamorro Santos:
incluidas compras importacion pendientes de recepcionar</t>
      </text>
    </comment>
    <comment authorId="0" ref="AF9">
      <text>
        <t xml:space="preserve">Cristina Chamorro Santos:
incluidas compras importacion pendientes de recepcionar</t>
      </text>
    </comment>
    <comment authorId="0" ref="AG9">
      <text>
        <t xml:space="preserve">Cristina Chamorro Santos:
incluidas compras importacion pendientes de recepcionar</t>
      </text>
    </comment>
    <comment authorId="0" ref="AH9">
      <text>
        <t xml:space="preserve">Cristina Chamorro Santos:
incluidas compras importacion pendientes de recepcionar</t>
      </text>
    </comment>
    <comment authorId="0" ref="D14">
      <text>
        <t xml:space="preserve">123825,16 EN FACTURAS YA EMITIDAS
23000 CONCEPTOS AUN NO FACTURADOS
</t>
      </text>
    </comment>
    <comment authorId="0" ref="V15">
      <text>
        <t xml:space="preserve">Cristina Chamorro Santos:
nokia y refurbish</t>
      </text>
    </comment>
    <comment authorId="0" ref="W15">
      <text>
        <t xml:space="preserve">Cristina Chamorro Santos:
nokia reclamado lo han ingresado a otro cliente
Refurbish</t>
      </text>
    </comment>
    <comment authorId="0" ref="Y15">
      <text>
        <t xml:space="preserve">Cristina Chamorro Santos:
financiaciones y refurbish</t>
      </text>
    </comment>
    <comment authorId="0" ref="Z15">
      <text>
        <t xml:space="preserve">Cristina Chamorro Santos:
financiaciones y refurbish</t>
      </text>
    </comment>
    <comment authorId="0" ref="AB15">
      <text>
        <t xml:space="preserve">financiaciones
refurbish
nokia
</t>
      </text>
    </comment>
    <comment authorId="0" ref="AC15">
      <text>
        <t xml:space="preserve">financiaciones
refurbish
nokia
</t>
      </text>
    </comment>
    <comment authorId="0" ref="AD15">
      <text>
        <t xml:space="preserve">financiaciones
refurbish
nokia
</t>
      </text>
    </comment>
    <comment authorId="0" ref="AE15">
      <text>
        <t xml:space="preserve">financiaciones
refurbish
nokia
</t>
      </text>
    </comment>
    <comment authorId="0" ref="AF15">
      <text>
        <t xml:space="preserve">financiaciones
refurbish
nokia
</t>
      </text>
    </comment>
    <comment authorId="0" ref="AG15">
      <text>
        <t xml:space="preserve">financiaciones
refurbish
nokia
</t>
      </text>
    </comment>
    <comment authorId="0" ref="AH15">
      <text>
        <t xml:space="preserve">financiaciones
refurbish
nokia
</t>
      </text>
    </comment>
    <comment authorId="0" ref="AE16">
      <text>
        <t xml:space="preserve">Cristina Chamorro Santos:
Hay conceptos de comerciales que no están incluidos.</t>
      </text>
    </comment>
    <comment authorId="0" ref="AF16">
      <text>
        <t xml:space="preserve">Cristina Chamorro Santos:
Hay conceptos de comerciales que no están incluidos.</t>
      </text>
    </comment>
    <comment authorId="0" ref="AG16">
      <text>
        <t xml:space="preserve">Cristina Chamorro Santos:
Hay conceptos de comerciales que no están incluidos.</t>
      </text>
    </comment>
    <comment authorId="0" ref="AH16">
      <text>
        <t xml:space="preserve">Cristina Chamorro Santos:
Hay conceptos de comerciales que no están incluidos.</t>
      </text>
    </comment>
    <comment authorId="0" ref="AR16">
      <text>
        <t xml:space="preserve">Cristina Chamorro Santos:
calculado con siaC y los pagos ya realizados por MS</t>
      </text>
    </comment>
    <comment authorId="0" ref="AT16">
      <text>
        <t xml:space="preserve">Cristina Chamorro Santos:
ABONOS ZELERIS</t>
      </text>
    </comment>
    <comment authorId="0" ref="AF20">
      <text>
        <t xml:space="preserve">Cristina Chamorro Santos:
prestamo familiar</t>
      </text>
    </comment>
    <comment authorId="0" ref="AG20">
      <text>
        <t xml:space="preserve">Cristina Chamorro Santos:
prestamo familiar</t>
      </text>
    </comment>
    <comment authorId="0" ref="AH20">
      <text>
        <t xml:space="preserve">Cristina Chamorro Santos:
prestamo familiar</t>
      </text>
    </comment>
    <comment authorId="0" ref="AI20">
      <text>
        <t xml:space="preserve">Cristina Chamorro Santos:
prestamo familiar</t>
      </text>
    </comment>
    <comment authorId="0" ref="AJ20">
      <text>
        <t xml:space="preserve">Cristina Chamorro Santos:
prestamo familiar</t>
      </text>
    </comment>
    <comment authorId="0" ref="AK20">
      <text>
        <t xml:space="preserve">Cristina Chamorro Santos:
prestamo familiar</t>
      </text>
    </comment>
    <comment authorId="0" ref="AL20">
      <text>
        <t xml:space="preserve">Cristina Chamorro Santos:
prestamo familiar</t>
      </text>
    </comment>
    <comment authorId="0" ref="A27">
      <text>
        <t xml:space="preserve">Importes cobrados de más en los adelantos aproximadamente.
</t>
      </text>
    </comment>
    <comment authorId="0" ref="V33">
      <text>
        <t xml:space="preserve">Desde el día 18 de enero: 
Agustín
Tendero
Dhl
Impuestos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8">
      <text>
        <t xml:space="preserve">Cristina Chamorro Santos:
agua asturias</t>
      </text>
    </comment>
    <comment authorId="0" ref="J42">
      <text>
        <t xml:space="preserve">Cristina Chamorro Santos:
bolsas</t>
      </text>
    </comment>
    <comment authorId="0" ref="I56">
      <text>
        <t xml:space="preserve">Cristina Chamorro Santos:
boda</t>
      </text>
    </comment>
    <comment authorId="0" ref="B65">
      <text>
        <t xml:space="preserve">CLIENTES EFECTIVO Y TARJETA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18-03-09
</t>
      </text>
    </comment>
    <comment authorId="0" ref="D3">
      <text>
        <t xml:space="preserve">18-04-09
</t>
      </text>
    </comment>
    <comment authorId="0" ref="E3">
      <text>
        <t xml:space="preserve">15-05-09
</t>
      </text>
    </comment>
    <comment authorId="0" ref="F3">
      <text>
        <t xml:space="preserve">11-06-09
</t>
      </text>
    </comment>
    <comment authorId="0" ref="G3">
      <text>
        <t xml:space="preserve">11-07-09
</t>
      </text>
    </comment>
    <comment authorId="0" ref="H3">
      <text>
        <t xml:space="preserve">11-08-09
</t>
      </text>
    </comment>
    <comment authorId="0" ref="I3">
      <text>
        <t xml:space="preserve">11-08-10
</t>
      </text>
    </comment>
    <comment authorId="0" ref="J3">
      <text>
        <t xml:space="preserve">15-09-2010
</t>
      </text>
    </comment>
    <comment authorId="0" ref="K3">
      <text>
        <t xml:space="preserve">15-11-2010
</t>
      </text>
    </comment>
    <comment authorId="0" ref="L3">
      <text>
        <t xml:space="preserve">Cristina Chamorro Santos:15-11-2011</t>
      </text>
    </comment>
    <comment authorId="0" ref="M3">
      <text>
        <t xml:space="preserve">17-12-2010
</t>
      </text>
    </comment>
    <comment authorId="0" ref="N3">
      <text>
        <t xml:space="preserve">18-01-2013
</t>
      </text>
    </comment>
    <comment authorId="0" ref="B23">
      <text>
        <t xml:space="preserve">Importes cobrados de más en los adelantos aproximadamente.
</t>
      </text>
    </comment>
    <comment authorId="0" ref="B28">
      <text>
        <t xml:space="preserve">2 Kia picanto
1 Sangyong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La Seguridad Social de Deborah se reparte entre Tiendas y Comerciales a partes iguales</t>
      </text>
    </comment>
  </commentList>
</comments>
</file>

<file path=xl/sharedStrings.xml><?xml version="1.0" encoding="utf-8"?>
<sst xmlns="http://schemas.openxmlformats.org/spreadsheetml/2006/main" count="621" uniqueCount="310">
  <si>
    <t>Gastos Fijos 2014</t>
  </si>
  <si>
    <t>TOTAL Anual</t>
  </si>
  <si>
    <t>Total Comerc.</t>
  </si>
  <si>
    <t>Total Tiendas</t>
  </si>
  <si>
    <t>Total MovilFree</t>
  </si>
  <si>
    <t>C.Enero</t>
  </si>
  <si>
    <t>T.Enero</t>
  </si>
  <si>
    <t>M.Enero</t>
  </si>
  <si>
    <t>Total Enero</t>
  </si>
  <si>
    <t>C.Febrero</t>
  </si>
  <si>
    <t>T.Febrero</t>
  </si>
  <si>
    <t>M.Febrero</t>
  </si>
  <si>
    <t>Total Febrero</t>
  </si>
  <si>
    <t>C.Marzo</t>
  </si>
  <si>
    <t>T.Marzo</t>
  </si>
  <si>
    <t>M.Marzo</t>
  </si>
  <si>
    <t>Total Marzo</t>
  </si>
  <si>
    <t>C.Abril</t>
  </si>
  <si>
    <t>T.Abril</t>
  </si>
  <si>
    <t>M.Abril</t>
  </si>
  <si>
    <t>Total Abril</t>
  </si>
  <si>
    <t>C.Mayo</t>
  </si>
  <si>
    <t>T.Mayo</t>
  </si>
  <si>
    <t>M.Mayo</t>
  </si>
  <si>
    <t>Total Mayo</t>
  </si>
  <si>
    <t>C.Junio</t>
  </si>
  <si>
    <t>T.Junio</t>
  </si>
  <si>
    <t>M.Junio</t>
  </si>
  <si>
    <t>Total Junio</t>
  </si>
  <si>
    <t>C.Julio</t>
  </si>
  <si>
    <t>T.Julio</t>
  </si>
  <si>
    <t>M.Julio</t>
  </si>
  <si>
    <t>Total Julio</t>
  </si>
  <si>
    <t>C.Agosto</t>
  </si>
  <si>
    <t>T.Agosto</t>
  </si>
  <si>
    <t>M.Agosto</t>
  </si>
  <si>
    <t>Total Agosto</t>
  </si>
  <si>
    <t>C.Septiem.</t>
  </si>
  <si>
    <t>T.Septiem.</t>
  </si>
  <si>
    <t>Total Septiem.</t>
  </si>
  <si>
    <t>C.Octubre</t>
  </si>
  <si>
    <t>T.Octubre</t>
  </si>
  <si>
    <t>M.Octubre</t>
  </si>
  <si>
    <t>Total Octubre</t>
  </si>
  <si>
    <t>C.Noviem.</t>
  </si>
  <si>
    <t>T.Noviem.</t>
  </si>
  <si>
    <t>M.Noviem.</t>
  </si>
  <si>
    <t>Total Noviem.</t>
  </si>
  <si>
    <t>C.Diciem.</t>
  </si>
  <si>
    <t>T.Diciem.</t>
  </si>
  <si>
    <t>M.Diciem.</t>
  </si>
  <si>
    <t>Total Diciem.</t>
  </si>
  <si>
    <t>Sueldos</t>
  </si>
  <si>
    <t>Seguridad Social Empresa</t>
  </si>
  <si>
    <t>Arrendamientos</t>
  </si>
  <si>
    <t>Luz</t>
  </si>
  <si>
    <t>Gasoil Solred</t>
  </si>
  <si>
    <t>Teléfono Fijo</t>
  </si>
  <si>
    <t>Teléfono Móvil</t>
  </si>
  <si>
    <t>Asesoria Laboral</t>
  </si>
  <si>
    <t>Abogado</t>
  </si>
  <si>
    <t>Dietas Comerciales</t>
  </si>
  <si>
    <t>Limpieza de Cristales</t>
  </si>
  <si>
    <t>Transportes</t>
  </si>
  <si>
    <t>Agua</t>
  </si>
  <si>
    <t>Comunidades</t>
  </si>
  <si>
    <t>Intereses Prestamo Piso</t>
  </si>
  <si>
    <t>Adeslas (Angel Luis)</t>
  </si>
  <si>
    <t>Total gastos Fijos 2014</t>
  </si>
  <si>
    <t>Gastos Variables</t>
  </si>
  <si>
    <t>Arreglo Tiendas</t>
  </si>
  <si>
    <t>Sueldos Fuera Nómi. (Idemni)</t>
  </si>
  <si>
    <t>Impuestos (Basur, IBI, Circ.)</t>
  </si>
  <si>
    <t xml:space="preserve">Publicidad </t>
  </si>
  <si>
    <t>Mantenimiento Vehiculos</t>
  </si>
  <si>
    <t>Arsys Internet + Golden Soft</t>
  </si>
  <si>
    <t>Comisiones Bancarias</t>
  </si>
  <si>
    <t>Material de Oficina</t>
  </si>
  <si>
    <t>Seguros Tiendas</t>
  </si>
  <si>
    <t>Varios (Multas,etc)</t>
  </si>
  <si>
    <t>Seguros Automovil</t>
  </si>
  <si>
    <t>Mutua</t>
  </si>
  <si>
    <t>Tarjetas Vodafone</t>
  </si>
  <si>
    <t>Penalizaciones Teléfonica</t>
  </si>
  <si>
    <t>Alquiler plaza Garage</t>
  </si>
  <si>
    <t>Salidas Angel Luis</t>
  </si>
  <si>
    <t>Total Gastos Variables</t>
  </si>
  <si>
    <t>Total gastos Fijos + Variables</t>
  </si>
  <si>
    <t>Compras Proveedores</t>
  </si>
  <si>
    <t>Compras Mercaderias</t>
  </si>
  <si>
    <t>Total gastos General</t>
  </si>
  <si>
    <t>Ventas clientes</t>
  </si>
  <si>
    <t>Ventas Mercaderias</t>
  </si>
  <si>
    <t>Ventas Mercaderias X Cobrar</t>
  </si>
  <si>
    <t>Rappels Telyco y Lan Movil</t>
  </si>
  <si>
    <t>Intereses Caja Duero</t>
  </si>
  <si>
    <t>Beneficio o Perdida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</si>
  <si>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</si>
  <si>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PRV FFVV 2014</t>
  </si>
  <si>
    <t>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</si>
  <si>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</si>
  <si>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</si>
  <si>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</si>
  <si>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</si>
  <si>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</si>
  <si>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</si>
  <si>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</si>
  <si>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</si>
  <si>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</si>
  <si>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</si>
  <si>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</si>
  <si>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</si>
  <si>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PRV FFVV Plus (Fidelización)</t>
  </si>
  <si>
    <t>PRV FFVV Basico (Captación)</t>
  </si>
  <si>
    <t>Total cobrado</t>
  </si>
  <si>
    <t>Promociones MoviStar (Sabana) 2014</t>
  </si>
  <si>
    <t>Portadas Contrato FFVV Cif/Nif Comisionables (Poner Unidades)</t>
  </si>
  <si>
    <t>FINALIZO ESTE SISTEMA DE PAGO</t>
  </si>
  <si>
    <t>Portadas Contrato FFVV Cif/Nif Comisionables ORANGE (Poner Unidades)</t>
  </si>
  <si>
    <t>Cumplimiento ADSL FFVV (Poner Unidades)</t>
  </si>
  <si>
    <t>Cupo/Objetivo Conectividad Empresas FFVV Cif/Nif (Poner Unidades)</t>
  </si>
  <si>
    <t>Cupo/Objetivo Puesto Fijo FFVV Cif/Nif (Poner Unidades)</t>
  </si>
  <si>
    <t>Nuevos Importes por Familias PLUS</t>
  </si>
  <si>
    <t>Accesos Plus</t>
  </si>
  <si>
    <t>NO EXISTÍA ESTE SISTEMA DE PAGO</t>
  </si>
  <si>
    <t>MFE Plus</t>
  </si>
  <si>
    <t>Tis Plus</t>
  </si>
  <si>
    <t>Nuevos Importes por Familias Basico</t>
  </si>
  <si>
    <t>Accesos Basico</t>
  </si>
  <si>
    <t>MFE Basico</t>
  </si>
  <si>
    <t>Tis Basico</t>
  </si>
  <si>
    <t>PRV Territorial 2014 Canal MoviStar</t>
  </si>
  <si>
    <t>Movil Contrato Alto y Medio Valor (Fusion + Contrato Total + Contrato 20 + Fusionitos)</t>
  </si>
  <si>
    <t>BAF Medio Valor (ADSL + FO 10 MB)</t>
  </si>
  <si>
    <t>TV para Todos</t>
  </si>
  <si>
    <t>Dejaron de pagar este concepto</t>
  </si>
  <si>
    <t>Venta de terminales Gama Alta y Gama Media</t>
  </si>
  <si>
    <t>No Pagaban este concepto</t>
  </si>
  <si>
    <t>BAF Alto Valor Valor (ADSL + FO 100 MB)</t>
  </si>
  <si>
    <t>ESTE AÑO NO TRABAJAMOS FIBRA</t>
  </si>
  <si>
    <t>Migración A Fibra 100MB</t>
  </si>
  <si>
    <t>RETRIBUCION BASE TIENDAS</t>
  </si>
  <si>
    <t xml:space="preserve">Importe Retribucion base </t>
  </si>
  <si>
    <t>Concepto Extras Mayoristas Celeris, Payma y Lan Movil 2014</t>
  </si>
  <si>
    <t>Celeris PRONTO PAGO</t>
  </si>
  <si>
    <t>Celeris Varios</t>
  </si>
  <si>
    <t>Cobrado</t>
  </si>
  <si>
    <t>Payma PRONTO PAGO</t>
  </si>
  <si>
    <t>Payma Varios</t>
  </si>
  <si>
    <t>Lan Movil PRONTO PAGO</t>
  </si>
  <si>
    <t>Lan Movil Varios</t>
  </si>
  <si>
    <t>Estimacion Rapido de Tesorería</t>
  </si>
  <si>
    <t>23 Octubre al 7 de Diciembre</t>
  </si>
  <si>
    <t>hasta el día 23 de febrero</t>
  </si>
  <si>
    <t>del día 23 de feb. Al 7 de mar</t>
  </si>
  <si>
    <t>del día 23 de marzo. Al 7 de abril</t>
  </si>
  <si>
    <t>del día 23 de Abril. Al 7 de mayo</t>
  </si>
  <si>
    <t>del día 23 de mayo Al 7 de junio</t>
  </si>
  <si>
    <t>del 23 dejunio al 7 de julio</t>
  </si>
  <si>
    <t>del 23 de julio al 7 de agosto</t>
  </si>
  <si>
    <t>del 23 de atosto al 7 de septiembre</t>
  </si>
  <si>
    <t>del 23 de Septiembre al 7 de octubre</t>
  </si>
  <si>
    <t>del 23 de octubre al 7 de noviembre</t>
  </si>
  <si>
    <t>del 25 de octubre al 7 de noviembre</t>
  </si>
  <si>
    <t>del 23 de diciembre al 7 de Enero</t>
  </si>
  <si>
    <t>del 23 de Enero al 7 de Febrero</t>
  </si>
  <si>
    <t>Conceptos</t>
  </si>
  <si>
    <t>Ingresos</t>
  </si>
  <si>
    <t>Bancos</t>
  </si>
  <si>
    <t>Finconsun</t>
  </si>
  <si>
    <t>Tiendas</t>
  </si>
  <si>
    <t>Previsión Ingreso MoviStar</t>
  </si>
  <si>
    <t>Efectivo</t>
  </si>
  <si>
    <t>Varios</t>
  </si>
  <si>
    <t>TOTAL Posibles Ingresos</t>
  </si>
  <si>
    <t>Gastos</t>
  </si>
  <si>
    <t>vencimientos</t>
  </si>
  <si>
    <t>Nominas</t>
  </si>
  <si>
    <t>Seguros</t>
  </si>
  <si>
    <t>Alquiler</t>
  </si>
  <si>
    <t>IMPUESTOS</t>
  </si>
  <si>
    <t>TOTAL Gastos</t>
  </si>
  <si>
    <t>Saldo</t>
  </si>
  <si>
    <t>CONCEPTO</t>
  </si>
  <si>
    <t>Total Stock (Positivo)</t>
  </si>
  <si>
    <t>StockTarjetas</t>
  </si>
  <si>
    <t>Stock Telefonía Móvil Exclusivos</t>
  </si>
  <si>
    <t>Stock Telefonía Móvil Importación y Libres</t>
  </si>
  <si>
    <t>Stock Pack</t>
  </si>
  <si>
    <t>Stock Telefonía Fija</t>
  </si>
  <si>
    <t>Stock Accesorios</t>
  </si>
  <si>
    <t>Total Stock</t>
  </si>
  <si>
    <t>Total nos debe Movistar y Varios (Positivo)</t>
  </si>
  <si>
    <t>Deuda MoviStar Cartera</t>
  </si>
  <si>
    <t>Deuda MoviStar Planes de Negocio</t>
  </si>
  <si>
    <t>Deuda MoviStar Tiendas + Comerciales</t>
  </si>
  <si>
    <t>Financiaciones</t>
  </si>
  <si>
    <t>Abonos Pendientes de cobrar</t>
  </si>
  <si>
    <t>Total Deuda clientes</t>
  </si>
  <si>
    <t>Total Bancos, Caja etc (Positivo)</t>
  </si>
  <si>
    <t>Pretamo familiar</t>
  </si>
  <si>
    <t>Pendiente devolución PRV</t>
  </si>
  <si>
    <t>Bancos y cajas</t>
  </si>
  <si>
    <t>Total Bancos y cajas</t>
  </si>
  <si>
    <t>Vencimientos, Deudads, etc (Negativo)</t>
  </si>
  <si>
    <t>Vencimientos Pendientes</t>
  </si>
  <si>
    <t>Deuda con Movistar</t>
  </si>
  <si>
    <t>Total deudas Acreedores</t>
  </si>
  <si>
    <t>Total Estado de la Empresa mensual</t>
  </si>
  <si>
    <t>OJO</t>
  </si>
  <si>
    <t>Quitado</t>
  </si>
  <si>
    <t>IVA</t>
  </si>
  <si>
    <t>GASTO EXTRA</t>
  </si>
  <si>
    <t>Creditos</t>
  </si>
  <si>
    <t>nomina y seg</t>
  </si>
  <si>
    <t>PAGA EXTRA</t>
  </si>
  <si>
    <t>Dinero de B</t>
  </si>
  <si>
    <t>aumento</t>
  </si>
  <si>
    <t>INFORME DE TESORERIA 2014</t>
  </si>
  <si>
    <t>Pagos Fijos</t>
  </si>
  <si>
    <t>Dietas Tarjetas</t>
  </si>
  <si>
    <t>Dietas comerciales</t>
  </si>
  <si>
    <t>Asesria Laboral</t>
  </si>
  <si>
    <t xml:space="preserve">Prestamo  </t>
  </si>
  <si>
    <t>Financiación coches</t>
  </si>
  <si>
    <t xml:space="preserve">Sueldos  </t>
  </si>
  <si>
    <t>Salvador</t>
  </si>
  <si>
    <t>Limpieza Cristales</t>
  </si>
  <si>
    <t>Telefonía fija</t>
  </si>
  <si>
    <t>Telefonía Móvil</t>
  </si>
  <si>
    <t xml:space="preserve"> </t>
  </si>
  <si>
    <t>Seguridad Social Angel Luis</t>
  </si>
  <si>
    <t>Sanitas</t>
  </si>
  <si>
    <t>Total Pagos Fijos</t>
  </si>
  <si>
    <t>Pagos Variables</t>
  </si>
  <si>
    <t>Liberacion de Teléfonos</t>
  </si>
  <si>
    <t>Golden Soft, controlnet</t>
  </si>
  <si>
    <t>Material Oficina</t>
  </si>
  <si>
    <t xml:space="preserve">                                                                                                                                                                                              </t>
  </si>
  <si>
    <t>Cestas y Cena Navidad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</si>
  <si>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</si>
  <si>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Arreglo Coche</t>
  </si>
  <si>
    <t>Telefono Móvil no Facturado a Micro</t>
  </si>
  <si>
    <t>Sueldos Fuera de Nomina</t>
  </si>
  <si>
    <t>Impuestos (300, 115, 110)</t>
  </si>
  <si>
    <t>Impuestos (Basura, circulación)</t>
  </si>
  <si>
    <t xml:space="preserve">Mutua </t>
  </si>
  <si>
    <t>Comisiones Telemarketing</t>
  </si>
  <si>
    <t>Comisiones Plan de Negocios</t>
  </si>
  <si>
    <t>tarjetas vodafone</t>
  </si>
  <si>
    <t>Publicidad</t>
  </si>
  <si>
    <t xml:space="preserve">seguro </t>
  </si>
  <si>
    <t>Seguro automovil</t>
  </si>
  <si>
    <t>Arsys Internet</t>
  </si>
  <si>
    <t>Cursos telefónica</t>
  </si>
  <si>
    <t>Registro Mercantil Libros contables</t>
  </si>
  <si>
    <t>mantenimiento vehiculos</t>
  </si>
  <si>
    <t>Obras tiendas</t>
  </si>
  <si>
    <t>Tarjetas de visita</t>
  </si>
  <si>
    <t>CAB ordenadores</t>
  </si>
  <si>
    <t>Multa</t>
  </si>
  <si>
    <t>Pago clientes</t>
  </si>
  <si>
    <t>Compra vehiculo</t>
  </si>
  <si>
    <t>Plaza de Garage</t>
  </si>
  <si>
    <t>Total Pagos Variables</t>
  </si>
  <si>
    <t>Total Pagos Fijos + Variables</t>
  </si>
  <si>
    <t>Pagos Proveedores</t>
  </si>
  <si>
    <t>Pago Recarga de Móviles</t>
  </si>
  <si>
    <t>Proveedores</t>
  </si>
  <si>
    <t>Total Pagos General</t>
  </si>
  <si>
    <t>Cobros</t>
  </si>
  <si>
    <t>MoviStar Y Telefónica Fija</t>
  </si>
  <si>
    <t>Clientes</t>
  </si>
  <si>
    <t>Abonos Proveedores</t>
  </si>
  <si>
    <t>Total Cobros</t>
  </si>
  <si>
    <t xml:space="preserve">Total Estado de la Empresa </t>
  </si>
  <si>
    <t>CUADRO DE APLICACIÓN DE FONDOS</t>
  </si>
  <si>
    <t>Stock Informática</t>
  </si>
  <si>
    <t>Stock Telefonía Móvil</t>
  </si>
  <si>
    <t>Deuda Telefonica Fija</t>
  </si>
  <si>
    <t>Cuenta de Crédito</t>
  </si>
  <si>
    <t>Financiacion coches</t>
  </si>
  <si>
    <t>prestamo hipotecario</t>
  </si>
  <si>
    <t>Total Préstamos a L/P</t>
  </si>
  <si>
    <t>Total Estado de la Empresa</t>
  </si>
  <si>
    <t>GASTOS EXTRA</t>
  </si>
  <si>
    <t>PAGAS EXTRA</t>
  </si>
  <si>
    <t>Perdidas y Gannacias</t>
  </si>
  <si>
    <t>TOTAL</t>
  </si>
  <si>
    <t>COMPRAS</t>
  </si>
  <si>
    <t>Gastos Fij. + Variab.</t>
  </si>
  <si>
    <t>INGRESOS</t>
  </si>
  <si>
    <t>103,589,22</t>
  </si>
  <si>
    <t>Ejemplos</t>
  </si>
  <si>
    <t>Gastos Fijos</t>
  </si>
  <si>
    <t>TOTAL Mensual</t>
  </si>
  <si>
    <t>Mensual Total Comerc. (7)</t>
  </si>
  <si>
    <t>Mensual Total Tiendas (10)</t>
  </si>
  <si>
    <t>MensualTotal MovilFree (2)</t>
  </si>
  <si>
    <t>Control</t>
  </si>
  <si>
    <t>A cada uno lo suyo (FFVV y Tiendas) Cristina y Aluis se divide entre todos y se multiplica por el total</t>
  </si>
  <si>
    <t>A cada uno se le imputa su gasto a ecepción de Estación (50% FFVV y 50% Tiendas)</t>
  </si>
  <si>
    <t>FFVV y Salva para tiendas</t>
  </si>
  <si>
    <t>A cada uno lo suyo (FFVV y Tiendas) Cristina Tiendas y Aluis FFVV</t>
  </si>
  <si>
    <t>Dividido entre todos los trabajadores a ecepción de Cristina y Aluis y multiplicado por cada uno</t>
  </si>
  <si>
    <t>A cada uno la suya</t>
  </si>
  <si>
    <t>Dietas Tiendas y Comerciales</t>
  </si>
  <si>
    <t>A ninguno (ponerlo en el Total Mensual)</t>
  </si>
  <si>
    <t>Total</t>
  </si>
  <si>
    <t>FFVV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</si>
</sst>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0.0"/>
    <numFmt numFmtId="166" formatCode="#,##0.00\ &quot;€&quot;"/>
    <numFmt numFmtId="167" formatCode="d\-m\-yy"/>
    <numFmt numFmtId="168" formatCode="mmmm\-yy"/>
  </numFmts>
  <fonts count="37">
    <font>
      <sz val="10.0"/>
      <color rgb="FF000000"/>
      <name val="Arial"/>
    </font>
    <font>
      <b/>
      <sz val="7.0"/>
      <color rgb="FFFFFFFF"/>
      <name val="Arial"/>
    </font>
    <font>
      <b/>
      <sz val="7.0"/>
      <name val="Arial"/>
    </font>
    <font>
      <sz val="9.0"/>
      <name val="Arial"/>
    </font>
    <font>
      <sz val="7.0"/>
      <name val="Arial"/>
    </font>
    <font>
      <sz val="7.0"/>
      <color rgb="FFFFFFFF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name val="Arial"/>
    </font>
    <font>
      <sz val="8.0"/>
      <name val="Arial"/>
    </font>
    <font>
      <b/>
      <sz val="10.0"/>
      <color rgb="FFFFFFFF"/>
      <name val="Arial"/>
    </font>
    <font>
      <sz val="10.0"/>
      <name val="Arial"/>
    </font>
    <font/>
    <font>
      <b/>
      <sz val="12.0"/>
      <color rgb="FFFFFFFF"/>
      <name val="Arial"/>
    </font>
    <font>
      <b/>
      <sz val="8.0"/>
      <color rgb="FFFFFFFF"/>
      <name val="Arial"/>
    </font>
    <font>
      <b/>
      <sz val="11.0"/>
    </font>
    <font>
      <b/>
      <sz val="11.0"/>
      <name val="Arial"/>
    </font>
    <font>
      <b/>
      <sz val="11.0"/>
      <color rgb="FF000000"/>
      <name val="Arial"/>
    </font>
    <font>
      <b/>
      <sz val="8.0"/>
      <name val="Arial"/>
    </font>
    <font>
      <sz val="8.0"/>
      <color rgb="FFFFFFFF"/>
      <name val="Arial"/>
    </font>
    <font>
      <b/>
      <sz val="9.0"/>
      <color rgb="FFDD0806"/>
      <name val="Arial"/>
    </font>
    <font>
      <b/>
      <sz val="10.0"/>
      <name val="Arial"/>
    </font>
    <font>
      <b/>
      <sz val="10.0"/>
      <color rgb="FFDD0806"/>
      <name val="Arial"/>
    </font>
    <font>
      <sz val="10.0"/>
      <color rgb="FFFFFFFF"/>
      <name val="Arial"/>
    </font>
    <font>
      <b/>
      <sz val="10.0"/>
      <color rgb="FFFFFFFF"/>
      <name val="Calibri"/>
    </font>
    <font>
      <sz val="10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name val="Calibri"/>
    </font>
    <font>
      <b/>
      <sz val="10.0"/>
      <name val="Calibri"/>
    </font>
    <font>
      <b/>
      <sz val="10.0"/>
      <color rgb="FFFF9900"/>
      <name val="Calibri"/>
    </font>
    <font>
      <b/>
      <sz val="10.0"/>
      <color rgb="FFDD0806"/>
      <name val="Calibri"/>
    </font>
    <font>
      <sz val="10.0"/>
      <color rgb="FFDD0806"/>
      <name val="Calibri"/>
    </font>
    <font>
      <b/>
      <sz val="9.0"/>
      <color rgb="FFFF9900"/>
      <name val="Arial"/>
    </font>
    <font>
      <b/>
      <sz val="9.0"/>
      <color rgb="FF3366FF"/>
      <name val="Arial"/>
    </font>
    <font>
      <sz val="9.0"/>
      <color rgb="FFFFFFFF"/>
      <name val="Arial"/>
    </font>
    <font>
      <sz val="8.0"/>
      <color rgb="FFDD0806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rgb="FF90713A"/>
        <bgColor rgb="FF90713A"/>
      </patternFill>
    </fill>
    <fill>
      <patternFill patternType="solid">
        <fgColor rgb="FFFF8080"/>
        <bgColor rgb="FFFF8080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33CCCC"/>
        <bgColor rgb="FF33CCCC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339966"/>
        <bgColor rgb="FF339966"/>
      </patternFill>
    </fill>
    <fill>
      <patternFill patternType="solid">
        <fgColor rgb="FFFF9900"/>
        <bgColor rgb="FFFF9900"/>
      </patternFill>
    </fill>
    <fill>
      <patternFill patternType="solid">
        <fgColor rgb="FFDD0806"/>
        <bgColor rgb="FFDD0806"/>
      </patternFill>
    </fill>
    <fill>
      <patternFill patternType="solid">
        <fgColor rgb="FF99CC00"/>
        <bgColor rgb="FF99CC00"/>
      </patternFill>
    </fill>
    <fill>
      <patternFill patternType="solid">
        <fgColor rgb="FF969696"/>
        <bgColor rgb="FF969696"/>
      </patternFill>
    </fill>
    <fill>
      <patternFill patternType="solid">
        <fgColor rgb="FFF3F3F3"/>
        <bgColor rgb="FFF3F3F3"/>
      </patternFill>
    </fill>
    <fill>
      <patternFill patternType="solid">
        <fgColor rgb="FF76923C"/>
        <bgColor rgb="FF76923C"/>
      </patternFill>
    </fill>
    <fill>
      <patternFill patternType="solid">
        <fgColor rgb="FF6FA8DC"/>
        <bgColor rgb="FF6FA8DC"/>
      </patternFill>
    </fill>
    <fill>
      <patternFill patternType="solid">
        <fgColor rgb="FFD0E0E3"/>
        <bgColor rgb="FFD0E0E3"/>
      </patternFill>
    </fill>
    <fill>
      <patternFill patternType="solid">
        <fgColor rgb="FF548DD4"/>
        <bgColor rgb="FF548DD4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F3F3F3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2" fillId="4" fontId="1" numFmtId="0" xfId="0" applyAlignment="1" applyBorder="1" applyFont="1">
      <alignment horizontal="center" shrinkToFit="0" vertical="center" wrapText="0"/>
    </xf>
    <xf borderId="1" fillId="0" fontId="3" numFmtId="2" xfId="0" applyAlignment="1" applyBorder="1" applyFont="1" applyNumberFormat="1">
      <alignment horizontal="right" shrinkToFit="0" wrapText="0"/>
    </xf>
    <xf borderId="3" fillId="7" fontId="4" numFmtId="0" xfId="0" applyAlignment="1" applyBorder="1" applyFill="1" applyFont="1">
      <alignment horizontal="left" shrinkToFit="0" vertical="center" wrapText="0"/>
    </xf>
    <xf borderId="1" fillId="3" fontId="4" numFmtId="4" xfId="0" applyAlignment="1" applyBorder="1" applyFont="1" applyNumberFormat="1">
      <alignment horizontal="center" shrinkToFit="0" vertical="center" wrapText="0"/>
    </xf>
    <xf borderId="1" fillId="8" fontId="4" numFmtId="4" xfId="0" applyAlignment="1" applyBorder="1" applyFill="1" applyFont="1" applyNumberFormat="1">
      <alignment horizontal="center" shrinkToFit="0" vertical="center" wrapText="0"/>
    </xf>
    <xf borderId="1" fillId="9" fontId="4" numFmtId="4" xfId="0" applyAlignment="1" applyBorder="1" applyFill="1" applyFont="1" applyNumberFormat="1">
      <alignment horizontal="center" shrinkToFit="0" vertical="center" wrapText="0"/>
    </xf>
    <xf borderId="1" fillId="10" fontId="4" numFmtId="4" xfId="0" applyAlignment="1" applyBorder="1" applyFill="1" applyFont="1" applyNumberFormat="1">
      <alignment horizontal="center" shrinkToFit="0" vertical="center" wrapText="0"/>
    </xf>
    <xf borderId="2" fillId="0" fontId="4" numFmtId="4" xfId="0" applyAlignment="1" applyBorder="1" applyFont="1" applyNumberFormat="1">
      <alignment horizontal="center" shrinkToFit="0" vertical="center" wrapText="0"/>
    </xf>
    <xf borderId="1" fillId="0" fontId="4" numFmtId="4" xfId="0" applyAlignment="1" applyBorder="1" applyFont="1" applyNumberFormat="1">
      <alignment horizontal="center" shrinkToFit="0" vertical="center" wrapText="0"/>
    </xf>
    <xf borderId="4" fillId="7" fontId="4" numFmtId="0" xfId="0" applyAlignment="1" applyBorder="1" applyFont="1">
      <alignment horizontal="left" shrinkToFit="0" vertical="center" wrapText="0"/>
    </xf>
    <xf borderId="4" fillId="7" fontId="4" numFmtId="0" xfId="0" applyAlignment="1" applyBorder="1" applyFont="1">
      <alignment horizontal="left" readingOrder="0" shrinkToFit="0" vertical="center" wrapText="0"/>
    </xf>
    <xf borderId="4" fillId="11" fontId="5" numFmtId="0" xfId="0" applyAlignment="1" applyBorder="1" applyFill="1" applyFont="1">
      <alignment horizontal="left" shrinkToFit="0" vertical="center" wrapText="0"/>
    </xf>
    <xf borderId="1" fillId="2" fontId="1" numFmtId="4" xfId="0" applyAlignment="1" applyBorder="1" applyFont="1" applyNumberFormat="1">
      <alignment horizontal="center" shrinkToFit="0" vertical="center" wrapText="0"/>
    </xf>
    <xf borderId="2" fillId="2" fontId="1" numFmtId="4" xfId="0" applyAlignment="1" applyBorder="1" applyFont="1" applyNumberFormat="1">
      <alignment horizontal="center" shrinkToFit="0" vertical="center" wrapText="0"/>
    </xf>
    <xf borderId="5" fillId="7" fontId="4" numFmtId="0" xfId="0" applyAlignment="1" applyBorder="1" applyFont="1">
      <alignment horizontal="left" shrinkToFit="0" vertical="center" wrapText="0"/>
    </xf>
    <xf borderId="1" fillId="7" fontId="4" numFmtId="0" xfId="0" applyAlignment="1" applyBorder="1" applyFont="1">
      <alignment horizontal="left" shrinkToFit="0" vertical="center" wrapText="0"/>
    </xf>
    <xf borderId="6" fillId="7" fontId="4" numFmtId="0" xfId="0" applyAlignment="1" applyBorder="1" applyFont="1">
      <alignment horizontal="left" shrinkToFit="0" vertical="center" wrapText="0"/>
    </xf>
    <xf borderId="1" fillId="12" fontId="1" numFmtId="0" xfId="0" applyAlignment="1" applyBorder="1" applyFill="1" applyFont="1">
      <alignment horizontal="left" shrinkToFit="0" vertical="center" wrapText="0"/>
    </xf>
    <xf borderId="1" fillId="12" fontId="1" numFmtId="4" xfId="0" applyAlignment="1" applyBorder="1" applyFont="1" applyNumberFormat="1">
      <alignment horizontal="center" shrinkToFit="0" vertical="center" wrapText="0"/>
    </xf>
    <xf borderId="2" fillId="12" fontId="1" numFmtId="4" xfId="0" applyAlignment="1" applyBorder="1" applyFont="1" applyNumberFormat="1">
      <alignment horizontal="center" shrinkToFit="0" vertical="center" wrapText="0"/>
    </xf>
    <xf borderId="1" fillId="13" fontId="1" numFmtId="0" xfId="0" applyAlignment="1" applyBorder="1" applyFill="1" applyFont="1">
      <alignment horizontal="left" shrinkToFit="0" vertical="center" wrapText="0"/>
    </xf>
    <xf borderId="1" fillId="13" fontId="1" numFmtId="4" xfId="0" applyAlignment="1" applyBorder="1" applyFont="1" applyNumberFormat="1">
      <alignment horizontal="center" shrinkToFit="0" vertical="center" wrapText="0"/>
    </xf>
    <xf borderId="2" fillId="13" fontId="1" numFmtId="4" xfId="0" applyAlignment="1" applyBorder="1" applyFont="1" applyNumberFormat="1">
      <alignment horizontal="center" shrinkToFit="0" vertical="center" wrapText="0"/>
    </xf>
    <xf borderId="7" fillId="14" fontId="1" numFmtId="0" xfId="0" applyAlignment="1" applyBorder="1" applyFill="1" applyFont="1">
      <alignment horizontal="center" shrinkToFit="0" vertical="center" wrapText="0"/>
    </xf>
    <xf borderId="7" fillId="14" fontId="2" numFmtId="0" xfId="0" applyAlignment="1" applyBorder="1" applyFont="1">
      <alignment shrinkToFit="0" vertical="center" wrapText="0"/>
    </xf>
    <xf borderId="1" fillId="14" fontId="2" numFmtId="4" xfId="0" applyAlignment="1" applyBorder="1" applyFont="1" applyNumberFormat="1">
      <alignment horizontal="center" shrinkToFit="0" vertical="center" wrapText="0"/>
    </xf>
    <xf borderId="1" fillId="15" fontId="1" numFmtId="0" xfId="0" applyAlignment="1" applyBorder="1" applyFill="1" applyFont="1">
      <alignment horizontal="left" shrinkToFit="0" vertical="center" wrapText="0"/>
    </xf>
    <xf borderId="1" fillId="15" fontId="1" numFmtId="4" xfId="0" applyAlignment="1" applyBorder="1" applyFont="1" applyNumberFormat="1">
      <alignment horizontal="center" shrinkToFit="0" vertical="center" wrapText="0"/>
    </xf>
    <xf borderId="1" fillId="16" fontId="1" numFmtId="0" xfId="0" applyAlignment="1" applyBorder="1" applyFill="1" applyFont="1">
      <alignment horizontal="left" shrinkToFit="0" vertical="center" wrapText="0"/>
    </xf>
    <xf borderId="1" fillId="16" fontId="1" numFmtId="4" xfId="0" applyAlignment="1" applyBorder="1" applyFont="1" applyNumberFormat="1">
      <alignment horizontal="center" shrinkToFit="0" vertical="center" wrapText="0"/>
    </xf>
    <xf borderId="1" fillId="14" fontId="1" numFmtId="3" xfId="0" applyAlignment="1" applyBorder="1" applyFont="1" applyNumberFormat="1">
      <alignment horizontal="center" shrinkToFit="0" vertical="center" wrapText="0"/>
    </xf>
    <xf borderId="1" fillId="14" fontId="1" numFmtId="0" xfId="0" applyAlignment="1" applyBorder="1" applyFont="1">
      <alignment shrinkToFit="0" vertical="center" wrapText="0"/>
    </xf>
    <xf borderId="1" fillId="14" fontId="1" numFmtId="4" xfId="0" applyAlignment="1" applyBorder="1" applyFont="1" applyNumberFormat="1">
      <alignment horizontal="center" shrinkToFit="0" vertical="center" wrapText="0"/>
    </xf>
    <xf borderId="1" fillId="15" fontId="1" numFmtId="3" xfId="0" applyAlignment="1" applyBorder="1" applyFont="1" applyNumberFormat="1">
      <alignment horizontal="left" shrinkToFit="0" vertical="center" wrapText="0"/>
    </xf>
    <xf borderId="1" fillId="15" fontId="1" numFmtId="0" xfId="0" applyAlignment="1" applyBorder="1" applyFont="1">
      <alignment shrinkToFit="0" vertical="center" wrapText="0"/>
    </xf>
    <xf borderId="1" fillId="17" fontId="1" numFmtId="3" xfId="0" applyAlignment="1" applyBorder="1" applyFill="1" applyFont="1" applyNumberFormat="1">
      <alignment horizontal="left" shrinkToFit="0" vertical="center" wrapText="0"/>
    </xf>
    <xf borderId="1" fillId="17" fontId="1" numFmtId="4" xfId="0" applyAlignment="1" applyBorder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5" fontId="7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8" numFmtId="4" xfId="0" applyAlignment="1" applyBorder="1" applyFont="1" applyNumberFormat="1">
      <alignment horizontal="center" shrinkToFit="0" vertical="center" wrapText="0"/>
    </xf>
    <xf borderId="1" fillId="0" fontId="9" numFmtId="4" xfId="0" applyAlignment="1" applyBorder="1" applyFont="1" applyNumberFormat="1">
      <alignment horizontal="center" shrinkToFit="0" vertical="center" wrapText="0"/>
    </xf>
    <xf borderId="8" fillId="0" fontId="9" numFmtId="4" xfId="0" applyAlignment="1" applyBorder="1" applyFont="1" applyNumberFormat="1">
      <alignment horizontal="center" shrinkToFit="0" vertical="center" wrapText="0"/>
    </xf>
    <xf borderId="9" fillId="0" fontId="9" numFmtId="4" xfId="0" applyAlignment="1" applyBorder="1" applyFont="1" applyNumberFormat="1">
      <alignment horizontal="center" shrinkToFit="0" vertical="center" wrapText="0"/>
    </xf>
    <xf borderId="1" fillId="18" fontId="7" numFmtId="0" xfId="0" applyAlignment="1" applyBorder="1" applyFill="1" applyFont="1">
      <alignment shrinkToFit="0" vertical="center" wrapText="0"/>
    </xf>
    <xf borderId="1" fillId="18" fontId="7" numFmtId="164" xfId="0" applyAlignment="1" applyBorder="1" applyFont="1" applyNumberFormat="1">
      <alignment horizontal="center" shrinkToFit="0" vertical="center" wrapText="0"/>
    </xf>
    <xf borderId="1" fillId="18" fontId="10" numFmtId="164" xfId="0" applyAlignment="1" applyBorder="1" applyFont="1" applyNumberFormat="1">
      <alignment horizontal="center" shrinkToFit="0" vertical="center" wrapText="0"/>
    </xf>
    <xf borderId="10" fillId="18" fontId="10" numFmtId="164" xfId="0" applyAlignment="1" applyBorder="1" applyFont="1" applyNumberFormat="1">
      <alignment horizontal="center" shrinkToFit="0" vertical="center" wrapText="0"/>
    </xf>
    <xf borderId="0" fillId="19" fontId="11" numFmtId="0" xfId="0" applyAlignment="1" applyFill="1" applyFont="1">
      <alignment shrinkToFit="0" wrapText="0"/>
    </xf>
    <xf borderId="11" fillId="0" fontId="12" numFmtId="0" xfId="0" applyBorder="1" applyFont="1"/>
    <xf borderId="1" fillId="5" fontId="13" numFmtId="0" xfId="0" applyAlignment="1" applyBorder="1" applyFont="1">
      <alignment horizontal="center" shrinkToFit="0" vertical="center" wrapText="0"/>
    </xf>
    <xf borderId="1" fillId="5" fontId="14" numFmtId="0" xfId="0" applyAlignment="1" applyBorder="1" applyFont="1">
      <alignment horizontal="center" shrinkToFit="0" vertical="center" wrapText="0"/>
    </xf>
    <xf borderId="12" fillId="0" fontId="8" numFmtId="4" xfId="0" applyAlignment="1" applyBorder="1" applyFont="1" applyNumberFormat="1">
      <alignment horizontal="center" readingOrder="0" shrinkToFit="0" vertical="center" wrapText="0"/>
    </xf>
    <xf borderId="13" fillId="0" fontId="12" numFmtId="0" xfId="0" applyBorder="1" applyFont="1"/>
    <xf borderId="14" fillId="0" fontId="12" numFmtId="0" xfId="0" applyBorder="1" applyFont="1"/>
    <xf borderId="1" fillId="0" fontId="9" numFmtId="0" xfId="0" applyAlignment="1" applyBorder="1" applyFont="1">
      <alignment shrinkToFit="0" vertical="center" wrapText="0"/>
    </xf>
    <xf borderId="15" fillId="0" fontId="12" numFmtId="0" xfId="0" applyBorder="1" applyFont="1"/>
    <xf borderId="16" fillId="0" fontId="12" numFmtId="0" xfId="0" applyBorder="1" applyFont="1"/>
    <xf borderId="17" fillId="0" fontId="12" numFmtId="0" xfId="0" applyBorder="1" applyFont="1"/>
    <xf borderId="18" fillId="0" fontId="12" numFmtId="0" xfId="0" applyBorder="1" applyFont="1"/>
    <xf borderId="19" fillId="0" fontId="12" numFmtId="0" xfId="0" applyBorder="1" applyFont="1"/>
    <xf borderId="1" fillId="18" fontId="10" numFmtId="0" xfId="0" applyAlignment="1" applyBorder="1" applyFont="1">
      <alignment shrinkToFit="0" vertical="center" wrapText="0"/>
    </xf>
    <xf borderId="9" fillId="18" fontId="10" numFmtId="164" xfId="0" applyAlignment="1" applyBorder="1" applyFont="1" applyNumberFormat="1">
      <alignment horizontal="center" shrinkToFit="0" vertical="center" wrapText="0"/>
    </xf>
    <xf borderId="20" fillId="0" fontId="12" numFmtId="0" xfId="0" applyBorder="1" applyFont="1"/>
    <xf borderId="2" fillId="0" fontId="12" numFmtId="0" xfId="0" applyBorder="1" applyFont="1"/>
    <xf borderId="1" fillId="20" fontId="13" numFmtId="0" xfId="0" applyAlignment="1" applyBorder="1" applyFill="1" applyFont="1">
      <alignment horizontal="center" shrinkToFit="0" vertical="center" wrapText="0"/>
    </xf>
    <xf borderId="1" fillId="20" fontId="14" numFmtId="0" xfId="0" applyAlignment="1" applyBorder="1" applyFont="1">
      <alignment horizontal="center" shrinkToFit="0" vertical="center" wrapText="0"/>
    </xf>
    <xf borderId="1" fillId="21" fontId="9" numFmtId="4" xfId="0" applyAlignment="1" applyBorder="1" applyFill="1" applyFont="1" applyNumberFormat="1">
      <alignment horizontal="center" readingOrder="0" shrinkToFit="0" vertical="center" wrapText="0"/>
    </xf>
    <xf borderId="1" fillId="0" fontId="9" numFmtId="4" xfId="0" applyAlignment="1" applyBorder="1" applyFont="1" applyNumberFormat="1">
      <alignment horizontal="center" readingOrder="0" shrinkToFit="0" vertical="center" wrapText="0"/>
    </xf>
    <xf borderId="1" fillId="22" fontId="9" numFmtId="4" xfId="0" applyAlignment="1" applyBorder="1" applyFill="1" applyFont="1" applyNumberFormat="1">
      <alignment horizontal="center" readingOrder="0" shrinkToFit="0" vertical="center" wrapText="0"/>
    </xf>
    <xf borderId="1" fillId="23" fontId="13" numFmtId="0" xfId="0" applyAlignment="1" applyBorder="1" applyFill="1" applyFont="1">
      <alignment horizontal="center" shrinkToFit="0" vertical="center" wrapText="0"/>
    </xf>
    <xf borderId="1" fillId="23" fontId="14" numFmtId="0" xfId="0" applyAlignment="1" applyBorder="1" applyFont="1">
      <alignment horizontal="center" shrinkToFit="0" vertical="center" wrapText="0"/>
    </xf>
    <xf borderId="1" fillId="23" fontId="7" numFmtId="0" xfId="0" applyAlignment="1" applyBorder="1" applyFont="1">
      <alignment horizontal="center" shrinkToFit="0" vertical="center" wrapText="0"/>
    </xf>
    <xf borderId="4" fillId="4" fontId="13" numFmtId="0" xfId="0" applyAlignment="1" applyBorder="1" applyFont="1">
      <alignment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0" fontId="8" numFmtId="165" xfId="0" applyAlignment="1" applyBorder="1" applyFont="1" applyNumberFormat="1">
      <alignment horizontal="center" shrinkToFit="0" vertical="center" wrapText="0"/>
    </xf>
    <xf borderId="1" fillId="7" fontId="9" numFmtId="4" xfId="0" applyAlignment="1" applyBorder="1" applyFont="1" applyNumberFormat="1">
      <alignment horizontal="center" readingOrder="0" shrinkToFit="0" vertical="center" wrapText="0"/>
    </xf>
    <xf borderId="1" fillId="7" fontId="9" numFmtId="4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0" fillId="7" fontId="15" numFmtId="165" xfId="0" applyAlignment="1" applyFont="1" applyNumberFormat="1">
      <alignment horizontal="center" readingOrder="0" vertical="center"/>
    </xf>
    <xf borderId="9" fillId="0" fontId="16" numFmtId="165" xfId="0" applyAlignment="1" applyBorder="1" applyFont="1" applyNumberFormat="1">
      <alignment horizontal="center" readingOrder="0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12" fillId="0" fontId="17" numFmtId="165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shrinkToFit="0" vertical="center" wrapText="0"/>
    </xf>
    <xf borderId="9" fillId="7" fontId="15" numFmtId="4" xfId="0" applyAlignment="1" applyBorder="1" applyFont="1" applyNumberFormat="1">
      <alignment horizontal="center" readingOrder="0" vertical="center"/>
    </xf>
    <xf borderId="0" fillId="19" fontId="10" numFmtId="0" xfId="0" applyAlignment="1" applyFont="1">
      <alignment shrinkToFit="0" vertical="center" wrapText="0"/>
    </xf>
    <xf borderId="21" fillId="4" fontId="7" numFmtId="0" xfId="0" applyAlignment="1" applyBorder="1" applyFont="1">
      <alignment shrinkToFit="0" vertical="center" wrapText="0"/>
    </xf>
    <xf borderId="1" fillId="0" fontId="18" numFmtId="165" xfId="0" applyAlignment="1" applyBorder="1" applyFont="1" applyNumberFormat="1">
      <alignment horizontal="center" shrinkToFit="0" vertical="center" wrapText="0"/>
    </xf>
    <xf borderId="1" fillId="0" fontId="9" numFmtId="165" xfId="0" applyAlignment="1" applyBorder="1" applyFont="1" applyNumberFormat="1">
      <alignment horizontal="center" shrinkToFit="0" vertical="center" wrapText="0"/>
    </xf>
    <xf borderId="1" fillId="13" fontId="18" numFmtId="0" xfId="0" applyAlignment="1" applyBorder="1" applyFont="1">
      <alignment shrinkToFit="0" vertical="center" wrapText="0"/>
    </xf>
    <xf borderId="1" fillId="13" fontId="18" numFmtId="165" xfId="0" applyAlignment="1" applyBorder="1" applyFont="1" applyNumberFormat="1">
      <alignment horizontal="center" shrinkToFit="0" vertical="center" wrapText="0"/>
    </xf>
    <xf borderId="1" fillId="7" fontId="9" numFmtId="0" xfId="0" applyAlignment="1" applyBorder="1" applyFont="1">
      <alignment shrinkToFit="0" vertical="center" wrapText="0"/>
    </xf>
    <xf borderId="1" fillId="7" fontId="18" numFmtId="165" xfId="0" applyAlignment="1" applyBorder="1" applyFont="1" applyNumberFormat="1">
      <alignment horizontal="center" shrinkToFit="0" vertical="center" wrapText="0"/>
    </xf>
    <xf borderId="1" fillId="7" fontId="9" numFmtId="165" xfId="0" applyAlignment="1" applyBorder="1" applyFont="1" applyNumberFormat="1">
      <alignment horizontal="center" shrinkToFit="0" vertical="center" wrapText="0"/>
    </xf>
    <xf borderId="1" fillId="18" fontId="19" numFmtId="0" xfId="0" applyAlignment="1" applyBorder="1" applyFont="1">
      <alignment shrinkToFit="0" vertical="center" wrapText="0"/>
    </xf>
    <xf borderId="1" fillId="18" fontId="14" numFmtId="164" xfId="0" applyAlignment="1" applyBorder="1" applyFont="1" applyNumberFormat="1">
      <alignment horizontal="center" shrinkToFit="0" vertical="center" wrapText="0"/>
    </xf>
    <xf borderId="4" fillId="18" fontId="6" numFmtId="0" xfId="0" applyAlignment="1" applyBorder="1" applyFont="1">
      <alignment horizontal="center" shrinkToFit="0" vertical="center" wrapText="0"/>
    </xf>
    <xf borderId="1" fillId="18" fontId="7" numFmtId="0" xfId="0" applyAlignment="1" applyBorder="1" applyFont="1">
      <alignment horizontal="center" shrinkToFit="0" vertical="center" wrapText="0"/>
    </xf>
    <xf borderId="1" fillId="18" fontId="20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wrapText="0"/>
    </xf>
    <xf borderId="4" fillId="7" fontId="21" numFmtId="0" xfId="0" applyAlignment="1" applyBorder="1" applyFont="1">
      <alignment horizontal="center" shrinkToFit="0" vertical="center" wrapText="0"/>
    </xf>
    <xf borderId="1" fillId="7" fontId="21" numFmtId="0" xfId="0" applyAlignment="1" applyBorder="1" applyFont="1">
      <alignment horizontal="center" shrinkToFit="0" vertical="center" wrapText="0"/>
    </xf>
    <xf borderId="1" fillId="0" fontId="21" numFmtId="0" xfId="0" applyAlignment="1" applyBorder="1" applyFont="1">
      <alignment shrinkToFit="0" vertical="center" wrapText="0"/>
    </xf>
    <xf borderId="1" fillId="0" fontId="21" numFmtId="166" xfId="0" applyAlignment="1" applyBorder="1" applyFont="1" applyNumberFormat="1">
      <alignment horizontal="center" shrinkToFit="0" vertical="center" wrapText="0"/>
    </xf>
    <xf borderId="1" fillId="7" fontId="21" numFmtId="0" xfId="0" applyAlignment="1" applyBorder="1" applyFont="1">
      <alignment shrinkToFit="0" vertical="center" wrapText="0"/>
    </xf>
    <xf borderId="1" fillId="7" fontId="21" numFmtId="166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0" xfId="0" applyAlignment="1" applyFont="1">
      <alignment horizontal="center" shrinkToFit="0" vertical="center" wrapText="0"/>
    </xf>
    <xf borderId="22" fillId="7" fontId="21" numFmtId="0" xfId="0" applyAlignment="1" applyBorder="1" applyFont="1">
      <alignment horizontal="center" shrinkToFit="0" vertical="center" wrapText="0"/>
    </xf>
    <xf borderId="1" fillId="0" fontId="22" numFmtId="166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18" fontId="10" numFmtId="0" xfId="0" applyAlignment="1" applyBorder="1" applyFont="1">
      <alignment horizontal="center" shrinkToFit="0" vertical="center" wrapText="0"/>
    </xf>
    <xf borderId="1" fillId="18" fontId="23" numFmtId="166" xfId="0" applyAlignment="1" applyBorder="1" applyFont="1" applyNumberFormat="1">
      <alignment horizontal="center" shrinkToFit="0" vertical="center" wrapText="0"/>
    </xf>
    <xf borderId="1" fillId="16" fontId="21" numFmtId="166" xfId="0" applyAlignment="1" applyBorder="1" applyFont="1" applyNumberFormat="1">
      <alignment horizontal="center" shrinkToFit="0" vertical="center" wrapText="0"/>
    </xf>
    <xf borderId="1" fillId="13" fontId="21" numFmtId="166" xfId="0" applyAlignment="1" applyBorder="1" applyFont="1" applyNumberFormat="1">
      <alignment horizontal="center" shrinkToFit="0" vertical="center" wrapText="0"/>
    </xf>
    <xf borderId="23" fillId="12" fontId="24" numFmtId="0" xfId="0" applyAlignment="1" applyBorder="1" applyFont="1">
      <alignment horizontal="center" shrinkToFit="0" vertical="center" wrapText="0"/>
    </xf>
    <xf borderId="23" fillId="12" fontId="24" numFmtId="167" xfId="0" applyAlignment="1" applyBorder="1" applyFont="1" applyNumberFormat="1">
      <alignment horizontal="center" shrinkToFit="0" vertical="center" wrapText="0"/>
    </xf>
    <xf borderId="23" fillId="12" fontId="25" numFmtId="167" xfId="0" applyAlignment="1" applyBorder="1" applyFont="1" applyNumberFormat="1">
      <alignment horizontal="center" shrinkToFit="0" vertical="center" wrapText="0"/>
    </xf>
    <xf borderId="23" fillId="13" fontId="26" numFmtId="0" xfId="0" applyAlignment="1" applyBorder="1" applyFont="1">
      <alignment horizontal="center" shrinkToFit="0" vertical="center" wrapText="0"/>
    </xf>
    <xf borderId="23" fillId="13" fontId="26" numFmtId="167" xfId="0" applyAlignment="1" applyBorder="1" applyFont="1" applyNumberFormat="1">
      <alignment horizontal="center" shrinkToFit="0" vertical="center" wrapText="0"/>
    </xf>
    <xf borderId="23" fillId="13" fontId="27" numFmtId="167" xfId="0" applyAlignment="1" applyBorder="1" applyFont="1" applyNumberFormat="1">
      <alignment horizontal="center" shrinkToFit="0" vertical="center" wrapText="0"/>
    </xf>
    <xf borderId="10" fillId="7" fontId="28" numFmtId="0" xfId="0" applyAlignment="1" applyBorder="1" applyFont="1">
      <alignment shrinkToFit="0" vertical="center" wrapText="0"/>
    </xf>
    <xf borderId="7" fillId="0" fontId="28" numFmtId="4" xfId="0" applyAlignment="1" applyBorder="1" applyFont="1" applyNumberFormat="1">
      <alignment shrinkToFit="0" vertical="center" wrapText="0"/>
    </xf>
    <xf borderId="1" fillId="7" fontId="28" numFmtId="0" xfId="0" applyAlignment="1" applyBorder="1" applyFont="1">
      <alignment shrinkToFit="0" vertical="center" wrapText="0"/>
    </xf>
    <xf borderId="1" fillId="0" fontId="28" numFmtId="4" xfId="0" applyAlignment="1" applyBorder="1" applyFont="1" applyNumberFormat="1">
      <alignment shrinkToFit="0" vertical="center" wrapText="0"/>
    </xf>
    <xf borderId="1" fillId="16" fontId="28" numFmtId="4" xfId="0" applyAlignment="1" applyBorder="1" applyFont="1" applyNumberFormat="1">
      <alignment shrinkToFit="0" vertical="center" wrapText="0"/>
    </xf>
    <xf borderId="1" fillId="7" fontId="29" numFmtId="0" xfId="0" applyAlignment="1" applyBorder="1" applyFont="1">
      <alignment shrinkToFit="0" vertical="center" wrapText="0"/>
    </xf>
    <xf borderId="1" fillId="7" fontId="29" numFmtId="4" xfId="0" applyAlignment="1" applyBorder="1" applyFont="1" applyNumberFormat="1">
      <alignment shrinkToFit="0" vertical="center" wrapText="0"/>
    </xf>
    <xf borderId="1" fillId="7" fontId="28" numFmtId="4" xfId="0" applyAlignment="1" applyBorder="1" applyFont="1" applyNumberFormat="1">
      <alignment shrinkToFit="0" vertical="center" wrapText="0"/>
    </xf>
    <xf borderId="0" fillId="0" fontId="30" numFmtId="0" xfId="0" applyAlignment="1" applyFont="1">
      <alignment shrinkToFit="0" vertical="center" wrapText="0"/>
    </xf>
    <xf borderId="0" fillId="0" fontId="28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29" numFmtId="0" xfId="0" applyAlignment="1" applyFont="1">
      <alignment shrinkToFit="0" vertical="center" wrapText="0"/>
    </xf>
    <xf borderId="0" fillId="0" fontId="29" numFmtId="4" xfId="0" applyAlignment="1" applyFont="1" applyNumberFormat="1">
      <alignment shrinkToFit="0" vertical="center" wrapText="0"/>
    </xf>
    <xf borderId="0" fillId="0" fontId="28" numFmtId="4" xfId="0" applyAlignment="1" applyFont="1" applyNumberFormat="1">
      <alignment shrinkToFit="0" vertical="center" wrapText="0"/>
    </xf>
    <xf borderId="23" fillId="13" fontId="29" numFmtId="0" xfId="0" applyAlignment="1" applyBorder="1" applyFont="1">
      <alignment shrinkToFit="0" vertical="center" wrapText="0"/>
    </xf>
    <xf borderId="23" fillId="13" fontId="29" numFmtId="4" xfId="0" applyAlignment="1" applyBorder="1" applyFont="1" applyNumberFormat="1">
      <alignment shrinkToFit="0" vertical="center" wrapText="0"/>
    </xf>
    <xf borderId="23" fillId="13" fontId="28" numFmtId="4" xfId="0" applyAlignment="1" applyBorder="1" applyFont="1" applyNumberFormat="1">
      <alignment shrinkToFit="0" vertical="center" wrapText="0"/>
    </xf>
    <xf borderId="10" fillId="7" fontId="29" numFmtId="0" xfId="0" applyAlignment="1" applyBorder="1" applyFont="1">
      <alignment shrinkToFit="0" vertical="center" wrapText="0"/>
    </xf>
    <xf borderId="10" fillId="7" fontId="29" numFmtId="4" xfId="0" applyAlignment="1" applyBorder="1" applyFont="1" applyNumberFormat="1">
      <alignment shrinkToFit="0" vertical="center" wrapText="0"/>
    </xf>
    <xf borderId="10" fillId="7" fontId="28" numFmtId="4" xfId="0" applyAlignment="1" applyBorder="1" applyFont="1" applyNumberFormat="1">
      <alignment shrinkToFit="0" vertical="center" wrapText="0"/>
    </xf>
    <xf borderId="23" fillId="6" fontId="29" numFmtId="0" xfId="0" applyAlignment="1" applyBorder="1" applyFont="1">
      <alignment shrinkToFit="0" vertical="center" wrapText="0"/>
    </xf>
    <xf borderId="23" fillId="6" fontId="28" numFmtId="0" xfId="0" applyAlignment="1" applyBorder="1" applyFont="1">
      <alignment shrinkToFit="0" vertical="center" wrapText="0"/>
    </xf>
    <xf borderId="10" fillId="10" fontId="28" numFmtId="0" xfId="0" applyAlignment="1" applyBorder="1" applyFont="1">
      <alignment shrinkToFit="0" vertical="center" wrapText="0"/>
    </xf>
    <xf borderId="1" fillId="10" fontId="28" numFmtId="0" xfId="0" applyAlignment="1" applyBorder="1" applyFont="1">
      <alignment shrinkToFit="0" vertical="center" wrapText="0"/>
    </xf>
    <xf borderId="1" fillId="10" fontId="29" numFmtId="0" xfId="0" applyAlignment="1" applyBorder="1" applyFont="1">
      <alignment shrinkToFit="0" vertical="center" wrapText="0"/>
    </xf>
    <xf borderId="1" fillId="10" fontId="29" numFmtId="4" xfId="0" applyAlignment="1" applyBorder="1" applyFont="1" applyNumberFormat="1">
      <alignment shrinkToFit="0" vertical="center" wrapText="0"/>
    </xf>
    <xf borderId="1" fillId="10" fontId="28" numFmtId="4" xfId="0" applyAlignment="1" applyBorder="1" applyFont="1" applyNumberFormat="1">
      <alignment shrinkToFit="0" vertical="center" wrapText="0"/>
    </xf>
    <xf borderId="0" fillId="0" fontId="31" numFmtId="0" xfId="0" applyAlignment="1" applyFont="1">
      <alignment shrinkToFit="0" vertical="center" wrapText="0"/>
    </xf>
    <xf borderId="0" fillId="0" fontId="32" numFmtId="0" xfId="0" applyAlignment="1" applyFont="1">
      <alignment shrinkToFit="0" vertical="center" wrapText="0"/>
    </xf>
    <xf borderId="10" fillId="5" fontId="24" numFmtId="0" xfId="0" applyAlignment="1" applyBorder="1" applyFont="1">
      <alignment shrinkToFit="0" vertical="center" wrapText="0"/>
    </xf>
    <xf borderId="10" fillId="5" fontId="24" numFmtId="4" xfId="0" applyAlignment="1" applyBorder="1" applyFont="1" applyNumberFormat="1">
      <alignment shrinkToFit="0" vertical="center" wrapText="0"/>
    </xf>
    <xf borderId="10" fillId="5" fontId="25" numFmtId="4" xfId="0" applyAlignment="1" applyBorder="1" applyFont="1" applyNumberFormat="1">
      <alignment shrinkToFit="0" vertical="center" wrapText="0"/>
    </xf>
    <xf borderId="13" fillId="0" fontId="21" numFmtId="0" xfId="0" applyAlignment="1" applyBorder="1" applyFont="1">
      <alignment shrinkToFit="0" vertical="center" wrapText="0"/>
    </xf>
    <xf borderId="0" fillId="0" fontId="28" numFmtId="0" xfId="0" applyAlignment="1" applyFont="1">
      <alignment horizontal="right" shrinkToFit="0" vertical="center" wrapText="0"/>
    </xf>
    <xf borderId="1" fillId="18" fontId="6" numFmtId="0" xfId="0" applyAlignment="1" applyBorder="1" applyFont="1">
      <alignment horizontal="center" shrinkToFit="0" vertical="center" wrapText="0"/>
    </xf>
    <xf borderId="1" fillId="18" fontId="11" numFmtId="0" xfId="0" applyAlignment="1" applyBorder="1" applyFont="1">
      <alignment shrinkToFit="0" wrapText="0"/>
    </xf>
    <xf borderId="1" fillId="18" fontId="7" numFmtId="0" xfId="0" applyAlignment="1" applyBorder="1" applyFont="1">
      <alignment horizontal="center" shrinkToFit="0" wrapText="0"/>
    </xf>
    <xf borderId="1" fillId="18" fontId="7" numFmtId="168" xfId="0" applyAlignment="1" applyBorder="1" applyFont="1" applyNumberFormat="1">
      <alignment horizontal="center" shrinkToFit="0" wrapText="0"/>
    </xf>
    <xf borderId="1" fillId="12" fontId="6" numFmtId="0" xfId="0" applyAlignment="1" applyBorder="1" applyFont="1">
      <alignment horizontal="left" shrinkToFit="0" wrapText="0"/>
    </xf>
    <xf borderId="1" fillId="12" fontId="23" numFmtId="0" xfId="0" applyAlignment="1" applyBorder="1" applyFont="1">
      <alignment shrinkToFit="0" wrapText="0"/>
    </xf>
    <xf borderId="1" fillId="13" fontId="9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shrinkToFit="0" wrapText="0"/>
    </xf>
    <xf borderId="1" fillId="0" fontId="3" numFmtId="2" xfId="0" applyAlignment="1" applyBorder="1" applyFont="1" applyNumberFormat="1">
      <alignment shrinkToFit="0" wrapText="0"/>
    </xf>
    <xf borderId="1" fillId="0" fontId="11" numFmtId="0" xfId="0" applyAlignment="1" applyBorder="1" applyFont="1">
      <alignment shrinkToFit="0" wrapText="0"/>
    </xf>
    <xf borderId="1" fillId="0" fontId="3" numFmtId="4" xfId="0" applyAlignment="1" applyBorder="1" applyFont="1" applyNumberFormat="1">
      <alignment horizontal="right" shrinkToFit="0" wrapText="0"/>
    </xf>
    <xf borderId="1" fillId="18" fontId="3" numFmtId="4" xfId="0" applyAlignment="1" applyBorder="1" applyFont="1" applyNumberFormat="1">
      <alignment horizontal="right" shrinkToFit="0" wrapText="0"/>
    </xf>
    <xf borderId="1" fillId="18" fontId="3" numFmtId="2" xfId="0" applyAlignment="1" applyBorder="1" applyFont="1" applyNumberFormat="1">
      <alignment horizontal="right" shrinkToFit="0" wrapText="0"/>
    </xf>
    <xf borderId="1" fillId="13" fontId="18" numFmtId="0" xfId="0" applyAlignment="1" applyBorder="1" applyFont="1">
      <alignment horizontal="left" shrinkToFit="0" wrapText="0"/>
    </xf>
    <xf borderId="1" fillId="13" fontId="8" numFmtId="4" xfId="0" applyAlignment="1" applyBorder="1" applyFont="1" applyNumberFormat="1">
      <alignment shrinkToFit="0" wrapText="0"/>
    </xf>
    <xf borderId="1" fillId="0" fontId="11" numFmtId="2" xfId="0" applyAlignment="1" applyBorder="1" applyFont="1" applyNumberFormat="1">
      <alignment shrinkToFit="0" wrapText="0"/>
    </xf>
    <xf borderId="1" fillId="0" fontId="3" numFmtId="4" xfId="0" applyAlignment="1" applyBorder="1" applyFont="1" applyNumberFormat="1">
      <alignment shrinkToFit="0" wrapText="0"/>
    </xf>
    <xf borderId="24" fillId="0" fontId="3" numFmtId="2" xfId="0" applyAlignment="1" applyBorder="1" applyFont="1" applyNumberFormat="1">
      <alignment horizontal="right" shrinkToFit="0" wrapText="0"/>
    </xf>
    <xf borderId="1" fillId="0" fontId="11" numFmtId="4" xfId="0" applyAlignment="1" applyBorder="1" applyFont="1" applyNumberFormat="1">
      <alignment shrinkToFit="0" wrapText="0"/>
    </xf>
    <xf borderId="1" fillId="13" fontId="8" numFmtId="2" xfId="0" applyAlignment="1" applyBorder="1" applyFont="1" applyNumberFormat="1">
      <alignment shrinkToFit="0" wrapText="0"/>
    </xf>
    <xf borderId="1" fillId="12" fontId="23" numFmtId="2" xfId="0" applyAlignment="1" applyBorder="1" applyFont="1" applyNumberFormat="1">
      <alignment shrinkToFit="0" wrapText="0"/>
    </xf>
    <xf borderId="1" fillId="12" fontId="7" numFmtId="0" xfId="0" applyAlignment="1" applyBorder="1" applyFont="1">
      <alignment horizontal="left" shrinkToFit="0" wrapText="0"/>
    </xf>
    <xf borderId="1" fillId="12" fontId="7" numFmtId="4" xfId="0" applyAlignment="1" applyBorder="1" applyFont="1" applyNumberFormat="1">
      <alignment shrinkToFit="0" wrapText="0"/>
    </xf>
    <xf borderId="1" fillId="12" fontId="6" numFmtId="3" xfId="0" applyAlignment="1" applyBorder="1" applyFont="1" applyNumberFormat="1">
      <alignment horizontal="left" shrinkToFit="0" wrapText="0"/>
    </xf>
    <xf borderId="1" fillId="13" fontId="3" numFmtId="0" xfId="0" applyAlignment="1" applyBorder="1" applyFont="1">
      <alignment shrinkToFit="0" wrapText="0"/>
    </xf>
    <xf borderId="1" fillId="13" fontId="18" numFmtId="0" xfId="0" applyAlignment="1" applyBorder="1" applyFont="1">
      <alignment shrinkToFit="0" wrapText="0"/>
    </xf>
    <xf borderId="1" fillId="12" fontId="7" numFmtId="0" xfId="0" applyAlignment="1" applyBorder="1" applyFont="1">
      <alignment shrinkToFit="0" wrapText="0"/>
    </xf>
    <xf borderId="23" fillId="18" fontId="10" numFmtId="0" xfId="0" applyAlignment="1" applyBorder="1" applyFont="1">
      <alignment shrinkToFit="0" vertical="center" wrapText="0"/>
    </xf>
    <xf borderId="23" fillId="18" fontId="6" numFmtId="0" xfId="0" applyAlignment="1" applyBorder="1" applyFont="1">
      <alignment shrinkToFit="0" vertical="center" wrapText="0"/>
    </xf>
    <xf borderId="23" fillId="18" fontId="11" numFmtId="0" xfId="0" applyAlignment="1" applyBorder="1" applyFont="1">
      <alignment shrinkToFit="0" wrapText="0"/>
    </xf>
    <xf borderId="1" fillId="13" fontId="8" numFmtId="0" xfId="0" applyAlignment="1" applyBorder="1" applyFont="1">
      <alignment shrinkToFit="0" wrapText="0"/>
    </xf>
    <xf borderId="1" fillId="0" fontId="33" numFmtId="0" xfId="0" applyAlignment="1" applyBorder="1" applyFont="1">
      <alignment shrinkToFit="0" wrapText="0"/>
    </xf>
    <xf borderId="1" fillId="7" fontId="8" numFmtId="0" xfId="0" applyAlignment="1" applyBorder="1" applyFont="1">
      <alignment shrinkToFit="0" wrapText="0"/>
    </xf>
    <xf borderId="1" fillId="7" fontId="8" numFmtId="4" xfId="0" applyAlignment="1" applyBorder="1" applyFont="1" applyNumberFormat="1">
      <alignment shrinkToFit="0" wrapText="0"/>
    </xf>
    <xf borderId="1" fillId="7" fontId="8" numFmtId="164" xfId="0" applyAlignment="1" applyBorder="1" applyFont="1" applyNumberFormat="1">
      <alignment shrinkToFit="0" wrapText="0"/>
    </xf>
    <xf borderId="1" fillId="0" fontId="34" numFmtId="0" xfId="0" applyAlignment="1" applyBorder="1" applyFont="1">
      <alignment shrinkToFit="0" wrapText="0"/>
    </xf>
    <xf borderId="6" fillId="12" fontId="35" numFmtId="0" xfId="0" applyAlignment="1" applyBorder="1" applyFont="1">
      <alignment horizontal="center" shrinkToFit="0" vertical="center" wrapText="0"/>
    </xf>
    <xf borderId="6" fillId="12" fontId="10" numFmtId="0" xfId="0" applyAlignment="1" applyBorder="1" applyFont="1">
      <alignment horizontal="center" shrinkToFit="0" vertical="center" wrapText="0"/>
    </xf>
    <xf borderId="18" fillId="0" fontId="21" numFmtId="0" xfId="0" applyAlignment="1" applyBorder="1" applyFont="1">
      <alignment shrinkToFit="0" vertical="center" wrapText="0"/>
    </xf>
    <xf borderId="18" fillId="0" fontId="11" numFmtId="4" xfId="0" applyAlignment="1" applyBorder="1" applyFont="1" applyNumberFormat="1">
      <alignment horizontal="center" shrinkToFit="0" vertical="center" wrapText="0"/>
    </xf>
    <xf borderId="20" fillId="0" fontId="21" numFmtId="0" xfId="0" applyAlignment="1" applyBorder="1" applyFont="1">
      <alignment shrinkToFit="0" vertical="center" wrapText="0"/>
    </xf>
    <xf borderId="20" fillId="0" fontId="11" numFmtId="4" xfId="0" applyAlignment="1" applyBorder="1" applyFont="1" applyNumberFormat="1">
      <alignment horizontal="center" shrinkToFit="0" vertical="center" wrapText="0"/>
    </xf>
    <xf borderId="13" fillId="0" fontId="11" numFmtId="4" xfId="0" applyAlignment="1" applyBorder="1" applyFont="1" applyNumberFormat="1">
      <alignment horizontal="center" shrinkToFit="0" vertical="center" wrapText="0"/>
    </xf>
    <xf borderId="10" fillId="12" fontId="10" numFmtId="0" xfId="0" applyAlignment="1" applyBorder="1" applyFont="1">
      <alignment shrinkToFit="0" vertical="center" wrapText="0"/>
    </xf>
    <xf borderId="10" fillId="12" fontId="23" numFmtId="4" xfId="0" applyAlignment="1" applyBorder="1" applyFont="1" applyNumberFormat="1">
      <alignment horizontal="center" shrinkToFit="0" vertical="center" wrapText="0"/>
    </xf>
    <xf borderId="0" fillId="0" fontId="11" numFmtId="4" xfId="0" applyAlignment="1" applyFont="1" applyNumberFormat="1">
      <alignment shrinkToFit="0" vertical="center" wrapText="0"/>
    </xf>
    <xf borderId="0" fillId="0" fontId="8" numFmtId="4" xfId="0" applyAlignment="1" applyFont="1" applyNumberFormat="1">
      <alignment horizontal="right" shrinkToFit="0" vertical="center" wrapText="0"/>
    </xf>
    <xf borderId="0" fillId="0" fontId="8" numFmtId="4" xfId="0" applyAlignment="1" applyFont="1" applyNumberFormat="1">
      <alignment shrinkToFit="0" vertical="center" wrapText="0"/>
    </xf>
    <xf borderId="20" fillId="0" fontId="3" numFmtId="4" xfId="0" applyAlignment="1" applyBorder="1" applyFont="1" applyNumberFormat="1">
      <alignment horizontal="center" shrinkToFit="0" vertical="center" wrapText="0"/>
    </xf>
    <xf borderId="6" fillId="12" fontId="23" numFmtId="0" xfId="0" applyAlignment="1" applyBorder="1" applyFont="1">
      <alignment horizontal="center" shrinkToFit="0" vertical="center" wrapText="0"/>
    </xf>
    <xf borderId="25" fillId="0" fontId="8" numFmtId="4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horizontal="center" shrinkToFit="0" vertical="center" wrapText="0"/>
    </xf>
    <xf borderId="1" fillId="3" fontId="8" numFmtId="0" xfId="0" applyAlignment="1" applyBorder="1" applyFont="1">
      <alignment horizontal="center" shrinkToFit="0" wrapText="0"/>
    </xf>
    <xf borderId="1" fillId="13" fontId="1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wrapText="0"/>
    </xf>
    <xf borderId="1" fillId="0" fontId="9" numFmtId="0" xfId="0" applyAlignment="1" applyBorder="1" applyFont="1">
      <alignment shrinkToFit="0" wrapText="0"/>
    </xf>
    <xf borderId="26" fillId="13" fontId="9" numFmtId="0" xfId="0" applyAlignment="1" applyBorder="1" applyFont="1">
      <alignment horizontal="left" shrinkToFit="0" vertical="center" wrapText="0"/>
    </xf>
    <xf borderId="4" fillId="13" fontId="9" numFmtId="166" xfId="0" applyAlignment="1" applyBorder="1" applyFont="1" applyNumberFormat="1">
      <alignment horizontal="center" shrinkToFit="0" vertical="center" wrapText="0"/>
    </xf>
    <xf borderId="26" fillId="13" fontId="9" numFmtId="166" xfId="0" applyAlignment="1" applyBorder="1" applyFont="1" applyNumberFormat="1">
      <alignment horizontal="center" shrinkToFit="0" vertical="center" wrapText="0"/>
    </xf>
    <xf borderId="0" fillId="0" fontId="9" numFmtId="166" xfId="0" applyAlignment="1" applyFont="1" applyNumberFormat="1">
      <alignment horizontal="center" shrinkToFit="0" wrapText="0"/>
    </xf>
    <xf borderId="7" fillId="0" fontId="9" numFmtId="0" xfId="0" applyAlignment="1" applyBorder="1" applyFont="1">
      <alignment shrinkToFit="0" wrapText="0"/>
    </xf>
    <xf borderId="27" fillId="13" fontId="9" numFmtId="0" xfId="0" applyAlignment="1" applyBorder="1" applyFont="1">
      <alignment horizontal="left" shrinkToFit="0" vertical="center" wrapText="0"/>
    </xf>
    <xf borderId="3" fillId="13" fontId="9" numFmtId="166" xfId="0" applyAlignment="1" applyBorder="1" applyFont="1" applyNumberFormat="1">
      <alignment horizontal="center" shrinkToFit="0" vertical="center" wrapText="0"/>
    </xf>
    <xf borderId="27" fillId="13" fontId="9" numFmtId="166" xfId="0" applyAlignment="1" applyBorder="1" applyFont="1" applyNumberFormat="1">
      <alignment horizontal="center" shrinkToFit="0" vertical="center" wrapText="0"/>
    </xf>
    <xf borderId="26" fillId="13" fontId="36" numFmtId="0" xfId="0" applyAlignment="1" applyBorder="1" applyFont="1">
      <alignment horizontal="left" shrinkToFit="0" vertical="center" wrapText="0"/>
    </xf>
    <xf borderId="4" fillId="13" fontId="36" numFmtId="166" xfId="0" applyAlignment="1" applyBorder="1" applyFont="1" applyNumberFormat="1">
      <alignment horizontal="center" shrinkToFit="0" vertical="center" wrapText="0"/>
    </xf>
    <xf borderId="26" fillId="13" fontId="36" numFmtId="166" xfId="0" applyAlignment="1" applyBorder="1" applyFont="1" applyNumberFormat="1">
      <alignment horizontal="center" shrinkToFit="0" vertical="center" wrapText="0"/>
    </xf>
    <xf borderId="20" fillId="0" fontId="18" numFmtId="0" xfId="0" applyAlignment="1" applyBorder="1" applyFont="1">
      <alignment shrinkToFit="0" wrapText="0"/>
    </xf>
    <xf borderId="26" fillId="13" fontId="18" numFmtId="166" xfId="0" applyAlignment="1" applyBorder="1" applyFont="1" applyNumberFormat="1">
      <alignment horizontal="center" shrinkToFit="0" vertical="center" wrapText="0"/>
    </xf>
    <xf borderId="22" fillId="13" fontId="14" numFmtId="0" xfId="0" applyAlignment="1" applyBorder="1" applyFont="1">
      <alignment horizontal="center" shrinkToFit="0" vertical="center" wrapText="0"/>
    </xf>
    <xf borderId="28" fillId="13" fontId="9" numFmtId="0" xfId="0" applyAlignment="1" applyBorder="1" applyFont="1">
      <alignment horizontal="left" shrinkToFit="0" vertical="center" wrapText="0"/>
    </xf>
    <xf borderId="1" fillId="13" fontId="9" numFmtId="0" xfId="0" applyAlignment="1" applyBorder="1" applyFont="1">
      <alignment horizontal="left" shrinkToFit="0" vertical="center" wrapText="0"/>
    </xf>
    <xf borderId="4" fillId="13" fontId="18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Roboto"/>
              </a:defRPr>
            </a:pPr>
            <a:r>
              <a:rPr b="1" i="0" sz="1800">
                <a:solidFill>
                  <a:srgbClr val="000000"/>
                </a:solidFill>
                <a:latin typeface="Roboto"/>
              </a:rPr>
              <a:t>Perdidas y Ganancias Anuales 2012 al 2017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val>
            <c:numRef>
              <c:f>'Comparativas pyg'!$C$2:$H$2</c:f>
              <c:numCache/>
            </c:numRef>
          </c:val>
        </c:ser>
        <c:ser>
          <c:idx val="1"/>
          <c:order val="1"/>
          <c:spPr>
            <a:solidFill>
              <a:srgbClr val="C0C0C0"/>
            </a:solidFill>
            <a:ln cmpd="sng">
              <a:solidFill>
                <a:srgbClr val="000000"/>
              </a:solidFill>
            </a:ln>
          </c:spPr>
          <c:val>
            <c:numRef>
              <c:f>'Comparativas pyg'!$C$15:$H$15</c:f>
              <c:numCache/>
            </c:numRef>
          </c:val>
        </c:ser>
        <c:overlap val="100"/>
        <c:axId val="450864580"/>
        <c:axId val="1579500961"/>
      </c:barChart>
      <c:catAx>
        <c:axId val="450864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9500961"/>
      </c:catAx>
      <c:valAx>
        <c:axId val="1579500961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0864580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pyg'!$C$3:$C$14</c:f>
              <c:numCache/>
            </c:numRef>
          </c:val>
        </c:ser>
        <c:ser>
          <c:idx val="1"/>
          <c:order val="1"/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pyg'!$D$3:$D$14</c:f>
              <c:numCache/>
            </c:numRef>
          </c:val>
        </c:ser>
        <c:ser>
          <c:idx val="2"/>
          <c:order val="2"/>
          <c:spPr>
            <a:solidFill>
              <a:srgbClr val="90713A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pyg'!$E$3:$E$14</c:f>
              <c:numCache/>
            </c:numRef>
          </c:val>
        </c:ser>
        <c:ser>
          <c:idx val="3"/>
          <c:order val="3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pyg'!$F$3:$F$14</c:f>
              <c:numCache/>
            </c:numRef>
          </c:val>
        </c:ser>
        <c:ser>
          <c:idx val="4"/>
          <c:order val="4"/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pyg'!$G$3:$G$14</c:f>
              <c:numCache/>
            </c:numRef>
          </c:val>
        </c:ser>
        <c:ser>
          <c:idx val="5"/>
          <c:order val="5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'Comparativas pyg'!$B$3:$B$14</c:f>
            </c:strRef>
          </c:cat>
          <c:val>
            <c:numRef>
              <c:f>'Comparativas pyg'!$H$3:$H$14</c:f>
              <c:numCache/>
            </c:numRef>
          </c:val>
        </c:ser>
        <c:axId val="1542593029"/>
        <c:axId val="1389551266"/>
      </c:barChart>
      <c:catAx>
        <c:axId val="1542593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9551266"/>
      </c:catAx>
      <c:valAx>
        <c:axId val="1389551266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259302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Roboto"/>
              </a:defRPr>
            </a:pPr>
            <a:r>
              <a:rPr b="1" i="0" sz="1800">
                <a:solidFill>
                  <a:srgbClr val="000000"/>
                </a:solidFill>
                <a:latin typeface="Roboto"/>
              </a:rPr>
              <a:t>Compras 2012 al 2017 Anuales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0713A"/>
            </a:solidFill>
            <a:ln cmpd="sng">
              <a:solidFill>
                <a:srgbClr val="000000"/>
              </a:solidFill>
            </a:ln>
          </c:spPr>
          <c:val>
            <c:numRef>
              <c:f>'Compar. compras'!$C$2:$H$2</c:f>
              <c:numCache/>
            </c:numRef>
          </c:val>
        </c:ser>
        <c:ser>
          <c:idx val="1"/>
          <c:order val="1"/>
          <c:spPr>
            <a:solidFill>
              <a:srgbClr val="CCCCFF"/>
            </a:solidFill>
            <a:ln cmpd="sng">
              <a:solidFill>
                <a:srgbClr val="000000"/>
              </a:solidFill>
            </a:ln>
          </c:spPr>
          <c:val>
            <c:numRef>
              <c:f>'Compar. compras'!$C$15:$H$15</c:f>
              <c:numCache/>
            </c:numRef>
          </c:val>
        </c:ser>
        <c:overlap val="100"/>
        <c:axId val="68236289"/>
        <c:axId val="1731695010"/>
      </c:barChart>
      <c:catAx>
        <c:axId val="68236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1695010"/>
      </c:catAx>
      <c:valAx>
        <c:axId val="1731695010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Roboto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Roboto"/>
                  </a:rPr>
                  <a:t>Miles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23628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compras'!$C$3:$C$14</c:f>
              <c:numCache/>
            </c:numRef>
          </c:val>
        </c:ser>
        <c:ser>
          <c:idx val="1"/>
          <c:order val="1"/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compras'!$D$3:$D$14</c:f>
              <c:numCache/>
            </c:numRef>
          </c:val>
        </c:ser>
        <c:ser>
          <c:idx val="2"/>
          <c:order val="2"/>
          <c:spPr>
            <a:solidFill>
              <a:srgbClr val="90713A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compras'!$E$3:$E$14</c:f>
              <c:numCache/>
            </c:numRef>
          </c:val>
        </c:ser>
        <c:ser>
          <c:idx val="3"/>
          <c:order val="3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compras'!$F$3:$F$14</c:f>
              <c:numCache/>
            </c:numRef>
          </c:val>
        </c:ser>
        <c:ser>
          <c:idx val="4"/>
          <c:order val="4"/>
          <c:spPr>
            <a:solidFill>
              <a:srgbClr val="33CCCC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compras'!$G$3:$G$14</c:f>
              <c:numCache/>
            </c:numRef>
          </c:val>
        </c:ser>
        <c:ser>
          <c:idx val="5"/>
          <c:order val="5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'Compar. compras'!$B$3:$B$14</c:f>
            </c:strRef>
          </c:cat>
          <c:val>
            <c:numRef>
              <c:f>'Compar. compras'!$H$3:$H$14</c:f>
              <c:numCache/>
            </c:numRef>
          </c:val>
        </c:ser>
        <c:axId val="1224862956"/>
        <c:axId val="1247630675"/>
      </c:barChart>
      <c:catAx>
        <c:axId val="1224862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7630675"/>
      </c:catAx>
      <c:valAx>
        <c:axId val="1247630675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4862956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Roboto"/>
              </a:defRPr>
            </a:pPr>
            <a:r>
              <a:rPr b="1" i="0" sz="1400">
                <a:solidFill>
                  <a:srgbClr val="000000"/>
                </a:solidFill>
                <a:latin typeface="Roboto"/>
              </a:rPr>
              <a:t>Gastos Fijos + Variables Mensuales del 2012 al 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ingre-gtos'!$B$3:$B$14</c:f>
            </c:strRef>
          </c:cat>
          <c:val>
            <c:numRef>
              <c:f>'Compar. ingre-gtos'!$C$3:$C$14</c:f>
              <c:numCache/>
            </c:numRef>
          </c:val>
        </c:ser>
        <c:ser>
          <c:idx val="1"/>
          <c:order val="1"/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ingre-gtos'!$B$3:$B$14</c:f>
            </c:strRef>
          </c:cat>
          <c:val>
            <c:numRef>
              <c:f>'Compar. ingre-gtos'!$D$3:$D$14</c:f>
              <c:numCache/>
            </c:numRef>
          </c:val>
        </c:ser>
        <c:ser>
          <c:idx val="2"/>
          <c:order val="2"/>
          <c:spPr>
            <a:solidFill>
              <a:srgbClr val="99CC00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ingre-gtos'!$B$3:$B$14</c:f>
            </c:strRef>
          </c:cat>
          <c:val>
            <c:numRef>
              <c:f>'Compar. ingre-gtos'!$E$3:$E$14</c:f>
              <c:numCache/>
            </c:numRef>
          </c:val>
        </c:ser>
        <c:ser>
          <c:idx val="3"/>
          <c:order val="3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ingre-gtos'!$B$3:$B$14</c:f>
            </c:strRef>
          </c:cat>
          <c:val>
            <c:numRef>
              <c:f>'Compar. ingre-gtos'!$F$3:$F$14</c:f>
              <c:numCache/>
            </c:numRef>
          </c:val>
        </c:ser>
        <c:axId val="1062124229"/>
        <c:axId val="333661993"/>
      </c:barChart>
      <c:catAx>
        <c:axId val="1062124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3661993"/>
      </c:catAx>
      <c:valAx>
        <c:axId val="333661993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2124229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Roboto"/>
              </a:defRPr>
            </a:pPr>
            <a:r>
              <a:rPr b="1" i="0" sz="1800">
                <a:solidFill>
                  <a:srgbClr val="000000"/>
                </a:solidFill>
                <a:latin typeface="Roboto"/>
              </a:rPr>
              <a:t>Ingresos Mensuales del 2012 al 2017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366FF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ingre-gtos'!$B$18:$B$29</c:f>
            </c:strRef>
          </c:cat>
          <c:val>
            <c:numRef>
              <c:f>'Compar. ingre-gtos'!$C$18:$C$29</c:f>
              <c:numCache/>
            </c:numRef>
          </c:val>
        </c:ser>
        <c:ser>
          <c:idx val="1"/>
          <c:order val="1"/>
          <c:spPr>
            <a:solidFill>
              <a:srgbClr val="993366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ingre-gtos'!$B$18:$B$29</c:f>
            </c:strRef>
          </c:cat>
          <c:val>
            <c:numRef>
              <c:f>'Compar. ingre-gtos'!$D$18:$D$29</c:f>
              <c:numCache/>
            </c:numRef>
          </c:val>
        </c:ser>
        <c:ser>
          <c:idx val="2"/>
          <c:order val="2"/>
          <c:spPr>
            <a:solidFill>
              <a:srgbClr val="99CC00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ingre-gtos'!$B$18:$B$29</c:f>
            </c:strRef>
          </c:cat>
          <c:val>
            <c:numRef>
              <c:f>'Compar. ingre-gtos'!$E$18:$E$29</c:f>
              <c:numCache/>
            </c:numRef>
          </c:val>
        </c:ser>
        <c:ser>
          <c:idx val="3"/>
          <c:order val="3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'Compar. ingre-gtos'!$B$18:$B$29</c:f>
            </c:strRef>
          </c:cat>
          <c:val>
            <c:numRef>
              <c:f>'Compar. ingre-gtos'!$F$18:$F$29</c:f>
              <c:numCache/>
            </c:numRef>
          </c:val>
        </c:ser>
        <c:axId val="1967489131"/>
        <c:axId val="1157430984"/>
      </c:barChart>
      <c:catAx>
        <c:axId val="1967489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7430984"/>
      </c:catAx>
      <c:valAx>
        <c:axId val="1157430984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7489131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700">
                <a:solidFill>
                  <a:srgbClr val="000000"/>
                </a:solidFill>
                <a:latin typeface="Roboto"/>
              </a:defRPr>
            </a:pPr>
            <a:r>
              <a:rPr b="1" i="0" sz="1700">
                <a:solidFill>
                  <a:srgbClr val="000000"/>
                </a:solidFill>
                <a:latin typeface="Roboto"/>
              </a:rPr>
              <a:t>Gastos Fijos + Variab. Anuales 2012 al 2017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0713A"/>
            </a:solidFill>
            <a:ln cmpd="sng">
              <a:solidFill>
                <a:srgbClr val="000000"/>
              </a:solidFill>
            </a:ln>
          </c:spPr>
          <c:val>
            <c:numRef>
              <c:f>'Compar. ingre-gtos'!$C$2:$H$2</c:f>
              <c:numCache/>
            </c:numRef>
          </c:val>
        </c:ser>
        <c:ser>
          <c:idx val="1"/>
          <c:order val="1"/>
          <c:spPr>
            <a:solidFill>
              <a:srgbClr val="CCCCFF"/>
            </a:solidFill>
            <a:ln cmpd="sng">
              <a:solidFill>
                <a:srgbClr val="000000"/>
              </a:solidFill>
            </a:ln>
          </c:spPr>
          <c:val>
            <c:numRef>
              <c:f>'Compar. ingre-gtos'!$C$15:$H$15</c:f>
              <c:numCache/>
            </c:numRef>
          </c:val>
        </c:ser>
        <c:overlap val="100"/>
        <c:axId val="2025351104"/>
        <c:axId val="1018568898"/>
      </c:barChart>
      <c:catAx>
        <c:axId val="202535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8568898"/>
      </c:catAx>
      <c:valAx>
        <c:axId val="1018568898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5351104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Roboto"/>
              </a:defRPr>
            </a:pPr>
            <a:r>
              <a:rPr b="1" i="0" sz="1800">
                <a:solidFill>
                  <a:srgbClr val="000000"/>
                </a:solidFill>
                <a:latin typeface="Roboto"/>
              </a:rPr>
              <a:t>Ingresos Anuales del 2012 al 2017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339966"/>
            </a:solidFill>
            <a:ln cmpd="sng">
              <a:solidFill>
                <a:srgbClr val="000000"/>
              </a:solidFill>
            </a:ln>
          </c:spPr>
          <c:val>
            <c:numRef>
              <c:f>'Compar. ingre-gtos'!$C$17:$H$17</c:f>
              <c:numCache/>
            </c:numRef>
          </c:val>
        </c:ser>
        <c:ser>
          <c:idx val="1"/>
          <c:order val="1"/>
          <c:spPr>
            <a:solidFill>
              <a:srgbClr val="99CCFF"/>
            </a:solidFill>
            <a:ln cmpd="sng">
              <a:solidFill>
                <a:srgbClr val="000000"/>
              </a:solidFill>
            </a:ln>
          </c:spPr>
          <c:val>
            <c:numRef>
              <c:f>'Compar. ingre-gtos'!$C$30:$H$30</c:f>
              <c:numCache/>
            </c:numRef>
          </c:val>
        </c:ser>
        <c:overlap val="100"/>
        <c:axId val="871116392"/>
        <c:axId val="964167293"/>
      </c:barChart>
      <c:catAx>
        <c:axId val="87111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4167293"/>
      </c:catAx>
      <c:valAx>
        <c:axId val="964167293"/>
        <c:scaling>
          <c:orientation val="minMax"/>
        </c:scaling>
        <c:delete val="0"/>
        <c:axPos val="l"/>
        <c:majorGridlines>
          <c:spPr>
            <a:ln>
              <a:solidFill>
                <a:srgbClr val="80808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1116392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1</xdr:row>
      <xdr:rowOff>0</xdr:rowOff>
    </xdr:from>
    <xdr:ext cx="9239250" cy="32956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15</xdr:row>
      <xdr:rowOff>0</xdr:rowOff>
    </xdr:from>
    <xdr:ext cx="14525625" cy="3857625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0</xdr:rowOff>
    </xdr:from>
    <xdr:ext cx="9201150" cy="3219450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15</xdr:row>
      <xdr:rowOff>19050</xdr:rowOff>
    </xdr:from>
    <xdr:ext cx="15097125" cy="3867150"/>
    <xdr:graphicFrame>
      <xdr:nvGraphicFramePr>
        <xdr:cNvPr descr="Chart 1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</xdr:row>
      <xdr:rowOff>19050</xdr:rowOff>
    </xdr:from>
    <xdr:ext cx="5010150" cy="3181350"/>
    <xdr:graphicFrame>
      <xdr:nvGraphicFramePr>
        <xdr:cNvPr descr="Chart 0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38100</xdr:colOff>
      <xdr:row>16</xdr:row>
      <xdr:rowOff>0</xdr:rowOff>
    </xdr:from>
    <xdr:ext cx="5010150" cy="3200400"/>
    <xdr:graphicFrame>
      <xdr:nvGraphicFramePr>
        <xdr:cNvPr descr="Chart 1"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647700</xdr:colOff>
      <xdr:row>1</xdr:row>
      <xdr:rowOff>19050</xdr:rowOff>
    </xdr:from>
    <xdr:ext cx="4305300" cy="3181350"/>
    <xdr:graphicFrame>
      <xdr:nvGraphicFramePr>
        <xdr:cNvPr descr="Chart 2"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628650</xdr:colOff>
      <xdr:row>16</xdr:row>
      <xdr:rowOff>0</xdr:rowOff>
    </xdr:from>
    <xdr:ext cx="4276725" cy="3171825"/>
    <xdr:graphicFrame>
      <xdr:nvGraphicFramePr>
        <xdr:cNvPr descr="Chart 3"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5.13" defaultRowHeight="15.0"/>
  <cols>
    <col customWidth="1" min="1" max="1" width="18.25"/>
    <col customWidth="1" min="2" max="2" width="8.0"/>
    <col customWidth="1" min="3" max="3" width="7.88"/>
    <col customWidth="1" min="4" max="4" width="8.13"/>
    <col customWidth="1" min="5" max="5" width="9.63"/>
    <col customWidth="1" min="6" max="7" width="6.0"/>
    <col customWidth="1" min="8" max="8" width="7.13"/>
    <col customWidth="1" min="9" max="9" width="8.5"/>
    <col customWidth="1" min="10" max="12" width="6.38"/>
    <col customWidth="1" min="13" max="13" width="8.25"/>
    <col customWidth="1" min="14" max="14" width="6.13"/>
    <col customWidth="1" min="15" max="15" width="5.88"/>
    <col customWidth="1" min="16" max="16" width="5.63"/>
    <col customWidth="1" min="17" max="17" width="8.75"/>
    <col customWidth="1" min="18" max="18" width="5.88"/>
    <col customWidth="1" min="19" max="19" width="6.0"/>
    <col customWidth="1" min="20" max="20" width="5.25"/>
    <col customWidth="1" min="21" max="21" width="7.0"/>
    <col customWidth="1" min="22" max="24" width="6.38"/>
    <col customWidth="1" min="25" max="25" width="8.0"/>
    <col customWidth="1" min="26" max="28" width="6.75"/>
    <col customWidth="1" min="29" max="29" width="7.13"/>
    <col customWidth="1" min="30" max="32" width="6.38"/>
    <col customWidth="1" min="33" max="33" width="7.13"/>
    <col customWidth="1" min="34" max="36" width="6.25"/>
    <col customWidth="1" min="37" max="37" width="7.25"/>
    <col customWidth="1" min="38" max="40" width="6.75"/>
    <col customWidth="1" min="41" max="41" width="8.13"/>
    <col customWidth="1" min="42" max="44" width="6.88"/>
    <col customWidth="1" min="45" max="45" width="8.63"/>
    <col customWidth="1" min="46" max="48" width="6.88"/>
    <col customWidth="1" min="49" max="49" width="8.63"/>
    <col customWidth="1" min="50" max="52" width="6.75"/>
    <col customWidth="1" min="53" max="53" width="7.63"/>
    <col customWidth="1" min="54" max="63" width="9.5"/>
  </cols>
  <sheetData>
    <row r="1" ht="12.0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5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2" t="s">
        <v>16</v>
      </c>
      <c r="R1" s="3" t="s">
        <v>17</v>
      </c>
      <c r="S1" s="4" t="s">
        <v>18</v>
      </c>
      <c r="T1" s="5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2" t="s">
        <v>24</v>
      </c>
      <c r="Z1" s="3" t="s">
        <v>25</v>
      </c>
      <c r="AA1" s="4" t="s">
        <v>26</v>
      </c>
      <c r="AB1" s="5" t="s">
        <v>27</v>
      </c>
      <c r="AC1" s="2" t="s">
        <v>28</v>
      </c>
      <c r="AD1" s="3" t="s">
        <v>29</v>
      </c>
      <c r="AE1" s="4" t="s">
        <v>30</v>
      </c>
      <c r="AF1" s="5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2" t="s">
        <v>36</v>
      </c>
      <c r="AL1" s="3" t="s">
        <v>37</v>
      </c>
      <c r="AM1" s="4" t="s">
        <v>38</v>
      </c>
      <c r="AN1" s="5" t="s">
        <v>38</v>
      </c>
      <c r="AO1" s="2" t="s">
        <v>39</v>
      </c>
      <c r="AP1" s="3" t="s">
        <v>40</v>
      </c>
      <c r="AQ1" s="4" t="s">
        <v>41</v>
      </c>
      <c r="AR1" s="5" t="s">
        <v>42</v>
      </c>
      <c r="AS1" s="2" t="s">
        <v>43</v>
      </c>
      <c r="AT1" s="3" t="s">
        <v>44</v>
      </c>
      <c r="AU1" s="4" t="s">
        <v>45</v>
      </c>
      <c r="AV1" s="5" t="s">
        <v>46</v>
      </c>
      <c r="AW1" s="2" t="s">
        <v>47</v>
      </c>
      <c r="AX1" s="3" t="s">
        <v>48</v>
      </c>
      <c r="AY1" s="4" t="s">
        <v>49</v>
      </c>
      <c r="AZ1" s="5" t="s">
        <v>50</v>
      </c>
      <c r="BA1" s="2" t="s">
        <v>51</v>
      </c>
      <c r="BB1" s="7"/>
      <c r="BC1" s="7"/>
      <c r="BD1" s="7"/>
      <c r="BE1" s="7"/>
      <c r="BF1" s="7"/>
      <c r="BG1" s="7"/>
      <c r="BH1" s="7"/>
      <c r="BI1" s="7"/>
      <c r="BJ1" s="7"/>
      <c r="BK1" s="7"/>
    </row>
    <row r="2" ht="12.0" customHeight="1">
      <c r="A2" s="8" t="s">
        <v>52</v>
      </c>
      <c r="B2" s="9">
        <f t="shared" ref="B2:B18" si="2">I2+M2+Q2+U2+Y2+AC2+AG2+AK2+AO2+AS2+AW2+BA2</f>
        <v>365138.41</v>
      </c>
      <c r="C2" s="10">
        <f t="shared" ref="C2:E2" si="1">F2+J2+N2+R2+V2+Z2+AD2+AH2+AL2+AP2+AT2+AX2</f>
        <v>127426.01</v>
      </c>
      <c r="D2" s="11">
        <f t="shared" si="1"/>
        <v>200669.72</v>
      </c>
      <c r="E2" s="12">
        <f t="shared" si="1"/>
        <v>37042.68</v>
      </c>
      <c r="F2" s="13">
        <v>9740.91</v>
      </c>
      <c r="G2" s="14">
        <v>11223.79</v>
      </c>
      <c r="H2" s="14">
        <v>2778.7</v>
      </c>
      <c r="I2" s="9">
        <f t="shared" ref="I2:I15" si="4">F2+G2+H2</f>
        <v>23743.4</v>
      </c>
      <c r="J2" s="14">
        <v>9740.91</v>
      </c>
      <c r="K2" s="14">
        <v>12361.26</v>
      </c>
      <c r="L2" s="14">
        <v>2778.7</v>
      </c>
      <c r="M2" s="9">
        <f t="shared" ref="M2:M15" si="5">J2+K2+L2</f>
        <v>24880.87</v>
      </c>
      <c r="N2" s="14">
        <v>9740.91</v>
      </c>
      <c r="O2" s="14">
        <v>13434.62</v>
      </c>
      <c r="P2" s="14">
        <v>2778.7</v>
      </c>
      <c r="Q2" s="9">
        <f t="shared" ref="Q2:Q15" si="6">N2+O2+P2</f>
        <v>25954.23</v>
      </c>
      <c r="R2" s="14">
        <v>9780.01</v>
      </c>
      <c r="S2" s="14">
        <v>13434.62</v>
      </c>
      <c r="T2" s="14">
        <v>3195.67</v>
      </c>
      <c r="U2" s="9">
        <f t="shared" ref="U2:U15" si="7">R2+S2+T2</f>
        <v>26410.3</v>
      </c>
      <c r="V2" s="14">
        <v>9740.91</v>
      </c>
      <c r="W2" s="14">
        <v>13667.3</v>
      </c>
      <c r="X2" s="14">
        <v>2778.7</v>
      </c>
      <c r="Y2" s="9">
        <f t="shared" ref="Y2:Y15" si="8">V2+W2+X2</f>
        <v>26186.91</v>
      </c>
      <c r="Z2" s="14">
        <v>9740.91</v>
      </c>
      <c r="AA2" s="14">
        <v>16510.79</v>
      </c>
      <c r="AB2" s="14">
        <v>2778.7</v>
      </c>
      <c r="AC2" s="9">
        <f t="shared" ref="AC2:AC15" si="9">Z2+AA2+AB2</f>
        <v>29030.4</v>
      </c>
      <c r="AD2" s="14">
        <v>16653.45</v>
      </c>
      <c r="AE2" s="14">
        <v>27386.42</v>
      </c>
      <c r="AF2" s="14">
        <v>5237.48</v>
      </c>
      <c r="AG2" s="9">
        <f t="shared" ref="AG2:AG15" si="10">AD2+AE2+AF2</f>
        <v>49277.35</v>
      </c>
      <c r="AH2" s="14">
        <v>8584.4</v>
      </c>
      <c r="AI2" s="14">
        <v>16057.04</v>
      </c>
      <c r="AJ2" s="14">
        <v>2713.72</v>
      </c>
      <c r="AK2" s="9">
        <f t="shared" ref="AK2:AK15" si="11">AH2+AI2+AJ2</f>
        <v>27355.16</v>
      </c>
      <c r="AL2" s="14">
        <v>9871.53</v>
      </c>
      <c r="AM2" s="14">
        <v>17199.75</v>
      </c>
      <c r="AN2" s="14">
        <v>2420.29</v>
      </c>
      <c r="AO2" s="9">
        <f t="shared" ref="AO2:AO15" si="12">AL2+AM2+AN2</f>
        <v>29491.57</v>
      </c>
      <c r="AP2" s="14">
        <v>8584.4</v>
      </c>
      <c r="AQ2" s="14">
        <v>17174.75</v>
      </c>
      <c r="AR2" s="14">
        <v>2420.29</v>
      </c>
      <c r="AS2" s="9">
        <f t="shared" ref="AS2:AS15" si="13">AP2+AQ2+AR2</f>
        <v>28179.44</v>
      </c>
      <c r="AT2" s="14">
        <v>8584.4</v>
      </c>
      <c r="AU2" s="14">
        <v>17241.85</v>
      </c>
      <c r="AV2" s="14">
        <v>2420.29</v>
      </c>
      <c r="AW2" s="9">
        <f t="shared" ref="AW2:AW15" si="14">AT2+AU2+AV2</f>
        <v>28246.54</v>
      </c>
      <c r="AX2" s="14">
        <v>16663.27</v>
      </c>
      <c r="AY2" s="14">
        <v>24977.53</v>
      </c>
      <c r="AZ2" s="14">
        <v>4741.44</v>
      </c>
      <c r="BA2" s="9">
        <f t="shared" ref="BA2:BA15" si="15">AX2+AY2+AZ2</f>
        <v>46382.24</v>
      </c>
      <c r="BB2" s="7"/>
      <c r="BC2" s="7"/>
      <c r="BD2" s="7"/>
      <c r="BE2" s="7"/>
      <c r="BF2" s="7"/>
      <c r="BG2" s="7"/>
      <c r="BH2" s="7"/>
      <c r="BI2" s="7"/>
      <c r="BJ2" s="7"/>
      <c r="BK2" s="7"/>
    </row>
    <row r="3" ht="12.0" customHeight="1">
      <c r="A3" s="15" t="s">
        <v>53</v>
      </c>
      <c r="B3" s="9">
        <f t="shared" si="2"/>
        <v>107867.26</v>
      </c>
      <c r="C3" s="10">
        <f t="shared" ref="C3:E3" si="3">F3+J3+N3+R3+V3+Z3+AD3+AH3+AL3+AP3+AT3+AX3</f>
        <v>42803.82</v>
      </c>
      <c r="D3" s="11">
        <f t="shared" si="3"/>
        <v>58913.04</v>
      </c>
      <c r="E3" s="12">
        <f t="shared" si="3"/>
        <v>6150.4</v>
      </c>
      <c r="F3" s="13">
        <v>3519.21</v>
      </c>
      <c r="G3" s="14">
        <v>3984.36</v>
      </c>
      <c r="H3" s="14">
        <v>512.65</v>
      </c>
      <c r="I3" s="9">
        <f t="shared" si="4"/>
        <v>8016.22</v>
      </c>
      <c r="J3" s="14">
        <v>3519.21</v>
      </c>
      <c r="K3" s="14">
        <v>4398.31</v>
      </c>
      <c r="L3" s="14">
        <v>512.65</v>
      </c>
      <c r="M3" s="9">
        <f t="shared" si="5"/>
        <v>8430.17</v>
      </c>
      <c r="N3" s="14">
        <v>3519.21</v>
      </c>
      <c r="O3" s="14">
        <v>4805.06</v>
      </c>
      <c r="P3" s="14">
        <v>512.65</v>
      </c>
      <c r="Q3" s="9">
        <f t="shared" si="6"/>
        <v>8836.92</v>
      </c>
      <c r="R3" s="14">
        <v>3519.21</v>
      </c>
      <c r="S3" s="14">
        <v>4805.06</v>
      </c>
      <c r="T3" s="14">
        <v>633.65</v>
      </c>
      <c r="U3" s="9">
        <f t="shared" si="7"/>
        <v>8957.92</v>
      </c>
      <c r="V3" s="14">
        <v>3519.21</v>
      </c>
      <c r="W3" s="14">
        <v>4858.97</v>
      </c>
      <c r="X3" s="14">
        <v>512.65</v>
      </c>
      <c r="Y3" s="9">
        <f t="shared" si="8"/>
        <v>8890.83</v>
      </c>
      <c r="Z3" s="14">
        <v>3519.21</v>
      </c>
      <c r="AA3" s="14">
        <v>5675.03</v>
      </c>
      <c r="AB3" s="14">
        <v>512.65</v>
      </c>
      <c r="AC3" s="9">
        <f t="shared" si="9"/>
        <v>9706.89</v>
      </c>
      <c r="AD3" s="14">
        <v>3614.76</v>
      </c>
      <c r="AE3" s="14">
        <v>5500.35</v>
      </c>
      <c r="AF3" s="14">
        <v>539.95</v>
      </c>
      <c r="AG3" s="9">
        <f t="shared" si="10"/>
        <v>9655.06</v>
      </c>
      <c r="AH3" s="14">
        <v>3614.76</v>
      </c>
      <c r="AI3" s="14">
        <v>5500.35</v>
      </c>
      <c r="AJ3" s="14">
        <v>539.95</v>
      </c>
      <c r="AK3" s="9">
        <f t="shared" si="11"/>
        <v>9655.06</v>
      </c>
      <c r="AL3" s="14">
        <v>3614.76</v>
      </c>
      <c r="AM3" s="14">
        <v>5572.5</v>
      </c>
      <c r="AN3" s="14">
        <v>468.4</v>
      </c>
      <c r="AO3" s="9">
        <f t="shared" si="12"/>
        <v>9655.66</v>
      </c>
      <c r="AP3" s="14">
        <v>3614.76</v>
      </c>
      <c r="AQ3" s="14">
        <v>5093.36</v>
      </c>
      <c r="AR3" s="14">
        <v>468.4</v>
      </c>
      <c r="AS3" s="9">
        <f t="shared" si="13"/>
        <v>9176.52</v>
      </c>
      <c r="AT3" s="14">
        <v>3614.76</v>
      </c>
      <c r="AU3" s="14">
        <v>4503.37</v>
      </c>
      <c r="AV3" s="14">
        <v>468.4</v>
      </c>
      <c r="AW3" s="9">
        <f t="shared" si="14"/>
        <v>8586.53</v>
      </c>
      <c r="AX3" s="14">
        <v>3614.76</v>
      </c>
      <c r="AY3" s="14">
        <v>4216.32</v>
      </c>
      <c r="AZ3" s="14">
        <v>468.4</v>
      </c>
      <c r="BA3" s="9">
        <f t="shared" si="15"/>
        <v>8299.48</v>
      </c>
      <c r="BB3" s="7"/>
      <c r="BC3" s="7"/>
      <c r="BD3" s="7"/>
      <c r="BE3" s="7"/>
      <c r="BF3" s="7"/>
      <c r="BG3" s="7"/>
      <c r="BH3" s="7"/>
      <c r="BI3" s="7"/>
      <c r="BJ3" s="7"/>
      <c r="BK3" s="7"/>
    </row>
    <row r="4" ht="12.0" customHeight="1">
      <c r="A4" s="15" t="s">
        <v>54</v>
      </c>
      <c r="B4" s="9">
        <f t="shared" si="2"/>
        <v>71662.42</v>
      </c>
      <c r="C4" s="10">
        <f t="shared" ref="C4:E4" si="16">F4+J4+N4+R4+V4+Z4+AD4+AH4+AL4+AP4+AT4+AX4</f>
        <v>10485.6</v>
      </c>
      <c r="D4" s="11">
        <f t="shared" si="16"/>
        <v>50026.82</v>
      </c>
      <c r="E4" s="12">
        <f t="shared" si="16"/>
        <v>11150</v>
      </c>
      <c r="F4" s="13">
        <v>873.8</v>
      </c>
      <c r="G4" s="14">
        <v>5207.94</v>
      </c>
      <c r="H4" s="14">
        <v>950.0</v>
      </c>
      <c r="I4" s="9">
        <f t="shared" si="4"/>
        <v>7031.74</v>
      </c>
      <c r="J4" s="13">
        <v>873.8</v>
      </c>
      <c r="K4" s="14">
        <v>5207.94</v>
      </c>
      <c r="L4" s="14">
        <v>950.0</v>
      </c>
      <c r="M4" s="9">
        <f t="shared" si="5"/>
        <v>7031.74</v>
      </c>
      <c r="N4" s="13">
        <v>873.8</v>
      </c>
      <c r="O4" s="14">
        <v>5207.94</v>
      </c>
      <c r="P4" s="14">
        <v>950.0</v>
      </c>
      <c r="Q4" s="9">
        <f t="shared" si="6"/>
        <v>7031.74</v>
      </c>
      <c r="R4" s="13">
        <v>873.8</v>
      </c>
      <c r="S4" s="14">
        <v>4519.46</v>
      </c>
      <c r="T4" s="14">
        <v>950.0</v>
      </c>
      <c r="U4" s="9">
        <f t="shared" si="7"/>
        <v>6343.26</v>
      </c>
      <c r="V4" s="13">
        <v>873.8</v>
      </c>
      <c r="W4" s="14">
        <v>4519.46</v>
      </c>
      <c r="X4" s="14">
        <v>950.0</v>
      </c>
      <c r="Y4" s="9">
        <f t="shared" si="8"/>
        <v>6343.26</v>
      </c>
      <c r="Z4" s="13">
        <v>873.8</v>
      </c>
      <c r="AA4" s="14">
        <v>3598.3</v>
      </c>
      <c r="AB4" s="14">
        <v>950.0</v>
      </c>
      <c r="AC4" s="9">
        <f t="shared" si="9"/>
        <v>5422.1</v>
      </c>
      <c r="AD4" s="13">
        <v>873.8</v>
      </c>
      <c r="AE4" s="14">
        <v>3598.3</v>
      </c>
      <c r="AF4" s="14">
        <v>950.0</v>
      </c>
      <c r="AG4" s="9">
        <f t="shared" si="10"/>
        <v>5422.1</v>
      </c>
      <c r="AH4" s="13">
        <v>873.8</v>
      </c>
      <c r="AI4" s="14">
        <v>3598.3</v>
      </c>
      <c r="AJ4" s="14">
        <v>900.0</v>
      </c>
      <c r="AK4" s="9">
        <f t="shared" si="11"/>
        <v>5372.1</v>
      </c>
      <c r="AL4" s="13">
        <v>873.8</v>
      </c>
      <c r="AM4" s="14">
        <v>3598.3</v>
      </c>
      <c r="AN4" s="14">
        <v>900.0</v>
      </c>
      <c r="AO4" s="9">
        <f t="shared" si="12"/>
        <v>5372.1</v>
      </c>
      <c r="AP4" s="13">
        <v>873.8</v>
      </c>
      <c r="AQ4" s="14">
        <v>3763.06</v>
      </c>
      <c r="AR4" s="14">
        <v>900.0</v>
      </c>
      <c r="AS4" s="9">
        <f t="shared" si="13"/>
        <v>5536.86</v>
      </c>
      <c r="AT4" s="13">
        <v>873.8</v>
      </c>
      <c r="AU4" s="14">
        <v>3603.91</v>
      </c>
      <c r="AV4" s="14">
        <v>900.0</v>
      </c>
      <c r="AW4" s="9">
        <f t="shared" si="14"/>
        <v>5377.71</v>
      </c>
      <c r="AX4" s="13">
        <v>873.8</v>
      </c>
      <c r="AY4" s="14">
        <v>3603.91</v>
      </c>
      <c r="AZ4" s="14">
        <v>900.0</v>
      </c>
      <c r="BA4" s="9">
        <f t="shared" si="15"/>
        <v>5377.71</v>
      </c>
      <c r="BB4" s="7"/>
      <c r="BC4" s="7"/>
      <c r="BD4" s="7"/>
      <c r="BE4" s="7"/>
      <c r="BF4" s="7"/>
      <c r="BG4" s="7"/>
      <c r="BH4" s="7"/>
      <c r="BI4" s="7"/>
      <c r="BJ4" s="7"/>
      <c r="BK4" s="7"/>
    </row>
    <row r="5" ht="12.0" customHeight="1">
      <c r="A5" s="15" t="s">
        <v>55</v>
      </c>
      <c r="B5" s="9">
        <f t="shared" si="2"/>
        <v>6952.87</v>
      </c>
      <c r="C5" s="10">
        <f t="shared" ref="C5:E5" si="17">F5+J5+N5+R5+V5+Z5+AD5+AH5+AL5+AP5+AT5+AX5</f>
        <v>1249.26</v>
      </c>
      <c r="D5" s="11">
        <f t="shared" si="17"/>
        <v>4596.77</v>
      </c>
      <c r="E5" s="12">
        <f t="shared" si="17"/>
        <v>1106.84</v>
      </c>
      <c r="F5" s="13">
        <v>0.0</v>
      </c>
      <c r="G5" s="14">
        <v>85.23</v>
      </c>
      <c r="H5" s="14">
        <v>246.18</v>
      </c>
      <c r="I5" s="9">
        <f t="shared" si="4"/>
        <v>331.41</v>
      </c>
      <c r="J5" s="14">
        <v>203.56</v>
      </c>
      <c r="K5" s="14">
        <v>1064.34</v>
      </c>
      <c r="L5" s="14">
        <v>0.0</v>
      </c>
      <c r="M5" s="9">
        <f t="shared" si="5"/>
        <v>1267.9</v>
      </c>
      <c r="N5" s="14">
        <v>0.0</v>
      </c>
      <c r="O5" s="14">
        <v>85.82</v>
      </c>
      <c r="P5" s="14">
        <v>208.77</v>
      </c>
      <c r="Q5" s="9">
        <f t="shared" si="6"/>
        <v>294.59</v>
      </c>
      <c r="R5" s="14">
        <v>0.0</v>
      </c>
      <c r="S5" s="14">
        <v>253.76</v>
      </c>
      <c r="T5" s="14">
        <v>0.0</v>
      </c>
      <c r="U5" s="9">
        <f t="shared" si="7"/>
        <v>253.76</v>
      </c>
      <c r="V5" s="14">
        <v>228.06</v>
      </c>
      <c r="W5" s="14">
        <v>228.06</v>
      </c>
      <c r="X5" s="14">
        <v>176.25</v>
      </c>
      <c r="Y5" s="9">
        <f t="shared" si="8"/>
        <v>632.37</v>
      </c>
      <c r="Z5" s="14">
        <v>223.34</v>
      </c>
      <c r="AA5" s="14">
        <v>623.95</v>
      </c>
      <c r="AB5" s="14">
        <v>97.1</v>
      </c>
      <c r="AC5" s="9">
        <f t="shared" si="9"/>
        <v>944.39</v>
      </c>
      <c r="AD5" s="14">
        <v>103.42</v>
      </c>
      <c r="AE5" s="14">
        <v>438.42</v>
      </c>
      <c r="AF5" s="14">
        <v>115.29</v>
      </c>
      <c r="AG5" s="9">
        <f t="shared" si="10"/>
        <v>657.13</v>
      </c>
      <c r="AH5" s="14">
        <v>54.34</v>
      </c>
      <c r="AI5" s="14">
        <v>385.88</v>
      </c>
      <c r="AJ5" s="14">
        <v>0.0</v>
      </c>
      <c r="AK5" s="9">
        <f t="shared" si="11"/>
        <v>440.22</v>
      </c>
      <c r="AL5" s="14">
        <v>254.1</v>
      </c>
      <c r="AM5" s="14">
        <v>608.98</v>
      </c>
      <c r="AN5" s="14">
        <v>90.19</v>
      </c>
      <c r="AO5" s="9">
        <f t="shared" si="12"/>
        <v>953.27</v>
      </c>
      <c r="AP5" s="14">
        <v>0.0</v>
      </c>
      <c r="AQ5" s="14">
        <v>155.58</v>
      </c>
      <c r="AR5" s="14">
        <v>0.0</v>
      </c>
      <c r="AS5" s="9">
        <f t="shared" si="13"/>
        <v>155.58</v>
      </c>
      <c r="AT5" s="14">
        <v>182.44</v>
      </c>
      <c r="AU5" s="14">
        <v>519.36</v>
      </c>
      <c r="AV5" s="14">
        <v>173.06</v>
      </c>
      <c r="AW5" s="9">
        <f t="shared" si="14"/>
        <v>874.86</v>
      </c>
      <c r="AX5" s="14">
        <v>0.0</v>
      </c>
      <c r="AY5" s="14">
        <v>147.39</v>
      </c>
      <c r="AZ5" s="14">
        <v>0.0</v>
      </c>
      <c r="BA5" s="9">
        <f t="shared" si="15"/>
        <v>147.39</v>
      </c>
      <c r="BB5" s="7"/>
      <c r="BC5" s="7"/>
      <c r="BD5" s="7"/>
      <c r="BE5" s="7"/>
      <c r="BF5" s="7"/>
      <c r="BG5" s="7"/>
      <c r="BH5" s="7"/>
      <c r="BI5" s="7"/>
      <c r="BJ5" s="7"/>
      <c r="BK5" s="7"/>
    </row>
    <row r="6" ht="12.0" customHeight="1">
      <c r="A6" s="15" t="s">
        <v>56</v>
      </c>
      <c r="B6" s="9">
        <f t="shared" si="2"/>
        <v>9557.02</v>
      </c>
      <c r="C6" s="10">
        <f t="shared" ref="C6:E6" si="18">F6+J6+N6+R6+V6+Z6+AD6+AH6+AL6+AP6+AT6+AX6</f>
        <v>9557.02</v>
      </c>
      <c r="D6" s="11">
        <f t="shared" si="18"/>
        <v>0</v>
      </c>
      <c r="E6" s="12">
        <f t="shared" si="18"/>
        <v>0</v>
      </c>
      <c r="F6" s="13">
        <v>920.93</v>
      </c>
      <c r="G6" s="14">
        <v>0.0</v>
      </c>
      <c r="H6" s="14">
        <v>0.0</v>
      </c>
      <c r="I6" s="9">
        <f t="shared" si="4"/>
        <v>920.93</v>
      </c>
      <c r="J6" s="14">
        <v>992.94</v>
      </c>
      <c r="K6" s="14">
        <v>0.0</v>
      </c>
      <c r="L6" s="14">
        <v>0.0</v>
      </c>
      <c r="M6" s="9">
        <f t="shared" si="5"/>
        <v>992.94</v>
      </c>
      <c r="N6" s="14">
        <v>766.65</v>
      </c>
      <c r="O6" s="14">
        <v>0.0</v>
      </c>
      <c r="P6" s="14">
        <v>0.0</v>
      </c>
      <c r="Q6" s="9">
        <f t="shared" si="6"/>
        <v>766.65</v>
      </c>
      <c r="R6" s="14">
        <v>588.41</v>
      </c>
      <c r="S6" s="14">
        <v>0.0</v>
      </c>
      <c r="T6" s="14">
        <v>0.0</v>
      </c>
      <c r="U6" s="9">
        <f t="shared" si="7"/>
        <v>588.41</v>
      </c>
      <c r="V6" s="14">
        <v>884.91</v>
      </c>
      <c r="W6" s="14">
        <v>0.0</v>
      </c>
      <c r="X6" s="14">
        <v>0.0</v>
      </c>
      <c r="Y6" s="9">
        <f t="shared" si="8"/>
        <v>884.91</v>
      </c>
      <c r="Z6" s="14">
        <v>717.52</v>
      </c>
      <c r="AA6" s="14">
        <v>0.0</v>
      </c>
      <c r="AB6" s="14">
        <v>0.0</v>
      </c>
      <c r="AC6" s="9">
        <f t="shared" si="9"/>
        <v>717.52</v>
      </c>
      <c r="AD6" s="14">
        <v>837.57</v>
      </c>
      <c r="AE6" s="14">
        <v>0.0</v>
      </c>
      <c r="AF6" s="14">
        <v>0.0</v>
      </c>
      <c r="AG6" s="9">
        <f t="shared" si="10"/>
        <v>837.57</v>
      </c>
      <c r="AH6" s="14">
        <v>825.33</v>
      </c>
      <c r="AI6" s="14">
        <v>0.0</v>
      </c>
      <c r="AJ6" s="14">
        <v>0.0</v>
      </c>
      <c r="AK6" s="9">
        <f t="shared" si="11"/>
        <v>825.33</v>
      </c>
      <c r="AL6" s="14">
        <v>773.03</v>
      </c>
      <c r="AM6" s="14">
        <v>0.0</v>
      </c>
      <c r="AN6" s="14">
        <v>0.0</v>
      </c>
      <c r="AO6" s="9">
        <f t="shared" si="12"/>
        <v>773.03</v>
      </c>
      <c r="AP6" s="14">
        <v>769.62</v>
      </c>
      <c r="AQ6" s="14">
        <v>0.0</v>
      </c>
      <c r="AR6" s="14">
        <v>0.0</v>
      </c>
      <c r="AS6" s="9">
        <f t="shared" si="13"/>
        <v>769.62</v>
      </c>
      <c r="AT6" s="14">
        <v>715.46</v>
      </c>
      <c r="AU6" s="14">
        <v>0.0</v>
      </c>
      <c r="AV6" s="14">
        <v>0.0</v>
      </c>
      <c r="AW6" s="9">
        <f t="shared" si="14"/>
        <v>715.46</v>
      </c>
      <c r="AX6" s="14">
        <v>764.65</v>
      </c>
      <c r="AY6" s="14">
        <v>0.0</v>
      </c>
      <c r="AZ6" s="14">
        <v>0.0</v>
      </c>
      <c r="BA6" s="9">
        <f t="shared" si="15"/>
        <v>764.65</v>
      </c>
      <c r="BB6" s="7"/>
      <c r="BC6" s="7"/>
      <c r="BD6" s="7"/>
      <c r="BE6" s="7"/>
      <c r="BF6" s="7"/>
      <c r="BG6" s="7"/>
      <c r="BH6" s="7"/>
      <c r="BI6" s="7"/>
      <c r="BJ6" s="7"/>
      <c r="BK6" s="7"/>
    </row>
    <row r="7" ht="12.0" customHeight="1">
      <c r="A7" s="15" t="s">
        <v>57</v>
      </c>
      <c r="B7" s="9">
        <f t="shared" si="2"/>
        <v>4738.56</v>
      </c>
      <c r="C7" s="10">
        <f t="shared" ref="C7:E7" si="19">F7+J7+N7+R7+V7+Z7+AD7+AH7+AL7+AP7+AT7+AX7</f>
        <v>1092.43</v>
      </c>
      <c r="D7" s="11">
        <f t="shared" si="19"/>
        <v>3194.4</v>
      </c>
      <c r="E7" s="12">
        <f t="shared" si="19"/>
        <v>451.73</v>
      </c>
      <c r="F7" s="13">
        <v>109.3</v>
      </c>
      <c r="G7" s="14">
        <v>289.25</v>
      </c>
      <c r="H7" s="14">
        <v>50.73</v>
      </c>
      <c r="I7" s="9">
        <f t="shared" si="4"/>
        <v>449.28</v>
      </c>
      <c r="J7" s="14">
        <v>105.23</v>
      </c>
      <c r="K7" s="14">
        <v>319.9</v>
      </c>
      <c r="L7" s="14">
        <v>48.83</v>
      </c>
      <c r="M7" s="9">
        <f t="shared" si="5"/>
        <v>473.96</v>
      </c>
      <c r="N7" s="14">
        <v>105.23</v>
      </c>
      <c r="O7" s="14">
        <v>321.33</v>
      </c>
      <c r="P7" s="14">
        <v>45.72</v>
      </c>
      <c r="Q7" s="9">
        <f t="shared" si="6"/>
        <v>472.28</v>
      </c>
      <c r="R7" s="14">
        <v>75.91</v>
      </c>
      <c r="S7" s="14">
        <v>278.56</v>
      </c>
      <c r="T7" s="14">
        <v>32.8</v>
      </c>
      <c r="U7" s="9">
        <f t="shared" si="7"/>
        <v>387.27</v>
      </c>
      <c r="V7" s="14">
        <v>75.34</v>
      </c>
      <c r="W7" s="14">
        <v>106.65</v>
      </c>
      <c r="X7" s="14">
        <v>23.69</v>
      </c>
      <c r="Y7" s="9">
        <f t="shared" si="8"/>
        <v>205.68</v>
      </c>
      <c r="Z7" s="14">
        <v>74.14</v>
      </c>
      <c r="AA7" s="14">
        <v>204.99</v>
      </c>
      <c r="AB7" s="14">
        <v>34.71</v>
      </c>
      <c r="AC7" s="9">
        <f t="shared" si="9"/>
        <v>313.84</v>
      </c>
      <c r="AD7" s="14">
        <v>75.33</v>
      </c>
      <c r="AE7" s="14">
        <v>314.02</v>
      </c>
      <c r="AF7" s="14">
        <v>36.94</v>
      </c>
      <c r="AG7" s="9">
        <f t="shared" si="10"/>
        <v>426.29</v>
      </c>
      <c r="AH7" s="14">
        <v>78.49</v>
      </c>
      <c r="AI7" s="14">
        <v>248.97</v>
      </c>
      <c r="AJ7" s="14">
        <v>36.52</v>
      </c>
      <c r="AK7" s="9">
        <f t="shared" si="11"/>
        <v>363.98</v>
      </c>
      <c r="AL7" s="14">
        <v>77.87</v>
      </c>
      <c r="AM7" s="14">
        <v>313.49</v>
      </c>
      <c r="AN7" s="14">
        <v>40.33</v>
      </c>
      <c r="AO7" s="9">
        <f t="shared" si="12"/>
        <v>431.69</v>
      </c>
      <c r="AP7" s="14">
        <v>114.86</v>
      </c>
      <c r="AQ7" s="14">
        <v>257.2</v>
      </c>
      <c r="AR7" s="14">
        <v>32.46</v>
      </c>
      <c r="AS7" s="9">
        <f t="shared" si="13"/>
        <v>404.52</v>
      </c>
      <c r="AT7" s="14">
        <v>130.87</v>
      </c>
      <c r="AU7" s="14">
        <v>327.84</v>
      </c>
      <c r="AV7" s="14">
        <v>33.99</v>
      </c>
      <c r="AW7" s="9">
        <f t="shared" si="14"/>
        <v>492.7</v>
      </c>
      <c r="AX7" s="14">
        <v>69.86</v>
      </c>
      <c r="AY7" s="14">
        <v>212.2</v>
      </c>
      <c r="AZ7" s="14">
        <v>35.01</v>
      </c>
      <c r="BA7" s="9">
        <f t="shared" si="15"/>
        <v>317.07</v>
      </c>
      <c r="BB7" s="7"/>
      <c r="BC7" s="7"/>
      <c r="BD7" s="7"/>
      <c r="BE7" s="7"/>
      <c r="BF7" s="7"/>
      <c r="BG7" s="7"/>
      <c r="BH7" s="7"/>
      <c r="BI7" s="7"/>
      <c r="BJ7" s="7"/>
      <c r="BK7" s="7"/>
    </row>
    <row r="8" ht="12.0" customHeight="1">
      <c r="A8" s="15" t="s">
        <v>58</v>
      </c>
      <c r="B8" s="9">
        <f t="shared" si="2"/>
        <v>3683.79</v>
      </c>
      <c r="C8" s="10">
        <f t="shared" ref="C8:E8" si="20">F8+J8+N8+R8+V8+Z8+AD8+AH8+AL8+AP8+AT8+AX8</f>
        <v>2012.82</v>
      </c>
      <c r="D8" s="11">
        <f t="shared" si="20"/>
        <v>1401.53</v>
      </c>
      <c r="E8" s="12">
        <f t="shared" si="20"/>
        <v>269.44</v>
      </c>
      <c r="F8" s="13">
        <v>152.99</v>
      </c>
      <c r="G8" s="14">
        <v>165.53</v>
      </c>
      <c r="H8" s="14">
        <v>23.79</v>
      </c>
      <c r="I8" s="9">
        <f t="shared" si="4"/>
        <v>342.31</v>
      </c>
      <c r="J8" s="14">
        <v>165.22</v>
      </c>
      <c r="K8" s="14">
        <v>130.6</v>
      </c>
      <c r="L8" s="14">
        <v>20.15</v>
      </c>
      <c r="M8" s="9">
        <f t="shared" si="5"/>
        <v>315.97</v>
      </c>
      <c r="N8" s="14">
        <v>156.54</v>
      </c>
      <c r="O8" s="14">
        <v>127.58</v>
      </c>
      <c r="P8" s="14">
        <v>22.45</v>
      </c>
      <c r="Q8" s="9">
        <f t="shared" si="6"/>
        <v>306.57</v>
      </c>
      <c r="R8" s="14">
        <v>171.5</v>
      </c>
      <c r="S8" s="14">
        <v>114.94</v>
      </c>
      <c r="T8" s="14">
        <v>20.15</v>
      </c>
      <c r="U8" s="9">
        <f t="shared" si="7"/>
        <v>306.59</v>
      </c>
      <c r="V8" s="14">
        <v>202.13</v>
      </c>
      <c r="W8" s="14">
        <v>117.94</v>
      </c>
      <c r="X8" s="14">
        <v>23.34</v>
      </c>
      <c r="Y8" s="9">
        <f t="shared" si="8"/>
        <v>343.41</v>
      </c>
      <c r="Z8" s="14">
        <v>188.89</v>
      </c>
      <c r="AA8" s="14">
        <v>113.44</v>
      </c>
      <c r="AB8" s="14">
        <v>22.19</v>
      </c>
      <c r="AC8" s="9">
        <f t="shared" si="9"/>
        <v>324.52</v>
      </c>
      <c r="AD8" s="14">
        <v>201.47</v>
      </c>
      <c r="AE8" s="14">
        <v>117.28</v>
      </c>
      <c r="AF8" s="14">
        <v>22.68</v>
      </c>
      <c r="AG8" s="9">
        <f t="shared" si="10"/>
        <v>341.43</v>
      </c>
      <c r="AH8" s="14">
        <v>152.47</v>
      </c>
      <c r="AI8" s="14">
        <v>100.68</v>
      </c>
      <c r="AJ8" s="14">
        <v>22.68</v>
      </c>
      <c r="AK8" s="9">
        <f t="shared" si="11"/>
        <v>275.83</v>
      </c>
      <c r="AL8" s="14">
        <v>151.47</v>
      </c>
      <c r="AM8" s="14">
        <v>99.58</v>
      </c>
      <c r="AN8" s="14">
        <v>21.68</v>
      </c>
      <c r="AO8" s="9">
        <f t="shared" si="12"/>
        <v>272.73</v>
      </c>
      <c r="AP8" s="14">
        <v>155.38</v>
      </c>
      <c r="AQ8" s="14">
        <v>103.49</v>
      </c>
      <c r="AR8" s="14">
        <v>25.59</v>
      </c>
      <c r="AS8" s="9">
        <f t="shared" si="13"/>
        <v>284.46</v>
      </c>
      <c r="AT8" s="14">
        <v>153.38</v>
      </c>
      <c r="AU8" s="14">
        <v>101.47</v>
      </c>
      <c r="AV8" s="14">
        <v>22.37</v>
      </c>
      <c r="AW8" s="9">
        <f t="shared" si="14"/>
        <v>277.22</v>
      </c>
      <c r="AX8" s="14">
        <v>161.38</v>
      </c>
      <c r="AY8" s="14">
        <v>109.0</v>
      </c>
      <c r="AZ8" s="14">
        <v>22.37</v>
      </c>
      <c r="BA8" s="9">
        <f t="shared" si="15"/>
        <v>292.75</v>
      </c>
      <c r="BB8" s="7"/>
      <c r="BC8" s="7"/>
      <c r="BD8" s="7"/>
      <c r="BE8" s="7"/>
      <c r="BF8" s="7"/>
      <c r="BG8" s="7"/>
      <c r="BH8" s="7"/>
      <c r="BI8" s="7"/>
      <c r="BJ8" s="7"/>
      <c r="BK8" s="7"/>
    </row>
    <row r="9" ht="12.0" customHeight="1">
      <c r="A9" s="15" t="s">
        <v>59</v>
      </c>
      <c r="B9" s="9">
        <f t="shared" si="2"/>
        <v>4690.03</v>
      </c>
      <c r="C9" s="10">
        <f t="shared" ref="C9:E9" si="21">F9+J9+N9+R9+V9+Z9+AD9+AH9+AL9+AP9+AT9+AX9</f>
        <v>1822.35</v>
      </c>
      <c r="D9" s="11">
        <f t="shared" si="21"/>
        <v>2400.92</v>
      </c>
      <c r="E9" s="12">
        <f t="shared" si="21"/>
        <v>466.76</v>
      </c>
      <c r="F9" s="13">
        <v>136.32</v>
      </c>
      <c r="G9" s="14">
        <v>194.74</v>
      </c>
      <c r="H9" s="14">
        <v>38.95</v>
      </c>
      <c r="I9" s="9">
        <f t="shared" si="4"/>
        <v>370.01</v>
      </c>
      <c r="J9" s="13">
        <v>136.32</v>
      </c>
      <c r="K9" s="14">
        <v>194.74</v>
      </c>
      <c r="L9" s="14">
        <v>38.95</v>
      </c>
      <c r="M9" s="9">
        <f t="shared" si="5"/>
        <v>370.01</v>
      </c>
      <c r="N9" s="13">
        <v>136.32</v>
      </c>
      <c r="O9" s="14">
        <v>194.74</v>
      </c>
      <c r="P9" s="14">
        <v>38.95</v>
      </c>
      <c r="Q9" s="9">
        <f t="shared" si="6"/>
        <v>370.01</v>
      </c>
      <c r="R9" s="13">
        <v>129.5</v>
      </c>
      <c r="S9" s="14">
        <v>203.5</v>
      </c>
      <c r="T9" s="14">
        <v>37.0</v>
      </c>
      <c r="U9" s="9">
        <f t="shared" si="7"/>
        <v>370</v>
      </c>
      <c r="V9" s="13">
        <v>129.5</v>
      </c>
      <c r="W9" s="14">
        <v>203.5</v>
      </c>
      <c r="X9" s="14">
        <v>37.0</v>
      </c>
      <c r="Y9" s="9">
        <f t="shared" si="8"/>
        <v>370</v>
      </c>
      <c r="Z9" s="14">
        <v>377.39</v>
      </c>
      <c r="AA9" s="14">
        <v>188.7</v>
      </c>
      <c r="AB9" s="14">
        <v>53.91</v>
      </c>
      <c r="AC9" s="9">
        <f t="shared" si="9"/>
        <v>620</v>
      </c>
      <c r="AD9" s="13">
        <v>129.5</v>
      </c>
      <c r="AE9" s="14">
        <v>203.5</v>
      </c>
      <c r="AF9" s="14">
        <v>37.0</v>
      </c>
      <c r="AG9" s="9">
        <f t="shared" si="10"/>
        <v>370</v>
      </c>
      <c r="AH9" s="13">
        <v>129.5</v>
      </c>
      <c r="AI9" s="14">
        <v>203.5</v>
      </c>
      <c r="AJ9" s="14">
        <v>37.0</v>
      </c>
      <c r="AK9" s="9">
        <f t="shared" si="11"/>
        <v>370</v>
      </c>
      <c r="AL9" s="13">
        <v>129.5</v>
      </c>
      <c r="AM9" s="14">
        <v>203.5</v>
      </c>
      <c r="AN9" s="14">
        <v>37.0</v>
      </c>
      <c r="AO9" s="9">
        <f t="shared" si="12"/>
        <v>370</v>
      </c>
      <c r="AP9" s="13">
        <v>129.5</v>
      </c>
      <c r="AQ9" s="14">
        <v>203.5</v>
      </c>
      <c r="AR9" s="14">
        <v>37.0</v>
      </c>
      <c r="AS9" s="9">
        <f t="shared" si="13"/>
        <v>370</v>
      </c>
      <c r="AT9" s="13">
        <v>129.5</v>
      </c>
      <c r="AU9" s="14">
        <v>203.5</v>
      </c>
      <c r="AV9" s="14">
        <v>37.0</v>
      </c>
      <c r="AW9" s="9">
        <f t="shared" si="14"/>
        <v>370</v>
      </c>
      <c r="AX9" s="13">
        <v>129.5</v>
      </c>
      <c r="AY9" s="14">
        <v>203.5</v>
      </c>
      <c r="AZ9" s="14">
        <v>37.0</v>
      </c>
      <c r="BA9" s="9">
        <f t="shared" si="15"/>
        <v>370</v>
      </c>
      <c r="BB9" s="7"/>
      <c r="BC9" s="7"/>
      <c r="BD9" s="7"/>
      <c r="BE9" s="7"/>
      <c r="BF9" s="7"/>
      <c r="BG9" s="7"/>
      <c r="BH9" s="7"/>
      <c r="BI9" s="7"/>
      <c r="BJ9" s="7"/>
      <c r="BK9" s="7"/>
    </row>
    <row r="10" ht="12.0" customHeight="1">
      <c r="A10" s="15" t="s">
        <v>60</v>
      </c>
      <c r="B10" s="9">
        <f t="shared" si="2"/>
        <v>2100</v>
      </c>
      <c r="C10" s="10">
        <f t="shared" ref="C10:E10" si="22">F10+J10+N10+R10+V10+Z10+AD10+AH10+AL10+AP10+AT10+AX10</f>
        <v>744.66</v>
      </c>
      <c r="D10" s="11">
        <f t="shared" si="22"/>
        <v>1142.58</v>
      </c>
      <c r="E10" s="12">
        <f t="shared" si="22"/>
        <v>212.76</v>
      </c>
      <c r="F10" s="13">
        <v>64.47</v>
      </c>
      <c r="G10" s="14">
        <v>92.11</v>
      </c>
      <c r="H10" s="14">
        <v>18.42</v>
      </c>
      <c r="I10" s="9">
        <f t="shared" si="4"/>
        <v>175</v>
      </c>
      <c r="J10" s="13">
        <v>64.47</v>
      </c>
      <c r="K10" s="14">
        <v>92.11</v>
      </c>
      <c r="L10" s="14">
        <v>18.42</v>
      </c>
      <c r="M10" s="9">
        <f t="shared" si="5"/>
        <v>175</v>
      </c>
      <c r="N10" s="13">
        <v>64.47</v>
      </c>
      <c r="O10" s="14">
        <v>92.11</v>
      </c>
      <c r="P10" s="14">
        <v>18.42</v>
      </c>
      <c r="Q10" s="9">
        <f t="shared" si="6"/>
        <v>175</v>
      </c>
      <c r="R10" s="13">
        <v>61.25</v>
      </c>
      <c r="S10" s="14">
        <v>96.25</v>
      </c>
      <c r="T10" s="14">
        <v>17.5</v>
      </c>
      <c r="U10" s="9">
        <f t="shared" si="7"/>
        <v>175</v>
      </c>
      <c r="V10" s="13">
        <v>61.25</v>
      </c>
      <c r="W10" s="14">
        <v>96.25</v>
      </c>
      <c r="X10" s="14">
        <v>17.5</v>
      </c>
      <c r="Y10" s="9">
        <f t="shared" si="8"/>
        <v>175</v>
      </c>
      <c r="Z10" s="13">
        <v>61.25</v>
      </c>
      <c r="AA10" s="14">
        <v>96.25</v>
      </c>
      <c r="AB10" s="14">
        <v>17.5</v>
      </c>
      <c r="AC10" s="9">
        <f t="shared" si="9"/>
        <v>175</v>
      </c>
      <c r="AD10" s="13">
        <v>61.25</v>
      </c>
      <c r="AE10" s="14">
        <v>96.25</v>
      </c>
      <c r="AF10" s="14">
        <v>17.5</v>
      </c>
      <c r="AG10" s="9">
        <f t="shared" si="10"/>
        <v>175</v>
      </c>
      <c r="AH10" s="13">
        <v>61.25</v>
      </c>
      <c r="AI10" s="14">
        <v>96.25</v>
      </c>
      <c r="AJ10" s="14">
        <v>17.5</v>
      </c>
      <c r="AK10" s="9">
        <f t="shared" si="11"/>
        <v>175</v>
      </c>
      <c r="AL10" s="13">
        <v>61.25</v>
      </c>
      <c r="AM10" s="14">
        <v>96.25</v>
      </c>
      <c r="AN10" s="14">
        <v>17.5</v>
      </c>
      <c r="AO10" s="9">
        <f t="shared" si="12"/>
        <v>175</v>
      </c>
      <c r="AP10" s="13">
        <v>61.25</v>
      </c>
      <c r="AQ10" s="14">
        <v>96.25</v>
      </c>
      <c r="AR10" s="14">
        <v>17.5</v>
      </c>
      <c r="AS10" s="9">
        <f t="shared" si="13"/>
        <v>175</v>
      </c>
      <c r="AT10" s="13">
        <v>61.25</v>
      </c>
      <c r="AU10" s="14">
        <v>96.25</v>
      </c>
      <c r="AV10" s="14">
        <v>17.5</v>
      </c>
      <c r="AW10" s="9">
        <f t="shared" si="14"/>
        <v>175</v>
      </c>
      <c r="AX10" s="13">
        <v>61.25</v>
      </c>
      <c r="AY10" s="14">
        <v>96.25</v>
      </c>
      <c r="AZ10" s="14">
        <v>17.5</v>
      </c>
      <c r="BA10" s="9">
        <f t="shared" si="15"/>
        <v>175</v>
      </c>
      <c r="BB10" s="7"/>
      <c r="BC10" s="7"/>
      <c r="BD10" s="7"/>
      <c r="BE10" s="7"/>
      <c r="BF10" s="7"/>
      <c r="BG10" s="7"/>
      <c r="BH10" s="7"/>
      <c r="BI10" s="7"/>
      <c r="BJ10" s="7"/>
      <c r="BK10" s="7"/>
    </row>
    <row r="11" ht="12.0" customHeight="1">
      <c r="A11" s="16" t="s">
        <v>61</v>
      </c>
      <c r="B11" s="9">
        <f t="shared" si="2"/>
        <v>1933.91</v>
      </c>
      <c r="C11" s="10">
        <f t="shared" ref="C11:E11" si="23">F11+J11+N11+R11+V11+Z11+AD11+AH11+AL11+AP11+AT11+AX11</f>
        <v>462.38</v>
      </c>
      <c r="D11" s="11">
        <f t="shared" si="23"/>
        <v>1471.53</v>
      </c>
      <c r="E11" s="12">
        <f t="shared" si="23"/>
        <v>0</v>
      </c>
      <c r="F11" s="13">
        <v>0.0</v>
      </c>
      <c r="G11" s="14">
        <v>0.0</v>
      </c>
      <c r="H11" s="14">
        <v>0.0</v>
      </c>
      <c r="I11" s="9">
        <f t="shared" si="4"/>
        <v>0</v>
      </c>
      <c r="J11" s="14">
        <v>71.5</v>
      </c>
      <c r="K11" s="14">
        <v>123.0</v>
      </c>
      <c r="L11" s="14">
        <v>0.0</v>
      </c>
      <c r="M11" s="9">
        <f t="shared" si="5"/>
        <v>194.5</v>
      </c>
      <c r="N11" s="14">
        <v>0.0</v>
      </c>
      <c r="O11" s="14">
        <v>140.0</v>
      </c>
      <c r="P11" s="14">
        <v>0.0</v>
      </c>
      <c r="Q11" s="9">
        <f t="shared" si="6"/>
        <v>140</v>
      </c>
      <c r="R11" s="14">
        <v>111.7</v>
      </c>
      <c r="S11" s="14">
        <v>0.0</v>
      </c>
      <c r="T11" s="14">
        <v>0.0</v>
      </c>
      <c r="U11" s="9">
        <f t="shared" si="7"/>
        <v>111.7</v>
      </c>
      <c r="V11" s="14">
        <v>168.3</v>
      </c>
      <c r="W11" s="14">
        <v>110.0</v>
      </c>
      <c r="X11" s="14">
        <v>0.0</v>
      </c>
      <c r="Y11" s="9">
        <f t="shared" si="8"/>
        <v>278.3</v>
      </c>
      <c r="Z11" s="14">
        <v>110.88</v>
      </c>
      <c r="AA11" s="14">
        <v>128.7</v>
      </c>
      <c r="AB11" s="14">
        <v>0.0</v>
      </c>
      <c r="AC11" s="9">
        <f t="shared" si="9"/>
        <v>239.58</v>
      </c>
      <c r="AD11" s="14">
        <v>0.0</v>
      </c>
      <c r="AE11" s="14">
        <v>188.1</v>
      </c>
      <c r="AF11" s="14">
        <v>0.0</v>
      </c>
      <c r="AG11" s="9">
        <f t="shared" si="10"/>
        <v>188.1</v>
      </c>
      <c r="AH11" s="14">
        <v>0.0</v>
      </c>
      <c r="AI11" s="14">
        <v>172.0</v>
      </c>
      <c r="AJ11" s="14">
        <v>0.0</v>
      </c>
      <c r="AK11" s="9">
        <f t="shared" si="11"/>
        <v>172</v>
      </c>
      <c r="AL11" s="14">
        <v>0.0</v>
      </c>
      <c r="AM11" s="14">
        <v>0.0</v>
      </c>
      <c r="AN11" s="14">
        <v>0.0</v>
      </c>
      <c r="AO11" s="9">
        <f t="shared" si="12"/>
        <v>0</v>
      </c>
      <c r="AP11" s="14">
        <v>0.0</v>
      </c>
      <c r="AQ11" s="14">
        <v>196.5</v>
      </c>
      <c r="AR11" s="14">
        <v>0.0</v>
      </c>
      <c r="AS11" s="9">
        <f t="shared" si="13"/>
        <v>196.5</v>
      </c>
      <c r="AT11" s="14">
        <v>0.0</v>
      </c>
      <c r="AU11" s="14">
        <v>198.73</v>
      </c>
      <c r="AV11" s="14">
        <v>0.0</v>
      </c>
      <c r="AW11" s="9">
        <f t="shared" si="14"/>
        <v>198.73</v>
      </c>
      <c r="AX11" s="14">
        <v>0.0</v>
      </c>
      <c r="AY11" s="14">
        <v>214.5</v>
      </c>
      <c r="AZ11" s="14">
        <v>0.0</v>
      </c>
      <c r="BA11" s="9">
        <f t="shared" si="15"/>
        <v>214.5</v>
      </c>
      <c r="BB11" s="7"/>
      <c r="BC11" s="7"/>
      <c r="BD11" s="7"/>
      <c r="BE11" s="7"/>
      <c r="BF11" s="7"/>
      <c r="BG11" s="7"/>
      <c r="BH11" s="7"/>
      <c r="BI11" s="7"/>
      <c r="BJ11" s="7"/>
      <c r="BK11" s="7"/>
    </row>
    <row r="12" ht="12.0" customHeight="1">
      <c r="A12" s="15" t="s">
        <v>62</v>
      </c>
      <c r="B12" s="9">
        <f t="shared" si="2"/>
        <v>996.4</v>
      </c>
      <c r="C12" s="10">
        <f t="shared" ref="C12:E12" si="24">F12+J12+N12+R12+V12+Z12+AD12+AH12+AL12+AP12+AT12+AX12</f>
        <v>0</v>
      </c>
      <c r="D12" s="11">
        <f t="shared" si="24"/>
        <v>815</v>
      </c>
      <c r="E12" s="12">
        <f t="shared" si="24"/>
        <v>181.4</v>
      </c>
      <c r="F12" s="13">
        <v>0.0</v>
      </c>
      <c r="G12" s="14">
        <v>72.7</v>
      </c>
      <c r="H12" s="14">
        <v>14.54</v>
      </c>
      <c r="I12" s="9">
        <f t="shared" si="4"/>
        <v>87.24</v>
      </c>
      <c r="J12" s="13">
        <v>0.0</v>
      </c>
      <c r="K12" s="14">
        <v>72.7</v>
      </c>
      <c r="L12" s="14">
        <v>14.54</v>
      </c>
      <c r="M12" s="9">
        <f t="shared" si="5"/>
        <v>87.24</v>
      </c>
      <c r="N12" s="13">
        <v>0.0</v>
      </c>
      <c r="O12" s="14">
        <v>72.7</v>
      </c>
      <c r="P12" s="14">
        <v>14.54</v>
      </c>
      <c r="Q12" s="9">
        <f t="shared" si="6"/>
        <v>87.24</v>
      </c>
      <c r="R12" s="13">
        <v>0.0</v>
      </c>
      <c r="S12" s="14">
        <v>72.7</v>
      </c>
      <c r="T12" s="14">
        <v>14.54</v>
      </c>
      <c r="U12" s="9">
        <f t="shared" si="7"/>
        <v>87.24</v>
      </c>
      <c r="V12" s="13">
        <v>0.0</v>
      </c>
      <c r="W12" s="14">
        <v>72.7</v>
      </c>
      <c r="X12" s="14">
        <v>14.54</v>
      </c>
      <c r="Y12" s="9">
        <f t="shared" si="8"/>
        <v>87.24</v>
      </c>
      <c r="Z12" s="13">
        <v>0.0</v>
      </c>
      <c r="AA12" s="14">
        <v>72.7</v>
      </c>
      <c r="AB12" s="14">
        <v>14.54</v>
      </c>
      <c r="AC12" s="9">
        <f t="shared" si="9"/>
        <v>87.24</v>
      </c>
      <c r="AD12" s="13">
        <v>0.0</v>
      </c>
      <c r="AE12" s="14">
        <v>72.7</v>
      </c>
      <c r="AF12" s="14">
        <v>14.54</v>
      </c>
      <c r="AG12" s="9">
        <f t="shared" si="10"/>
        <v>87.24</v>
      </c>
      <c r="AH12" s="13">
        <v>0.0</v>
      </c>
      <c r="AI12" s="14">
        <v>72.7</v>
      </c>
      <c r="AJ12" s="14">
        <v>14.54</v>
      </c>
      <c r="AK12" s="9">
        <f t="shared" si="11"/>
        <v>87.24</v>
      </c>
      <c r="AL12" s="13">
        <v>0.0</v>
      </c>
      <c r="AM12" s="14">
        <v>72.7</v>
      </c>
      <c r="AN12" s="14">
        <v>14.54</v>
      </c>
      <c r="AO12" s="9">
        <f t="shared" si="12"/>
        <v>87.24</v>
      </c>
      <c r="AP12" s="14">
        <v>0.0</v>
      </c>
      <c r="AQ12" s="14">
        <v>72.7</v>
      </c>
      <c r="AR12" s="14">
        <v>14.54</v>
      </c>
      <c r="AS12" s="9">
        <f t="shared" si="13"/>
        <v>87.24</v>
      </c>
      <c r="AT12" s="14">
        <v>0.0</v>
      </c>
      <c r="AU12" s="14">
        <v>44.0</v>
      </c>
      <c r="AV12" s="14">
        <v>18.0</v>
      </c>
      <c r="AW12" s="9">
        <f t="shared" si="14"/>
        <v>62</v>
      </c>
      <c r="AX12" s="14">
        <v>0.0</v>
      </c>
      <c r="AY12" s="14">
        <v>44.0</v>
      </c>
      <c r="AZ12" s="14">
        <v>18.0</v>
      </c>
      <c r="BA12" s="9">
        <f t="shared" si="15"/>
        <v>62</v>
      </c>
      <c r="BB12" s="7"/>
      <c r="BC12" s="7"/>
      <c r="BD12" s="7"/>
      <c r="BE12" s="7"/>
      <c r="BF12" s="7"/>
      <c r="BG12" s="7"/>
      <c r="BH12" s="7"/>
      <c r="BI12" s="7"/>
      <c r="BJ12" s="7"/>
      <c r="BK12" s="7"/>
    </row>
    <row r="13" ht="12.0" customHeight="1">
      <c r="A13" s="15" t="s">
        <v>63</v>
      </c>
      <c r="B13" s="9">
        <f t="shared" si="2"/>
        <v>3772.13</v>
      </c>
      <c r="C13" s="10">
        <f t="shared" ref="C13:E13" si="25">F13+J13+N13+R13+V13+Z13+AD13+AH13+AL13+AP13+AT13+AX13</f>
        <v>27.29</v>
      </c>
      <c r="D13" s="11">
        <f t="shared" si="25"/>
        <v>3214.65</v>
      </c>
      <c r="E13" s="12">
        <f t="shared" si="25"/>
        <v>530.19</v>
      </c>
      <c r="F13" s="13">
        <v>27.29</v>
      </c>
      <c r="G13" s="14">
        <v>239.32</v>
      </c>
      <c r="H13" s="14">
        <v>7.79</v>
      </c>
      <c r="I13" s="9">
        <f t="shared" si="4"/>
        <v>274.4</v>
      </c>
      <c r="J13" s="14">
        <v>0.0</v>
      </c>
      <c r="K13" s="14">
        <v>405.04</v>
      </c>
      <c r="L13" s="14">
        <v>0.0</v>
      </c>
      <c r="M13" s="9">
        <f t="shared" si="5"/>
        <v>405.04</v>
      </c>
      <c r="N13" s="14">
        <v>0.0</v>
      </c>
      <c r="O13" s="14">
        <v>255.95</v>
      </c>
      <c r="P13" s="14">
        <v>0.0</v>
      </c>
      <c r="Q13" s="9">
        <f t="shared" si="6"/>
        <v>255.95</v>
      </c>
      <c r="R13" s="14">
        <v>0.0</v>
      </c>
      <c r="S13" s="14">
        <v>80.25</v>
      </c>
      <c r="T13" s="14">
        <v>0.0</v>
      </c>
      <c r="U13" s="9">
        <f t="shared" si="7"/>
        <v>80.25</v>
      </c>
      <c r="V13" s="14">
        <v>0.0</v>
      </c>
      <c r="W13" s="14">
        <v>0.0</v>
      </c>
      <c r="X13" s="14">
        <v>0.0</v>
      </c>
      <c r="Y13" s="9">
        <f t="shared" si="8"/>
        <v>0</v>
      </c>
      <c r="Z13" s="14">
        <v>0.0</v>
      </c>
      <c r="AA13" s="14">
        <v>273.18</v>
      </c>
      <c r="AB13" s="14">
        <v>0.0</v>
      </c>
      <c r="AC13" s="9">
        <f t="shared" si="9"/>
        <v>273.18</v>
      </c>
      <c r="AD13" s="14">
        <v>0.0</v>
      </c>
      <c r="AE13" s="14">
        <v>346.33</v>
      </c>
      <c r="AF13" s="14">
        <v>68.71</v>
      </c>
      <c r="AG13" s="9">
        <f t="shared" si="10"/>
        <v>415.04</v>
      </c>
      <c r="AH13" s="14">
        <v>0.0</v>
      </c>
      <c r="AI13" s="14">
        <v>189.58</v>
      </c>
      <c r="AJ13" s="14">
        <v>0.0</v>
      </c>
      <c r="AK13" s="9">
        <f t="shared" si="11"/>
        <v>189.58</v>
      </c>
      <c r="AL13" s="14">
        <v>0.0</v>
      </c>
      <c r="AM13" s="14">
        <v>226.71</v>
      </c>
      <c r="AN13" s="14">
        <v>68.71</v>
      </c>
      <c r="AO13" s="9">
        <f t="shared" si="12"/>
        <v>295.42</v>
      </c>
      <c r="AP13" s="14">
        <v>0.0</v>
      </c>
      <c r="AQ13" s="14">
        <v>372.07</v>
      </c>
      <c r="AR13" s="14">
        <v>17.6</v>
      </c>
      <c r="AS13" s="9">
        <f t="shared" si="13"/>
        <v>389.67</v>
      </c>
      <c r="AT13" s="14">
        <v>0.0</v>
      </c>
      <c r="AU13" s="14">
        <v>334.7</v>
      </c>
      <c r="AV13" s="14">
        <v>140.89</v>
      </c>
      <c r="AW13" s="9">
        <f t="shared" si="14"/>
        <v>475.59</v>
      </c>
      <c r="AX13" s="14">
        <v>0.0</v>
      </c>
      <c r="AY13" s="14">
        <v>491.52</v>
      </c>
      <c r="AZ13" s="14">
        <v>226.49</v>
      </c>
      <c r="BA13" s="9">
        <f t="shared" si="15"/>
        <v>718.01</v>
      </c>
      <c r="BB13" s="7"/>
      <c r="BC13" s="7"/>
      <c r="BD13" s="7"/>
      <c r="BE13" s="7"/>
      <c r="BF13" s="7"/>
      <c r="BG13" s="7"/>
      <c r="BH13" s="7"/>
      <c r="BI13" s="7"/>
      <c r="BJ13" s="7"/>
      <c r="BK13" s="7"/>
    </row>
    <row r="14" ht="12.0" customHeight="1">
      <c r="A14" s="15" t="s">
        <v>64</v>
      </c>
      <c r="B14" s="9">
        <f t="shared" si="2"/>
        <v>337.65</v>
      </c>
      <c r="C14" s="10">
        <f t="shared" ref="C14:E14" si="26">F14+J14+N14+R14+V14+Z14+AD14+AH14+AL14+AP14+AT14+AX14</f>
        <v>7.8</v>
      </c>
      <c r="D14" s="11">
        <f t="shared" si="26"/>
        <v>280.24</v>
      </c>
      <c r="E14" s="12">
        <f t="shared" si="26"/>
        <v>49.61</v>
      </c>
      <c r="F14" s="13">
        <v>0.0</v>
      </c>
      <c r="G14" s="14">
        <v>54.78</v>
      </c>
      <c r="H14" s="14">
        <v>0.0</v>
      </c>
      <c r="I14" s="9">
        <f t="shared" si="4"/>
        <v>54.78</v>
      </c>
      <c r="J14" s="14">
        <v>7.8</v>
      </c>
      <c r="K14" s="14">
        <v>7.8</v>
      </c>
      <c r="L14" s="14">
        <v>0.0</v>
      </c>
      <c r="M14" s="9">
        <f t="shared" si="5"/>
        <v>15.6</v>
      </c>
      <c r="N14" s="14">
        <v>0.0</v>
      </c>
      <c r="O14" s="14">
        <v>27.78</v>
      </c>
      <c r="P14" s="14">
        <v>0.0</v>
      </c>
      <c r="Q14" s="9">
        <f t="shared" si="6"/>
        <v>27.78</v>
      </c>
      <c r="R14" s="14">
        <v>0.0</v>
      </c>
      <c r="S14" s="14">
        <v>0.0</v>
      </c>
      <c r="T14" s="14">
        <v>0.0</v>
      </c>
      <c r="U14" s="9">
        <f t="shared" si="7"/>
        <v>0</v>
      </c>
      <c r="V14" s="14">
        <v>0.0</v>
      </c>
      <c r="W14" s="14">
        <v>15.59</v>
      </c>
      <c r="X14" s="14">
        <v>16.54</v>
      </c>
      <c r="Y14" s="9">
        <f t="shared" si="8"/>
        <v>32.13</v>
      </c>
      <c r="Z14" s="14">
        <v>0.0</v>
      </c>
      <c r="AA14" s="14">
        <v>3.88</v>
      </c>
      <c r="AB14" s="14">
        <v>0.0</v>
      </c>
      <c r="AC14" s="9">
        <f t="shared" si="9"/>
        <v>3.88</v>
      </c>
      <c r="AD14" s="14">
        <v>0.0</v>
      </c>
      <c r="AE14" s="14">
        <v>0.0</v>
      </c>
      <c r="AF14" s="14">
        <v>0.0</v>
      </c>
      <c r="AG14" s="9">
        <f t="shared" si="10"/>
        <v>0</v>
      </c>
      <c r="AH14" s="14">
        <v>0.0</v>
      </c>
      <c r="AI14" s="14">
        <v>31.16</v>
      </c>
      <c r="AJ14" s="14">
        <v>15.11</v>
      </c>
      <c r="AK14" s="9">
        <f t="shared" si="11"/>
        <v>46.27</v>
      </c>
      <c r="AL14" s="14">
        <v>0.0</v>
      </c>
      <c r="AM14" s="14">
        <v>0.0</v>
      </c>
      <c r="AN14" s="14">
        <v>0.0</v>
      </c>
      <c r="AO14" s="9">
        <f t="shared" si="12"/>
        <v>0</v>
      </c>
      <c r="AP14" s="14">
        <v>0.0</v>
      </c>
      <c r="AQ14" s="14">
        <v>107.12</v>
      </c>
      <c r="AR14" s="14">
        <v>17.96</v>
      </c>
      <c r="AS14" s="9">
        <f t="shared" si="13"/>
        <v>125.08</v>
      </c>
      <c r="AT14" s="14">
        <v>0.0</v>
      </c>
      <c r="AU14" s="14">
        <v>32.13</v>
      </c>
      <c r="AV14" s="14">
        <v>0.0</v>
      </c>
      <c r="AW14" s="9">
        <f t="shared" si="14"/>
        <v>32.13</v>
      </c>
      <c r="AX14" s="14">
        <v>0.0</v>
      </c>
      <c r="AY14" s="14">
        <v>0.0</v>
      </c>
      <c r="AZ14" s="14">
        <v>0.0</v>
      </c>
      <c r="BA14" s="9">
        <f t="shared" si="15"/>
        <v>0</v>
      </c>
      <c r="BB14" s="7"/>
      <c r="BC14" s="7"/>
      <c r="BD14" s="7"/>
      <c r="BE14" s="7"/>
      <c r="BF14" s="7"/>
      <c r="BG14" s="7"/>
      <c r="BH14" s="7"/>
      <c r="BI14" s="7"/>
      <c r="BJ14" s="7"/>
      <c r="BK14" s="7"/>
    </row>
    <row r="15" ht="12.0" customHeight="1">
      <c r="A15" s="15" t="s">
        <v>65</v>
      </c>
      <c r="B15" s="9">
        <f t="shared" si="2"/>
        <v>359</v>
      </c>
      <c r="C15" s="10">
        <f t="shared" ref="C15:E15" si="27">F15+J15+N15+R15+V15+Z15+AD15+AH15+AL15+AP15+AT15+AX15</f>
        <v>0</v>
      </c>
      <c r="D15" s="11">
        <f t="shared" si="27"/>
        <v>107</v>
      </c>
      <c r="E15" s="12">
        <f t="shared" si="27"/>
        <v>252</v>
      </c>
      <c r="F15" s="13">
        <v>0.0</v>
      </c>
      <c r="G15" s="14">
        <v>32.0</v>
      </c>
      <c r="H15" s="14">
        <v>21.0</v>
      </c>
      <c r="I15" s="9">
        <f t="shared" si="4"/>
        <v>53</v>
      </c>
      <c r="J15" s="13">
        <v>0.0</v>
      </c>
      <c r="K15" s="14">
        <v>32.0</v>
      </c>
      <c r="L15" s="14">
        <v>21.0</v>
      </c>
      <c r="M15" s="9">
        <f t="shared" si="5"/>
        <v>53</v>
      </c>
      <c r="N15" s="13">
        <v>0.0</v>
      </c>
      <c r="O15" s="14">
        <v>32.0</v>
      </c>
      <c r="P15" s="14">
        <v>21.0</v>
      </c>
      <c r="Q15" s="9">
        <f t="shared" si="6"/>
        <v>53</v>
      </c>
      <c r="R15" s="14">
        <v>0.0</v>
      </c>
      <c r="S15" s="14">
        <v>11.0</v>
      </c>
      <c r="T15" s="14">
        <v>21.0</v>
      </c>
      <c r="U15" s="9">
        <f t="shared" si="7"/>
        <v>32</v>
      </c>
      <c r="V15" s="14">
        <v>0.0</v>
      </c>
      <c r="W15" s="14">
        <v>0.0</v>
      </c>
      <c r="X15" s="14">
        <v>21.0</v>
      </c>
      <c r="Y15" s="9">
        <f t="shared" si="8"/>
        <v>21</v>
      </c>
      <c r="Z15" s="14">
        <v>0.0</v>
      </c>
      <c r="AA15" s="14">
        <v>0.0</v>
      </c>
      <c r="AB15" s="14">
        <v>21.0</v>
      </c>
      <c r="AC15" s="9">
        <f t="shared" si="9"/>
        <v>21</v>
      </c>
      <c r="AD15" s="14">
        <v>0.0</v>
      </c>
      <c r="AE15" s="14">
        <v>0.0</v>
      </c>
      <c r="AF15" s="14">
        <v>21.0</v>
      </c>
      <c r="AG15" s="9">
        <f t="shared" si="10"/>
        <v>21</v>
      </c>
      <c r="AH15" s="14">
        <v>0.0</v>
      </c>
      <c r="AI15" s="14">
        <v>0.0</v>
      </c>
      <c r="AJ15" s="14">
        <v>21.0</v>
      </c>
      <c r="AK15" s="9">
        <f t="shared" si="11"/>
        <v>21</v>
      </c>
      <c r="AL15" s="14">
        <v>0.0</v>
      </c>
      <c r="AM15" s="14">
        <v>0.0</v>
      </c>
      <c r="AN15" s="14">
        <v>21.0</v>
      </c>
      <c r="AO15" s="9">
        <f t="shared" si="12"/>
        <v>21</v>
      </c>
      <c r="AP15" s="14">
        <v>0.0</v>
      </c>
      <c r="AQ15" s="14">
        <v>0.0</v>
      </c>
      <c r="AR15" s="14">
        <v>21.0</v>
      </c>
      <c r="AS15" s="9">
        <f t="shared" si="13"/>
        <v>21</v>
      </c>
      <c r="AT15" s="14">
        <v>0.0</v>
      </c>
      <c r="AU15" s="14">
        <v>0.0</v>
      </c>
      <c r="AV15" s="14">
        <v>21.0</v>
      </c>
      <c r="AW15" s="9">
        <f t="shared" si="14"/>
        <v>21</v>
      </c>
      <c r="AX15" s="14">
        <v>0.0</v>
      </c>
      <c r="AY15" s="14">
        <v>0.0</v>
      </c>
      <c r="AZ15" s="14">
        <v>21.0</v>
      </c>
      <c r="BA15" s="9">
        <f t="shared" si="15"/>
        <v>21</v>
      </c>
      <c r="BB15" s="7"/>
      <c r="BC15" s="7"/>
      <c r="BD15" s="7"/>
      <c r="BE15" s="7"/>
      <c r="BF15" s="7"/>
      <c r="BG15" s="7"/>
      <c r="BH15" s="7"/>
      <c r="BI15" s="7"/>
      <c r="BJ15" s="7"/>
      <c r="BK15" s="7"/>
    </row>
    <row r="16" ht="12.0" customHeight="1">
      <c r="A16" s="17" t="s">
        <v>66</v>
      </c>
      <c r="B16" s="9">
        <f t="shared" si="2"/>
        <v>12992.64</v>
      </c>
      <c r="C16" s="10">
        <f t="shared" ref="C16:E16" si="28">F16+J16+N16+R16+V16+Z16+AD16+AH16+AL16+AP16+AT16+AX16</f>
        <v>0</v>
      </c>
      <c r="D16" s="11">
        <f t="shared" si="28"/>
        <v>0</v>
      </c>
      <c r="E16" s="12">
        <f t="shared" si="28"/>
        <v>0</v>
      </c>
      <c r="F16" s="13">
        <v>0.0</v>
      </c>
      <c r="G16" s="14">
        <v>0.0</v>
      </c>
      <c r="H16" s="14">
        <v>0.0</v>
      </c>
      <c r="I16" s="9">
        <v>1082.72</v>
      </c>
      <c r="J16" s="14">
        <v>0.0</v>
      </c>
      <c r="K16" s="14">
        <v>0.0</v>
      </c>
      <c r="L16" s="14">
        <v>0.0</v>
      </c>
      <c r="M16" s="9">
        <v>1082.72</v>
      </c>
      <c r="N16" s="14">
        <v>0.0</v>
      </c>
      <c r="O16" s="14">
        <v>0.0</v>
      </c>
      <c r="P16" s="14">
        <v>0.0</v>
      </c>
      <c r="Q16" s="9">
        <v>1082.72</v>
      </c>
      <c r="R16" s="14">
        <v>0.0</v>
      </c>
      <c r="S16" s="14">
        <v>0.0</v>
      </c>
      <c r="T16" s="14">
        <v>0.0</v>
      </c>
      <c r="U16" s="9">
        <v>1082.72</v>
      </c>
      <c r="V16" s="14">
        <v>0.0</v>
      </c>
      <c r="W16" s="14">
        <v>0.0</v>
      </c>
      <c r="X16" s="14">
        <v>0.0</v>
      </c>
      <c r="Y16" s="9">
        <v>1082.72</v>
      </c>
      <c r="Z16" s="14">
        <v>0.0</v>
      </c>
      <c r="AA16" s="14">
        <v>0.0</v>
      </c>
      <c r="AB16" s="14">
        <v>0.0</v>
      </c>
      <c r="AC16" s="9">
        <v>1082.72</v>
      </c>
      <c r="AD16" s="14">
        <v>0.0</v>
      </c>
      <c r="AE16" s="14">
        <v>0.0</v>
      </c>
      <c r="AF16" s="14">
        <v>0.0</v>
      </c>
      <c r="AG16" s="9">
        <v>1082.72</v>
      </c>
      <c r="AH16" s="14">
        <v>0.0</v>
      </c>
      <c r="AI16" s="14">
        <v>0.0</v>
      </c>
      <c r="AJ16" s="14">
        <v>0.0</v>
      </c>
      <c r="AK16" s="9">
        <v>1082.72</v>
      </c>
      <c r="AL16" s="14">
        <v>0.0</v>
      </c>
      <c r="AM16" s="14">
        <v>0.0</v>
      </c>
      <c r="AN16" s="14">
        <v>0.0</v>
      </c>
      <c r="AO16" s="9">
        <v>1082.72</v>
      </c>
      <c r="AP16" s="14">
        <v>0.0</v>
      </c>
      <c r="AQ16" s="14">
        <v>0.0</v>
      </c>
      <c r="AR16" s="14">
        <v>0.0</v>
      </c>
      <c r="AS16" s="9">
        <v>1082.72</v>
      </c>
      <c r="AT16" s="14">
        <v>0.0</v>
      </c>
      <c r="AU16" s="14">
        <v>0.0</v>
      </c>
      <c r="AV16" s="14">
        <v>0.0</v>
      </c>
      <c r="AW16" s="9">
        <v>1082.72</v>
      </c>
      <c r="AX16" s="14">
        <v>0.0</v>
      </c>
      <c r="AY16" s="14">
        <v>0.0</v>
      </c>
      <c r="AZ16" s="14">
        <v>0.0</v>
      </c>
      <c r="BA16" s="9">
        <v>1082.72</v>
      </c>
      <c r="BB16" s="7"/>
      <c r="BC16" s="7"/>
      <c r="BD16" s="7"/>
      <c r="BE16" s="7"/>
      <c r="BF16" s="7"/>
      <c r="BG16" s="7"/>
      <c r="BH16" s="7"/>
      <c r="BI16" s="7"/>
      <c r="BJ16" s="7"/>
      <c r="BK16" s="7"/>
    </row>
    <row r="17" ht="12.0" customHeight="1">
      <c r="A17" s="17" t="s">
        <v>67</v>
      </c>
      <c r="B17" s="9">
        <f t="shared" si="2"/>
        <v>2242.23</v>
      </c>
      <c r="C17" s="10">
        <f t="shared" ref="C17:E17" si="29">F17+J17+N17+R17+V17+Z17+AD17+AH17+AL17+AP17+AT17+AX17</f>
        <v>0</v>
      </c>
      <c r="D17" s="11">
        <f t="shared" si="29"/>
        <v>0</v>
      </c>
      <c r="E17" s="12">
        <f t="shared" si="29"/>
        <v>0</v>
      </c>
      <c r="F17" s="13">
        <v>0.0</v>
      </c>
      <c r="G17" s="14">
        <v>0.0</v>
      </c>
      <c r="H17" s="14">
        <v>0.0</v>
      </c>
      <c r="I17" s="9">
        <v>73.75</v>
      </c>
      <c r="J17" s="14">
        <v>0.0</v>
      </c>
      <c r="K17" s="14">
        <v>0.0</v>
      </c>
      <c r="L17" s="14">
        <v>0.0</v>
      </c>
      <c r="M17" s="9">
        <v>261.84</v>
      </c>
      <c r="N17" s="14">
        <v>0.0</v>
      </c>
      <c r="O17" s="14">
        <v>0.0</v>
      </c>
      <c r="P17" s="14">
        <v>0.0</v>
      </c>
      <c r="Q17" s="9">
        <v>346.67</v>
      </c>
      <c r="R17" s="14">
        <v>0.0</v>
      </c>
      <c r="S17" s="14">
        <v>0.0</v>
      </c>
      <c r="T17" s="14">
        <v>0.0</v>
      </c>
      <c r="U17" s="9">
        <v>173.33</v>
      </c>
      <c r="V17" s="14">
        <v>0.0</v>
      </c>
      <c r="W17" s="14">
        <v>0.0</v>
      </c>
      <c r="X17" s="14">
        <v>0.0</v>
      </c>
      <c r="Y17" s="9">
        <v>173.33</v>
      </c>
      <c r="Z17" s="14">
        <v>0.0</v>
      </c>
      <c r="AA17" s="14">
        <v>0.0</v>
      </c>
      <c r="AB17" s="14">
        <v>0.0</v>
      </c>
      <c r="AC17" s="9">
        <v>173.33</v>
      </c>
      <c r="AD17" s="14">
        <v>0.0</v>
      </c>
      <c r="AE17" s="14">
        <v>0.0</v>
      </c>
      <c r="AF17" s="14">
        <v>0.0</v>
      </c>
      <c r="AG17" s="9">
        <v>173.33</v>
      </c>
      <c r="AH17" s="14">
        <v>0.0</v>
      </c>
      <c r="AI17" s="14">
        <v>0.0</v>
      </c>
      <c r="AJ17" s="14">
        <v>0.0</v>
      </c>
      <c r="AK17" s="9">
        <v>173.33</v>
      </c>
      <c r="AL17" s="14">
        <v>0.0</v>
      </c>
      <c r="AM17" s="14">
        <v>0.0</v>
      </c>
      <c r="AN17" s="14">
        <v>0.0</v>
      </c>
      <c r="AO17" s="9">
        <v>173.33</v>
      </c>
      <c r="AP17" s="14">
        <v>0.0</v>
      </c>
      <c r="AQ17" s="14">
        <v>0.0</v>
      </c>
      <c r="AR17" s="14">
        <v>0.0</v>
      </c>
      <c r="AS17" s="9">
        <v>173.33</v>
      </c>
      <c r="AT17" s="14">
        <v>0.0</v>
      </c>
      <c r="AU17" s="14">
        <v>0.0</v>
      </c>
      <c r="AV17" s="14">
        <v>0.0</v>
      </c>
      <c r="AW17" s="9">
        <v>173.33</v>
      </c>
      <c r="AX17" s="14">
        <v>0.0</v>
      </c>
      <c r="AY17" s="14">
        <v>0.0</v>
      </c>
      <c r="AZ17" s="14">
        <v>0.0</v>
      </c>
      <c r="BA17" s="9">
        <v>173.33</v>
      </c>
      <c r="BB17" s="7"/>
      <c r="BC17" s="7"/>
      <c r="BD17" s="7"/>
      <c r="BE17" s="7"/>
      <c r="BF17" s="7"/>
      <c r="BG17" s="7"/>
      <c r="BH17" s="7"/>
      <c r="BI17" s="7"/>
      <c r="BJ17" s="7"/>
      <c r="BK17" s="7"/>
    </row>
    <row r="18" ht="12.0" customHeight="1">
      <c r="A18" s="1" t="s">
        <v>68</v>
      </c>
      <c r="B18" s="18">
        <f t="shared" si="2"/>
        <v>599024.32</v>
      </c>
      <c r="C18" s="18">
        <f t="shared" ref="C18:BA18" si="30">SUM(C2:C17)</f>
        <v>197691.44</v>
      </c>
      <c r="D18" s="18">
        <f t="shared" si="30"/>
        <v>328234.2</v>
      </c>
      <c r="E18" s="18">
        <f t="shared" si="30"/>
        <v>57863.81</v>
      </c>
      <c r="F18" s="19">
        <f t="shared" si="30"/>
        <v>15545.22</v>
      </c>
      <c r="G18" s="18">
        <f t="shared" si="30"/>
        <v>21641.75</v>
      </c>
      <c r="H18" s="18">
        <f t="shared" si="30"/>
        <v>4662.75</v>
      </c>
      <c r="I18" s="18">
        <f t="shared" si="30"/>
        <v>43006.19</v>
      </c>
      <c r="J18" s="18">
        <f t="shared" si="30"/>
        <v>15880.96</v>
      </c>
      <c r="K18" s="18">
        <f t="shared" si="30"/>
        <v>24409.74</v>
      </c>
      <c r="L18" s="18">
        <f t="shared" si="30"/>
        <v>4403.24</v>
      </c>
      <c r="M18" s="18">
        <f t="shared" si="30"/>
        <v>46038.5</v>
      </c>
      <c r="N18" s="18">
        <f t="shared" si="30"/>
        <v>15363.13</v>
      </c>
      <c r="O18" s="18">
        <f t="shared" si="30"/>
        <v>24797.63</v>
      </c>
      <c r="P18" s="18">
        <f t="shared" si="30"/>
        <v>4611.2</v>
      </c>
      <c r="Q18" s="18">
        <f t="shared" si="30"/>
        <v>46201.35</v>
      </c>
      <c r="R18" s="18">
        <f t="shared" si="30"/>
        <v>15311.29</v>
      </c>
      <c r="S18" s="18">
        <f t="shared" si="30"/>
        <v>23870.1</v>
      </c>
      <c r="T18" s="18">
        <f t="shared" si="30"/>
        <v>4922.31</v>
      </c>
      <c r="U18" s="18">
        <f t="shared" si="30"/>
        <v>45359.75</v>
      </c>
      <c r="V18" s="18">
        <f t="shared" si="30"/>
        <v>15883.41</v>
      </c>
      <c r="W18" s="18">
        <f t="shared" si="30"/>
        <v>23996.42</v>
      </c>
      <c r="X18" s="18">
        <f t="shared" si="30"/>
        <v>4571.21</v>
      </c>
      <c r="Y18" s="18">
        <f t="shared" si="30"/>
        <v>45707.09</v>
      </c>
      <c r="Z18" s="18">
        <f t="shared" si="30"/>
        <v>15887.33</v>
      </c>
      <c r="AA18" s="18">
        <f t="shared" si="30"/>
        <v>27489.91</v>
      </c>
      <c r="AB18" s="18">
        <f t="shared" si="30"/>
        <v>4502.3</v>
      </c>
      <c r="AC18" s="18">
        <f t="shared" si="30"/>
        <v>49135.59</v>
      </c>
      <c r="AD18" s="18">
        <f t="shared" si="30"/>
        <v>22550.55</v>
      </c>
      <c r="AE18" s="18">
        <f t="shared" si="30"/>
        <v>38261.67</v>
      </c>
      <c r="AF18" s="18">
        <f t="shared" si="30"/>
        <v>7061.09</v>
      </c>
      <c r="AG18" s="18">
        <f t="shared" si="30"/>
        <v>69129.36</v>
      </c>
      <c r="AH18" s="18">
        <f t="shared" si="30"/>
        <v>14374.34</v>
      </c>
      <c r="AI18" s="18">
        <f t="shared" si="30"/>
        <v>26656.41</v>
      </c>
      <c r="AJ18" s="18">
        <f t="shared" si="30"/>
        <v>4318.02</v>
      </c>
      <c r="AK18" s="18">
        <f t="shared" si="30"/>
        <v>46604.82</v>
      </c>
      <c r="AL18" s="18">
        <f t="shared" si="30"/>
        <v>15807.31</v>
      </c>
      <c r="AM18" s="18">
        <f t="shared" si="30"/>
        <v>27991.76</v>
      </c>
      <c r="AN18" s="18">
        <f t="shared" si="30"/>
        <v>4099.64</v>
      </c>
      <c r="AO18" s="18">
        <f t="shared" si="30"/>
        <v>49154.76</v>
      </c>
      <c r="AP18" s="18">
        <f t="shared" si="30"/>
        <v>14303.57</v>
      </c>
      <c r="AQ18" s="18">
        <f t="shared" si="30"/>
        <v>27595.58</v>
      </c>
      <c r="AR18" s="18">
        <f t="shared" si="30"/>
        <v>3972.34</v>
      </c>
      <c r="AS18" s="18">
        <f t="shared" si="30"/>
        <v>47127.54</v>
      </c>
      <c r="AT18" s="18">
        <f t="shared" si="30"/>
        <v>14445.86</v>
      </c>
      <c r="AU18" s="18">
        <f t="shared" si="30"/>
        <v>27207.11</v>
      </c>
      <c r="AV18" s="18">
        <f t="shared" si="30"/>
        <v>4252.5</v>
      </c>
      <c r="AW18" s="18">
        <f t="shared" si="30"/>
        <v>47161.52</v>
      </c>
      <c r="AX18" s="18">
        <f t="shared" si="30"/>
        <v>22338.47</v>
      </c>
      <c r="AY18" s="18">
        <f t="shared" si="30"/>
        <v>34316.12</v>
      </c>
      <c r="AZ18" s="18">
        <f t="shared" si="30"/>
        <v>6487.21</v>
      </c>
      <c r="BA18" s="18">
        <f t="shared" si="30"/>
        <v>64397.85</v>
      </c>
      <c r="BB18" s="7"/>
      <c r="BC18" s="7"/>
      <c r="BD18" s="7"/>
      <c r="BE18" s="7"/>
      <c r="BF18" s="7"/>
      <c r="BG18" s="7"/>
      <c r="BH18" s="7"/>
      <c r="BI18" s="7"/>
      <c r="BJ18" s="7"/>
      <c r="BK18" s="7"/>
    </row>
    <row r="19" ht="12.0" customHeight="1">
      <c r="A19" s="4" t="s">
        <v>69</v>
      </c>
      <c r="B19" s="2" t="s">
        <v>1</v>
      </c>
      <c r="C19" s="3" t="s">
        <v>2</v>
      </c>
      <c r="D19" s="4" t="s">
        <v>3</v>
      </c>
      <c r="E19" s="5" t="s">
        <v>4</v>
      </c>
      <c r="F19" s="6" t="s">
        <v>5</v>
      </c>
      <c r="G19" s="4" t="s">
        <v>6</v>
      </c>
      <c r="H19" s="5" t="s">
        <v>7</v>
      </c>
      <c r="I19" s="2" t="s">
        <v>8</v>
      </c>
      <c r="J19" s="3" t="s">
        <v>9</v>
      </c>
      <c r="K19" s="4" t="s">
        <v>10</v>
      </c>
      <c r="L19" s="5" t="s">
        <v>11</v>
      </c>
      <c r="M19" s="2" t="s">
        <v>12</v>
      </c>
      <c r="N19" s="3" t="s">
        <v>13</v>
      </c>
      <c r="O19" s="4" t="s">
        <v>14</v>
      </c>
      <c r="P19" s="5" t="s">
        <v>15</v>
      </c>
      <c r="Q19" s="2" t="s">
        <v>16</v>
      </c>
      <c r="R19" s="3" t="s">
        <v>17</v>
      </c>
      <c r="S19" s="4" t="s">
        <v>18</v>
      </c>
      <c r="T19" s="5" t="s">
        <v>19</v>
      </c>
      <c r="U19" s="2" t="s">
        <v>20</v>
      </c>
      <c r="V19" s="3" t="s">
        <v>21</v>
      </c>
      <c r="W19" s="4" t="s">
        <v>22</v>
      </c>
      <c r="X19" s="5" t="s">
        <v>23</v>
      </c>
      <c r="Y19" s="2" t="s">
        <v>24</v>
      </c>
      <c r="Z19" s="3" t="s">
        <v>25</v>
      </c>
      <c r="AA19" s="4" t="s">
        <v>26</v>
      </c>
      <c r="AB19" s="5" t="s">
        <v>27</v>
      </c>
      <c r="AC19" s="2" t="s">
        <v>28</v>
      </c>
      <c r="AD19" s="3" t="s">
        <v>29</v>
      </c>
      <c r="AE19" s="4" t="s">
        <v>30</v>
      </c>
      <c r="AF19" s="5" t="s">
        <v>31</v>
      </c>
      <c r="AG19" s="2" t="s">
        <v>32</v>
      </c>
      <c r="AH19" s="3" t="s">
        <v>33</v>
      </c>
      <c r="AI19" s="4" t="s">
        <v>34</v>
      </c>
      <c r="AJ19" s="5" t="s">
        <v>35</v>
      </c>
      <c r="AK19" s="2" t="s">
        <v>36</v>
      </c>
      <c r="AL19" s="3" t="s">
        <v>37</v>
      </c>
      <c r="AM19" s="4" t="s">
        <v>38</v>
      </c>
      <c r="AN19" s="5" t="s">
        <v>38</v>
      </c>
      <c r="AO19" s="2" t="s">
        <v>39</v>
      </c>
      <c r="AP19" s="3" t="s">
        <v>40</v>
      </c>
      <c r="AQ19" s="4" t="s">
        <v>41</v>
      </c>
      <c r="AR19" s="5" t="s">
        <v>42</v>
      </c>
      <c r="AS19" s="2" t="s">
        <v>43</v>
      </c>
      <c r="AT19" s="3" t="s">
        <v>44</v>
      </c>
      <c r="AU19" s="4" t="s">
        <v>45</v>
      </c>
      <c r="AV19" s="5" t="s">
        <v>46</v>
      </c>
      <c r="AW19" s="2" t="s">
        <v>47</v>
      </c>
      <c r="AX19" s="3" t="s">
        <v>48</v>
      </c>
      <c r="AY19" s="4" t="s">
        <v>49</v>
      </c>
      <c r="AZ19" s="5" t="s">
        <v>50</v>
      </c>
      <c r="BA19" s="2" t="s">
        <v>51</v>
      </c>
      <c r="BB19" s="7"/>
      <c r="BC19" s="7"/>
      <c r="BD19" s="7"/>
      <c r="BE19" s="7"/>
      <c r="BF19" s="7"/>
      <c r="BG19" s="7"/>
      <c r="BH19" s="7"/>
      <c r="BI19" s="7"/>
      <c r="BJ19" s="7"/>
      <c r="BK19" s="7"/>
    </row>
    <row r="20" ht="12.0" customHeight="1">
      <c r="A20" s="8" t="s">
        <v>70</v>
      </c>
      <c r="B20" s="9">
        <f t="shared" ref="B20:B37" si="32">I20+M20+Q20+U20+Y20+AC20+AG20+AK20+AO20+AS20+AW20+BA20</f>
        <v>10470.42</v>
      </c>
      <c r="C20" s="10">
        <f t="shared" ref="C20:E20" si="31">F20+J20+N20+R20+V20+Z20+AD20+AH20+AL20+AP20+AT20+AX20</f>
        <v>80.16</v>
      </c>
      <c r="D20" s="11">
        <f t="shared" si="31"/>
        <v>10390.26</v>
      </c>
      <c r="E20" s="12">
        <f t="shared" si="31"/>
        <v>0</v>
      </c>
      <c r="F20" s="13">
        <v>0.0</v>
      </c>
      <c r="G20" s="14">
        <v>0.0</v>
      </c>
      <c r="H20" s="14">
        <v>0.0</v>
      </c>
      <c r="I20" s="9">
        <f t="shared" ref="I20:I33" si="34">F20+G20+H20</f>
        <v>0</v>
      </c>
      <c r="J20" s="14">
        <v>0.0</v>
      </c>
      <c r="K20" s="14">
        <v>0.0</v>
      </c>
      <c r="L20" s="14">
        <v>0.0</v>
      </c>
      <c r="M20" s="9">
        <f t="shared" ref="M20:M33" si="35">J20+K20+L20</f>
        <v>0</v>
      </c>
      <c r="N20" s="14">
        <v>0.0</v>
      </c>
      <c r="O20" s="14">
        <v>430.0</v>
      </c>
      <c r="P20" s="14">
        <v>0.0</v>
      </c>
      <c r="Q20" s="9">
        <f t="shared" ref="Q20:Q33" si="36">N20+O20+P20</f>
        <v>430</v>
      </c>
      <c r="R20" s="14">
        <v>0.0</v>
      </c>
      <c r="S20" s="14">
        <v>21.75</v>
      </c>
      <c r="T20" s="14">
        <v>0.0</v>
      </c>
      <c r="U20" s="9">
        <f t="shared" ref="U20:U33" si="37">R20+S20+T20</f>
        <v>21.75</v>
      </c>
      <c r="V20" s="14">
        <v>80.16</v>
      </c>
      <c r="W20" s="14">
        <v>8041.88</v>
      </c>
      <c r="X20" s="14">
        <v>0.0</v>
      </c>
      <c r="Y20" s="9">
        <f t="shared" ref="Y20:Y33" si="38">V20+W20+X20</f>
        <v>8122.04</v>
      </c>
      <c r="Z20" s="14">
        <v>0.0</v>
      </c>
      <c r="AA20" s="14">
        <v>1696.63</v>
      </c>
      <c r="AB20" s="14">
        <v>0.0</v>
      </c>
      <c r="AC20" s="9">
        <f t="shared" ref="AC20:AC34" si="39">Z20+AA20+AB20</f>
        <v>1696.63</v>
      </c>
      <c r="AD20" s="14">
        <v>0.0</v>
      </c>
      <c r="AE20" s="14">
        <v>200.0</v>
      </c>
      <c r="AF20" s="14">
        <v>0.0</v>
      </c>
      <c r="AG20" s="9">
        <f t="shared" ref="AG20:AG34" si="40">AD20+AE20+AF20</f>
        <v>200</v>
      </c>
      <c r="AH20" s="14">
        <v>0.0</v>
      </c>
      <c r="AI20" s="14">
        <v>0.0</v>
      </c>
      <c r="AJ20" s="14">
        <v>0.0</v>
      </c>
      <c r="AK20" s="9">
        <f t="shared" ref="AK20:AK34" si="41">AH20+AI20+AJ20</f>
        <v>0</v>
      </c>
      <c r="AL20" s="14">
        <v>0.0</v>
      </c>
      <c r="AM20" s="14">
        <v>0.0</v>
      </c>
      <c r="AN20" s="14">
        <v>0.0</v>
      </c>
      <c r="AO20" s="9">
        <f t="shared" ref="AO20:AO34" si="42">AL20+AM20+AN20</f>
        <v>0</v>
      </c>
      <c r="AP20" s="14">
        <v>0.0</v>
      </c>
      <c r="AQ20" s="14">
        <v>0.0</v>
      </c>
      <c r="AR20" s="14">
        <v>0.0</v>
      </c>
      <c r="AS20" s="9">
        <f t="shared" ref="AS20:AS34" si="43">AP20+AQ20+AR20</f>
        <v>0</v>
      </c>
      <c r="AT20" s="14">
        <v>0.0</v>
      </c>
      <c r="AU20" s="14">
        <v>0.0</v>
      </c>
      <c r="AV20" s="14">
        <v>0.0</v>
      </c>
      <c r="AW20" s="9">
        <f t="shared" ref="AW20:AW34" si="44">AT20+AU20+AV20</f>
        <v>0</v>
      </c>
      <c r="AX20" s="14">
        <v>0.0</v>
      </c>
      <c r="AY20" s="14">
        <v>0.0</v>
      </c>
      <c r="AZ20" s="14">
        <v>0.0</v>
      </c>
      <c r="BA20" s="9">
        <f t="shared" ref="BA20:BA34" si="45">AX20+AY20+AZ20</f>
        <v>0</v>
      </c>
      <c r="BB20" s="7"/>
      <c r="BC20" s="7"/>
      <c r="BD20" s="7"/>
      <c r="BE20" s="7"/>
      <c r="BF20" s="7"/>
      <c r="BG20" s="7"/>
      <c r="BH20" s="7"/>
      <c r="BI20" s="7"/>
      <c r="BJ20" s="7"/>
      <c r="BK20" s="7"/>
    </row>
    <row r="21" ht="12.0" customHeight="1">
      <c r="A21" s="20" t="s">
        <v>71</v>
      </c>
      <c r="B21" s="9">
        <f t="shared" si="32"/>
        <v>1693</v>
      </c>
      <c r="C21" s="10">
        <f t="shared" ref="C21:E21" si="33">F21+J21+N21+R21+V21+Z21+AD21+AH21+AL21+AP21+AT21+AX21</f>
        <v>729</v>
      </c>
      <c r="D21" s="11">
        <f t="shared" si="33"/>
        <v>964</v>
      </c>
      <c r="E21" s="12">
        <f t="shared" si="33"/>
        <v>0</v>
      </c>
      <c r="F21" s="13">
        <v>60.75</v>
      </c>
      <c r="G21" s="14">
        <v>60.75</v>
      </c>
      <c r="H21" s="14">
        <v>0.0</v>
      </c>
      <c r="I21" s="9">
        <f t="shared" si="34"/>
        <v>121.5</v>
      </c>
      <c r="J21" s="14">
        <v>60.75</v>
      </c>
      <c r="K21" s="14">
        <v>60.75</v>
      </c>
      <c r="L21" s="14">
        <v>0.0</v>
      </c>
      <c r="M21" s="9">
        <f t="shared" si="35"/>
        <v>121.5</v>
      </c>
      <c r="N21" s="14">
        <v>60.75</v>
      </c>
      <c r="O21" s="14">
        <v>60.75</v>
      </c>
      <c r="P21" s="14">
        <v>0.0</v>
      </c>
      <c r="Q21" s="9">
        <f t="shared" si="36"/>
        <v>121.5</v>
      </c>
      <c r="R21" s="14">
        <v>60.75</v>
      </c>
      <c r="S21" s="14">
        <v>60.75</v>
      </c>
      <c r="T21" s="14">
        <v>0.0</v>
      </c>
      <c r="U21" s="9">
        <f t="shared" si="37"/>
        <v>121.5</v>
      </c>
      <c r="V21" s="14">
        <v>60.75</v>
      </c>
      <c r="W21" s="14">
        <v>60.75</v>
      </c>
      <c r="X21" s="14">
        <v>0.0</v>
      </c>
      <c r="Y21" s="9">
        <f t="shared" si="38"/>
        <v>121.5</v>
      </c>
      <c r="Z21" s="14">
        <v>60.75</v>
      </c>
      <c r="AA21" s="14">
        <v>60.75</v>
      </c>
      <c r="AB21" s="14">
        <v>0.0</v>
      </c>
      <c r="AC21" s="9">
        <f t="shared" si="39"/>
        <v>121.5</v>
      </c>
      <c r="AD21" s="14">
        <v>60.75</v>
      </c>
      <c r="AE21" s="14">
        <v>60.75</v>
      </c>
      <c r="AF21" s="14">
        <v>0.0</v>
      </c>
      <c r="AG21" s="9">
        <f t="shared" si="40"/>
        <v>121.5</v>
      </c>
      <c r="AH21" s="14">
        <v>60.75</v>
      </c>
      <c r="AI21" s="14">
        <v>60.75</v>
      </c>
      <c r="AJ21" s="14">
        <v>0.0</v>
      </c>
      <c r="AK21" s="9">
        <f t="shared" si="41"/>
        <v>121.5</v>
      </c>
      <c r="AL21" s="14">
        <v>60.75</v>
      </c>
      <c r="AM21" s="14">
        <v>250.75</v>
      </c>
      <c r="AN21" s="14">
        <v>0.0</v>
      </c>
      <c r="AO21" s="9">
        <f t="shared" si="42"/>
        <v>311.5</v>
      </c>
      <c r="AP21" s="14">
        <v>60.75</v>
      </c>
      <c r="AQ21" s="14">
        <v>60.75</v>
      </c>
      <c r="AR21" s="14">
        <v>0.0</v>
      </c>
      <c r="AS21" s="9">
        <f t="shared" si="43"/>
        <v>121.5</v>
      </c>
      <c r="AT21" s="14">
        <v>60.75</v>
      </c>
      <c r="AU21" s="14">
        <v>60.75</v>
      </c>
      <c r="AV21" s="14">
        <v>0.0</v>
      </c>
      <c r="AW21" s="9">
        <f t="shared" si="44"/>
        <v>121.5</v>
      </c>
      <c r="AX21" s="14">
        <v>60.75</v>
      </c>
      <c r="AY21" s="14">
        <v>105.75</v>
      </c>
      <c r="AZ21" s="14">
        <v>0.0</v>
      </c>
      <c r="BA21" s="9">
        <f t="shared" si="45"/>
        <v>166.5</v>
      </c>
      <c r="BB21" s="7"/>
      <c r="BC21" s="7"/>
      <c r="BD21" s="7"/>
      <c r="BE21" s="7"/>
      <c r="BF21" s="7"/>
      <c r="BG21" s="7"/>
      <c r="BH21" s="7"/>
      <c r="BI21" s="7"/>
      <c r="BJ21" s="7"/>
      <c r="BK21" s="7"/>
    </row>
    <row r="22" ht="12.0" customHeight="1">
      <c r="A22" s="15" t="s">
        <v>72</v>
      </c>
      <c r="B22" s="9">
        <f t="shared" si="32"/>
        <v>4443.51</v>
      </c>
      <c r="C22" s="10">
        <f t="shared" ref="C22:E22" si="46">F22+J22+N22+R22+V22+Z22+AD22+AH22+AL22+AP22+AT22+AX22</f>
        <v>983.83</v>
      </c>
      <c r="D22" s="11">
        <f t="shared" si="46"/>
        <v>3139.3</v>
      </c>
      <c r="E22" s="12">
        <f t="shared" si="46"/>
        <v>320.38</v>
      </c>
      <c r="F22" s="13">
        <v>0.0</v>
      </c>
      <c r="G22" s="14">
        <v>44.48</v>
      </c>
      <c r="H22" s="14">
        <v>0.0</v>
      </c>
      <c r="I22" s="9">
        <f t="shared" si="34"/>
        <v>44.48</v>
      </c>
      <c r="J22" s="14">
        <v>56.55</v>
      </c>
      <c r="K22" s="14">
        <v>56.55</v>
      </c>
      <c r="L22" s="14">
        <v>0.0</v>
      </c>
      <c r="M22" s="9">
        <f t="shared" si="35"/>
        <v>113.1</v>
      </c>
      <c r="N22" s="14">
        <v>0.0</v>
      </c>
      <c r="O22" s="14">
        <v>1031.28</v>
      </c>
      <c r="P22" s="14">
        <v>0.0</v>
      </c>
      <c r="Q22" s="9">
        <f t="shared" si="36"/>
        <v>1031.28</v>
      </c>
      <c r="R22" s="14">
        <v>426.03</v>
      </c>
      <c r="S22" s="14">
        <v>142.15</v>
      </c>
      <c r="T22" s="14">
        <v>113.1</v>
      </c>
      <c r="U22" s="9">
        <f t="shared" si="37"/>
        <v>681.28</v>
      </c>
      <c r="V22" s="14">
        <v>211.64</v>
      </c>
      <c r="W22" s="14">
        <v>239.14</v>
      </c>
      <c r="X22" s="14">
        <v>0.0</v>
      </c>
      <c r="Y22" s="9">
        <f t="shared" si="38"/>
        <v>450.78</v>
      </c>
      <c r="Z22" s="14">
        <v>115.26</v>
      </c>
      <c r="AA22" s="14">
        <v>278.17</v>
      </c>
      <c r="AB22" s="14">
        <v>32.93</v>
      </c>
      <c r="AC22" s="9">
        <f t="shared" si="39"/>
        <v>426.36</v>
      </c>
      <c r="AD22" s="14">
        <v>0.0</v>
      </c>
      <c r="AE22" s="14">
        <v>0.0</v>
      </c>
      <c r="AF22" s="14">
        <v>0.0</v>
      </c>
      <c r="AG22" s="9">
        <f t="shared" si="40"/>
        <v>0</v>
      </c>
      <c r="AH22" s="14">
        <v>0.0</v>
      </c>
      <c r="AI22" s="14">
        <v>250.0</v>
      </c>
      <c r="AJ22" s="14">
        <v>0.0</v>
      </c>
      <c r="AK22" s="9">
        <f t="shared" si="41"/>
        <v>250</v>
      </c>
      <c r="AL22" s="14">
        <v>0.0</v>
      </c>
      <c r="AM22" s="14">
        <v>156.66</v>
      </c>
      <c r="AN22" s="14">
        <v>0.0</v>
      </c>
      <c r="AO22" s="9">
        <f t="shared" si="42"/>
        <v>156.66</v>
      </c>
      <c r="AP22" s="14">
        <v>0.0</v>
      </c>
      <c r="AQ22" s="14">
        <v>653.42</v>
      </c>
      <c r="AR22" s="14">
        <v>0.0</v>
      </c>
      <c r="AS22" s="9">
        <f t="shared" si="43"/>
        <v>653.42</v>
      </c>
      <c r="AT22" s="14">
        <v>0.0</v>
      </c>
      <c r="AU22" s="14">
        <v>113.1</v>
      </c>
      <c r="AV22" s="14">
        <v>0.0</v>
      </c>
      <c r="AW22" s="9">
        <f t="shared" si="44"/>
        <v>113.1</v>
      </c>
      <c r="AX22" s="14">
        <v>174.35</v>
      </c>
      <c r="AY22" s="14">
        <v>174.35</v>
      </c>
      <c r="AZ22" s="14">
        <v>174.35</v>
      </c>
      <c r="BA22" s="9">
        <f t="shared" si="45"/>
        <v>523.05</v>
      </c>
      <c r="BB22" s="7"/>
      <c r="BC22" s="7"/>
      <c r="BD22" s="7"/>
      <c r="BE22" s="7"/>
      <c r="BF22" s="7"/>
      <c r="BG22" s="7"/>
      <c r="BH22" s="7"/>
      <c r="BI22" s="7"/>
      <c r="BJ22" s="7"/>
      <c r="BK22" s="7"/>
    </row>
    <row r="23" ht="12.0" customHeight="1">
      <c r="A23" s="15" t="s">
        <v>73</v>
      </c>
      <c r="B23" s="9">
        <f t="shared" si="32"/>
        <v>6638.58</v>
      </c>
      <c r="C23" s="10">
        <f t="shared" ref="C23:E23" si="47">F23+J23+N23+R23+V23+Z23+AD23+AH23+AL23+AP23+AT23+AX23</f>
        <v>370</v>
      </c>
      <c r="D23" s="11">
        <f t="shared" si="47"/>
        <v>3099.25</v>
      </c>
      <c r="E23" s="12">
        <f t="shared" si="47"/>
        <v>3169.33</v>
      </c>
      <c r="F23" s="13">
        <v>370.0</v>
      </c>
      <c r="G23" s="14">
        <v>97.15</v>
      </c>
      <c r="H23" s="14">
        <v>765.56</v>
      </c>
      <c r="I23" s="9">
        <f t="shared" si="34"/>
        <v>1232.71</v>
      </c>
      <c r="J23" s="14">
        <v>0.0</v>
      </c>
      <c r="K23" s="14">
        <v>0.0</v>
      </c>
      <c r="L23" s="14">
        <v>0.0</v>
      </c>
      <c r="M23" s="9">
        <f t="shared" si="35"/>
        <v>0</v>
      </c>
      <c r="N23" s="14">
        <v>0.0</v>
      </c>
      <c r="O23" s="14">
        <v>713.31</v>
      </c>
      <c r="P23" s="14">
        <v>0.0</v>
      </c>
      <c r="Q23" s="9">
        <f t="shared" si="36"/>
        <v>713.31</v>
      </c>
      <c r="R23" s="14">
        <v>0.0</v>
      </c>
      <c r="S23" s="14">
        <v>0.0</v>
      </c>
      <c r="T23" s="14">
        <v>300.0</v>
      </c>
      <c r="U23" s="9">
        <f t="shared" si="37"/>
        <v>300</v>
      </c>
      <c r="V23" s="14">
        <v>0.0</v>
      </c>
      <c r="W23" s="14">
        <v>0.0</v>
      </c>
      <c r="X23" s="14">
        <v>0.0</v>
      </c>
      <c r="Y23" s="9">
        <f t="shared" si="38"/>
        <v>0</v>
      </c>
      <c r="Z23" s="14">
        <v>0.0</v>
      </c>
      <c r="AA23" s="14">
        <v>2247.47</v>
      </c>
      <c r="AB23" s="14">
        <v>368.0</v>
      </c>
      <c r="AC23" s="9">
        <f t="shared" si="39"/>
        <v>2615.47</v>
      </c>
      <c r="AD23" s="14">
        <v>0.0</v>
      </c>
      <c r="AE23" s="14">
        <v>0.0</v>
      </c>
      <c r="AF23" s="14">
        <v>0.0</v>
      </c>
      <c r="AG23" s="9">
        <f t="shared" si="40"/>
        <v>0</v>
      </c>
      <c r="AH23" s="14">
        <v>0.0</v>
      </c>
      <c r="AI23" s="14">
        <v>0.0</v>
      </c>
      <c r="AJ23" s="14">
        <v>90.0</v>
      </c>
      <c r="AK23" s="9">
        <f t="shared" si="41"/>
        <v>90</v>
      </c>
      <c r="AL23" s="14">
        <v>0.0</v>
      </c>
      <c r="AM23" s="14">
        <v>0.0</v>
      </c>
      <c r="AN23" s="14">
        <v>515.27</v>
      </c>
      <c r="AO23" s="9">
        <f t="shared" si="42"/>
        <v>515.27</v>
      </c>
      <c r="AP23" s="14">
        <v>0.0</v>
      </c>
      <c r="AQ23" s="14">
        <v>41.32</v>
      </c>
      <c r="AR23" s="14">
        <v>370.5</v>
      </c>
      <c r="AS23" s="9">
        <f t="shared" si="43"/>
        <v>411.82</v>
      </c>
      <c r="AT23" s="14">
        <v>0.0</v>
      </c>
      <c r="AU23" s="14">
        <v>0.0</v>
      </c>
      <c r="AV23" s="14">
        <v>0.0</v>
      </c>
      <c r="AW23" s="9">
        <f t="shared" si="44"/>
        <v>0</v>
      </c>
      <c r="AX23" s="14">
        <v>0.0</v>
      </c>
      <c r="AY23" s="14">
        <v>0.0</v>
      </c>
      <c r="AZ23" s="14">
        <v>760.0</v>
      </c>
      <c r="BA23" s="9">
        <f t="shared" si="45"/>
        <v>760</v>
      </c>
      <c r="BB23" s="7"/>
      <c r="BC23" s="7"/>
      <c r="BD23" s="7"/>
      <c r="BE23" s="7"/>
      <c r="BF23" s="7"/>
      <c r="BG23" s="7"/>
      <c r="BH23" s="7"/>
      <c r="BI23" s="7"/>
      <c r="BJ23" s="7"/>
      <c r="BK23" s="7"/>
    </row>
    <row r="24" ht="12.0" customHeight="1">
      <c r="A24" s="21" t="s">
        <v>74</v>
      </c>
      <c r="B24" s="9">
        <f t="shared" si="32"/>
        <v>2451.13</v>
      </c>
      <c r="C24" s="10">
        <f t="shared" ref="C24:E24" si="48">F24+J24+N24+R24+V24+Z24+AD24+AH24+AL24+AP24+AT24+AX24</f>
        <v>2451.13</v>
      </c>
      <c r="D24" s="11">
        <f t="shared" si="48"/>
        <v>0</v>
      </c>
      <c r="E24" s="12">
        <f t="shared" si="48"/>
        <v>0</v>
      </c>
      <c r="F24" s="13">
        <v>0.0</v>
      </c>
      <c r="G24" s="14">
        <v>0.0</v>
      </c>
      <c r="H24" s="14">
        <v>0.0</v>
      </c>
      <c r="I24" s="9">
        <f t="shared" si="34"/>
        <v>0</v>
      </c>
      <c r="J24" s="14">
        <v>47.52</v>
      </c>
      <c r="K24" s="14">
        <v>0.0</v>
      </c>
      <c r="L24" s="14">
        <v>0.0</v>
      </c>
      <c r="M24" s="9">
        <f t="shared" si="35"/>
        <v>47.52</v>
      </c>
      <c r="N24" s="14">
        <v>101.94</v>
      </c>
      <c r="O24" s="14">
        <v>0.0</v>
      </c>
      <c r="P24" s="14">
        <v>0.0</v>
      </c>
      <c r="Q24" s="9">
        <f t="shared" si="36"/>
        <v>101.94</v>
      </c>
      <c r="R24" s="14">
        <v>81.22</v>
      </c>
      <c r="S24" s="14">
        <v>0.0</v>
      </c>
      <c r="T24" s="14">
        <v>0.0</v>
      </c>
      <c r="U24" s="9">
        <f t="shared" si="37"/>
        <v>81.22</v>
      </c>
      <c r="V24" s="14">
        <v>0.0</v>
      </c>
      <c r="W24" s="14">
        <v>0.0</v>
      </c>
      <c r="X24" s="14">
        <v>0.0</v>
      </c>
      <c r="Y24" s="9">
        <f t="shared" si="38"/>
        <v>0</v>
      </c>
      <c r="Z24" s="14">
        <v>302.22</v>
      </c>
      <c r="AA24" s="14">
        <v>0.0</v>
      </c>
      <c r="AB24" s="14">
        <v>0.0</v>
      </c>
      <c r="AC24" s="9">
        <f t="shared" si="39"/>
        <v>302.22</v>
      </c>
      <c r="AD24" s="14">
        <v>1023.4</v>
      </c>
      <c r="AE24" s="14">
        <v>0.0</v>
      </c>
      <c r="AF24" s="14">
        <v>0.0</v>
      </c>
      <c r="AG24" s="9">
        <f t="shared" si="40"/>
        <v>1023.4</v>
      </c>
      <c r="AH24" s="14">
        <v>331.0</v>
      </c>
      <c r="AI24" s="14">
        <v>0.0</v>
      </c>
      <c r="AJ24" s="14">
        <v>0.0</v>
      </c>
      <c r="AK24" s="9">
        <f t="shared" si="41"/>
        <v>331</v>
      </c>
      <c r="AL24" s="14">
        <v>431.22</v>
      </c>
      <c r="AM24" s="14">
        <v>0.0</v>
      </c>
      <c r="AN24" s="14">
        <v>0.0</v>
      </c>
      <c r="AO24" s="9">
        <f t="shared" si="42"/>
        <v>431.22</v>
      </c>
      <c r="AP24" s="14">
        <v>38.41</v>
      </c>
      <c r="AQ24" s="14">
        <v>0.0</v>
      </c>
      <c r="AR24" s="14">
        <v>0.0</v>
      </c>
      <c r="AS24" s="9">
        <f t="shared" si="43"/>
        <v>38.41</v>
      </c>
      <c r="AT24" s="14">
        <v>94.2</v>
      </c>
      <c r="AU24" s="14">
        <v>0.0</v>
      </c>
      <c r="AV24" s="14">
        <v>0.0</v>
      </c>
      <c r="AW24" s="9">
        <f t="shared" si="44"/>
        <v>94.2</v>
      </c>
      <c r="AX24" s="14">
        <v>0.0</v>
      </c>
      <c r="AY24" s="14">
        <v>0.0</v>
      </c>
      <c r="AZ24" s="14">
        <v>0.0</v>
      </c>
      <c r="BA24" s="9">
        <f t="shared" si="45"/>
        <v>0</v>
      </c>
      <c r="BB24" s="7"/>
      <c r="BC24" s="7"/>
      <c r="BD24" s="7"/>
      <c r="BE24" s="7"/>
      <c r="BF24" s="7"/>
      <c r="BG24" s="7"/>
      <c r="BH24" s="7"/>
      <c r="BI24" s="7"/>
      <c r="BJ24" s="7"/>
      <c r="BK24" s="7"/>
    </row>
    <row r="25" ht="12.0" customHeight="1">
      <c r="A25" s="21" t="s">
        <v>75</v>
      </c>
      <c r="B25" s="9">
        <f t="shared" si="32"/>
        <v>1860.97</v>
      </c>
      <c r="C25" s="10">
        <f t="shared" ref="C25:E25" si="49">F25+J25+N25+R25+V25+Z25+AD25+AH25+AL25+AP25+AT25+AX25</f>
        <v>1380</v>
      </c>
      <c r="D25" s="11">
        <f t="shared" si="49"/>
        <v>407.94</v>
      </c>
      <c r="E25" s="12">
        <f t="shared" si="49"/>
        <v>73.03</v>
      </c>
      <c r="F25" s="13">
        <v>225.2</v>
      </c>
      <c r="G25" s="14">
        <v>170.53</v>
      </c>
      <c r="H25" s="14">
        <v>34.11</v>
      </c>
      <c r="I25" s="9">
        <f t="shared" si="34"/>
        <v>429.84</v>
      </c>
      <c r="J25" s="14">
        <v>114.65</v>
      </c>
      <c r="K25" s="14">
        <v>12.6</v>
      </c>
      <c r="L25" s="14">
        <v>2.52</v>
      </c>
      <c r="M25" s="9">
        <f t="shared" si="35"/>
        <v>129.77</v>
      </c>
      <c r="N25" s="14">
        <v>142.37</v>
      </c>
      <c r="O25" s="14">
        <v>57.42</v>
      </c>
      <c r="P25" s="14">
        <v>10.44</v>
      </c>
      <c r="Q25" s="9">
        <f t="shared" si="36"/>
        <v>210.23</v>
      </c>
      <c r="R25" s="14">
        <v>45.43</v>
      </c>
      <c r="S25" s="14">
        <v>71.39</v>
      </c>
      <c r="T25" s="14">
        <v>12.98</v>
      </c>
      <c r="U25" s="9">
        <f t="shared" si="37"/>
        <v>129.8</v>
      </c>
      <c r="V25" s="14">
        <v>105.83</v>
      </c>
      <c r="W25" s="14">
        <v>0.0</v>
      </c>
      <c r="X25" s="14">
        <v>12.98</v>
      </c>
      <c r="Y25" s="9">
        <f t="shared" si="38"/>
        <v>118.81</v>
      </c>
      <c r="Z25" s="14">
        <v>105.83</v>
      </c>
      <c r="AA25" s="14">
        <v>0.0</v>
      </c>
      <c r="AB25" s="14">
        <v>0.0</v>
      </c>
      <c r="AC25" s="9">
        <f t="shared" si="39"/>
        <v>105.83</v>
      </c>
      <c r="AD25" s="14">
        <v>113.83</v>
      </c>
      <c r="AE25" s="14">
        <v>16.0</v>
      </c>
      <c r="AF25" s="14">
        <v>0.0</v>
      </c>
      <c r="AG25" s="9">
        <f t="shared" si="40"/>
        <v>129.83</v>
      </c>
      <c r="AH25" s="14">
        <v>113.83</v>
      </c>
      <c r="AI25" s="14">
        <v>16.0</v>
      </c>
      <c r="AJ25" s="14">
        <v>0.0</v>
      </c>
      <c r="AK25" s="9">
        <f t="shared" si="41"/>
        <v>129.83</v>
      </c>
      <c r="AL25" s="14">
        <v>113.83</v>
      </c>
      <c r="AM25" s="14">
        <v>16.0</v>
      </c>
      <c r="AN25" s="14">
        <v>0.0</v>
      </c>
      <c r="AO25" s="9">
        <f t="shared" si="42"/>
        <v>129.83</v>
      </c>
      <c r="AP25" s="14">
        <v>113.83</v>
      </c>
      <c r="AQ25" s="14">
        <v>16.0</v>
      </c>
      <c r="AR25" s="14">
        <v>0.0</v>
      </c>
      <c r="AS25" s="9">
        <f t="shared" si="43"/>
        <v>129.83</v>
      </c>
      <c r="AT25" s="14">
        <v>113.83</v>
      </c>
      <c r="AU25" s="14">
        <v>16.0</v>
      </c>
      <c r="AV25" s="14">
        <v>0.0</v>
      </c>
      <c r="AW25" s="9">
        <f t="shared" si="44"/>
        <v>129.83</v>
      </c>
      <c r="AX25" s="14">
        <v>71.54</v>
      </c>
      <c r="AY25" s="14">
        <v>16.0</v>
      </c>
      <c r="AZ25" s="14">
        <v>0.0</v>
      </c>
      <c r="BA25" s="9">
        <f t="shared" si="45"/>
        <v>87.54</v>
      </c>
      <c r="BB25" s="7"/>
      <c r="BC25" s="7"/>
      <c r="BD25" s="7"/>
      <c r="BE25" s="7"/>
      <c r="BF25" s="7"/>
      <c r="BG25" s="7"/>
      <c r="BH25" s="7"/>
      <c r="BI25" s="7"/>
      <c r="BJ25" s="7"/>
      <c r="BK25" s="7"/>
    </row>
    <row r="26" ht="12.0" customHeight="1">
      <c r="A26" s="21" t="s">
        <v>76</v>
      </c>
      <c r="B26" s="9">
        <f t="shared" si="32"/>
        <v>3034.79</v>
      </c>
      <c r="C26" s="10">
        <f t="shared" ref="C26:E26" si="50">F26+J26+N26+R26+V26+Z26+AD26+AH26+AL26+AP26+AT26+AX26</f>
        <v>381.97</v>
      </c>
      <c r="D26" s="11">
        <f t="shared" si="50"/>
        <v>2155.96</v>
      </c>
      <c r="E26" s="12">
        <f t="shared" si="50"/>
        <v>496.86</v>
      </c>
      <c r="F26" s="13">
        <v>37.73</v>
      </c>
      <c r="G26" s="14">
        <v>189.3</v>
      </c>
      <c r="H26" s="14">
        <v>37.86</v>
      </c>
      <c r="I26" s="9">
        <f t="shared" si="34"/>
        <v>264.89</v>
      </c>
      <c r="J26" s="14">
        <v>0.0</v>
      </c>
      <c r="K26" s="14">
        <v>109.1</v>
      </c>
      <c r="L26" s="14">
        <v>21.83</v>
      </c>
      <c r="M26" s="9">
        <f t="shared" si="35"/>
        <v>130.93</v>
      </c>
      <c r="N26" s="14">
        <v>37.31</v>
      </c>
      <c r="O26" s="14">
        <v>239.47</v>
      </c>
      <c r="P26" s="14">
        <v>43.54</v>
      </c>
      <c r="Q26" s="9">
        <f t="shared" si="36"/>
        <v>320.32</v>
      </c>
      <c r="R26" s="14">
        <v>234.29</v>
      </c>
      <c r="S26" s="14">
        <v>449.14</v>
      </c>
      <c r="T26" s="14">
        <v>81.66</v>
      </c>
      <c r="U26" s="9">
        <f t="shared" si="37"/>
        <v>765.09</v>
      </c>
      <c r="V26" s="14">
        <v>0.0</v>
      </c>
      <c r="W26" s="14">
        <v>132.64</v>
      </c>
      <c r="X26" s="14">
        <v>25.27</v>
      </c>
      <c r="Y26" s="9">
        <f t="shared" si="38"/>
        <v>157.91</v>
      </c>
      <c r="Z26" s="14">
        <v>0.0</v>
      </c>
      <c r="AA26" s="14">
        <v>125.69</v>
      </c>
      <c r="AB26" s="14">
        <v>0.0</v>
      </c>
      <c r="AC26" s="9">
        <f t="shared" si="39"/>
        <v>125.69</v>
      </c>
      <c r="AD26" s="14">
        <v>32.39</v>
      </c>
      <c r="AE26" s="14">
        <v>167.66</v>
      </c>
      <c r="AF26" s="14">
        <v>67.95</v>
      </c>
      <c r="AG26" s="9">
        <f t="shared" si="40"/>
        <v>268</v>
      </c>
      <c r="AH26" s="14">
        <v>0.0</v>
      </c>
      <c r="AI26" s="14">
        <v>138.76</v>
      </c>
      <c r="AJ26" s="14">
        <v>51.53</v>
      </c>
      <c r="AK26" s="9">
        <f t="shared" si="41"/>
        <v>190.29</v>
      </c>
      <c r="AL26" s="14">
        <v>0.0</v>
      </c>
      <c r="AM26" s="14">
        <v>119.95</v>
      </c>
      <c r="AN26" s="14">
        <v>55.66</v>
      </c>
      <c r="AO26" s="9">
        <f t="shared" si="42"/>
        <v>175.61</v>
      </c>
      <c r="AP26" s="14">
        <v>40.25</v>
      </c>
      <c r="AQ26" s="14">
        <v>193.38</v>
      </c>
      <c r="AR26" s="14">
        <v>40.25</v>
      </c>
      <c r="AS26" s="9">
        <f t="shared" si="43"/>
        <v>273.88</v>
      </c>
      <c r="AT26" s="14">
        <v>0.0</v>
      </c>
      <c r="AU26" s="14">
        <v>123.21</v>
      </c>
      <c r="AV26" s="14">
        <v>47.24</v>
      </c>
      <c r="AW26" s="9">
        <f t="shared" si="44"/>
        <v>170.45</v>
      </c>
      <c r="AX26" s="14">
        <v>0.0</v>
      </c>
      <c r="AY26" s="14">
        <v>167.66</v>
      </c>
      <c r="AZ26" s="14">
        <v>24.07</v>
      </c>
      <c r="BA26" s="9">
        <f t="shared" si="45"/>
        <v>191.73</v>
      </c>
      <c r="BB26" s="7"/>
      <c r="BC26" s="7"/>
      <c r="BD26" s="7"/>
      <c r="BE26" s="7"/>
      <c r="BF26" s="7"/>
      <c r="BG26" s="7"/>
      <c r="BH26" s="7"/>
      <c r="BI26" s="7"/>
      <c r="BJ26" s="7"/>
      <c r="BK26" s="7"/>
    </row>
    <row r="27" ht="12.0" customHeight="1">
      <c r="A27" s="21" t="s">
        <v>77</v>
      </c>
      <c r="B27" s="9">
        <f t="shared" si="32"/>
        <v>3869.55</v>
      </c>
      <c r="C27" s="10">
        <f t="shared" ref="C27:E27" si="51">F27+J27+N27+R27+V27+Z27+AD27+AH27+AL27+AP27+AT27+AX27</f>
        <v>1506.5</v>
      </c>
      <c r="D27" s="11">
        <f t="shared" si="51"/>
        <v>1622.1</v>
      </c>
      <c r="E27" s="12">
        <f t="shared" si="51"/>
        <v>740.95</v>
      </c>
      <c r="F27" s="13">
        <v>45.8</v>
      </c>
      <c r="G27" s="14">
        <v>0.0</v>
      </c>
      <c r="H27" s="14">
        <v>478.46</v>
      </c>
      <c r="I27" s="9">
        <f t="shared" si="34"/>
        <v>524.26</v>
      </c>
      <c r="J27" s="14">
        <v>265.71</v>
      </c>
      <c r="K27" s="14">
        <v>13.2</v>
      </c>
      <c r="L27" s="14">
        <v>0.0</v>
      </c>
      <c r="M27" s="9">
        <f t="shared" si="35"/>
        <v>278.91</v>
      </c>
      <c r="N27" s="14">
        <v>387.74</v>
      </c>
      <c r="O27" s="14">
        <v>221.49</v>
      </c>
      <c r="P27" s="14">
        <v>74.22</v>
      </c>
      <c r="Q27" s="9">
        <f t="shared" si="36"/>
        <v>683.45</v>
      </c>
      <c r="R27" s="14">
        <v>54.95</v>
      </c>
      <c r="S27" s="14">
        <v>6.1</v>
      </c>
      <c r="T27" s="14">
        <v>15.7</v>
      </c>
      <c r="U27" s="9">
        <f t="shared" si="37"/>
        <v>76.75</v>
      </c>
      <c r="V27" s="14">
        <v>22.26</v>
      </c>
      <c r="W27" s="14">
        <v>22.26</v>
      </c>
      <c r="X27" s="14">
        <v>0.0</v>
      </c>
      <c r="Y27" s="9">
        <f t="shared" si="38"/>
        <v>44.52</v>
      </c>
      <c r="Z27" s="14">
        <v>122.2</v>
      </c>
      <c r="AA27" s="14">
        <v>227.31</v>
      </c>
      <c r="AB27" s="14">
        <v>59.89</v>
      </c>
      <c r="AC27" s="9">
        <f t="shared" si="39"/>
        <v>409.4</v>
      </c>
      <c r="AD27" s="14">
        <v>174.3</v>
      </c>
      <c r="AE27" s="14">
        <v>348.6</v>
      </c>
      <c r="AF27" s="14">
        <v>49.8</v>
      </c>
      <c r="AG27" s="9">
        <f t="shared" si="40"/>
        <v>572.7</v>
      </c>
      <c r="AH27" s="14">
        <v>41.44</v>
      </c>
      <c r="AI27" s="14">
        <v>41.44</v>
      </c>
      <c r="AJ27" s="14">
        <v>0.0</v>
      </c>
      <c r="AK27" s="9">
        <f t="shared" si="41"/>
        <v>82.88</v>
      </c>
      <c r="AL27" s="14">
        <v>56.61</v>
      </c>
      <c r="AM27" s="14">
        <v>56.61</v>
      </c>
      <c r="AN27" s="14">
        <v>0.0</v>
      </c>
      <c r="AO27" s="9">
        <f t="shared" si="42"/>
        <v>113.22</v>
      </c>
      <c r="AP27" s="14">
        <v>204.5</v>
      </c>
      <c r="AQ27" s="14">
        <v>554.1</v>
      </c>
      <c r="AR27" s="14">
        <v>62.88</v>
      </c>
      <c r="AS27" s="9">
        <f t="shared" si="43"/>
        <v>821.48</v>
      </c>
      <c r="AT27" s="14">
        <v>130.99</v>
      </c>
      <c r="AU27" s="14">
        <v>130.99</v>
      </c>
      <c r="AV27" s="14">
        <v>0.0</v>
      </c>
      <c r="AW27" s="9">
        <f t="shared" si="44"/>
        <v>261.98</v>
      </c>
      <c r="AX27" s="14">
        <v>0.0</v>
      </c>
      <c r="AY27" s="14">
        <v>0.0</v>
      </c>
      <c r="AZ27" s="14">
        <v>0.0</v>
      </c>
      <c r="BA27" s="9">
        <f t="shared" si="45"/>
        <v>0</v>
      </c>
      <c r="BB27" s="7"/>
      <c r="BC27" s="7"/>
      <c r="BD27" s="7"/>
      <c r="BE27" s="7"/>
      <c r="BF27" s="7"/>
      <c r="BG27" s="7"/>
      <c r="BH27" s="7"/>
      <c r="BI27" s="7"/>
      <c r="BJ27" s="7"/>
      <c r="BK27" s="7"/>
    </row>
    <row r="28" ht="12.0" customHeight="1">
      <c r="A28" s="22" t="s">
        <v>78</v>
      </c>
      <c r="B28" s="9">
        <f t="shared" si="32"/>
        <v>4240.08</v>
      </c>
      <c r="C28" s="10">
        <f t="shared" ref="C28:E28" si="52">F28+J28+N28+R28+V28+Z28+AD28+AH28+AL28+AP28+AT28+AX28</f>
        <v>292.48</v>
      </c>
      <c r="D28" s="11">
        <f t="shared" si="52"/>
        <v>3281.51</v>
      </c>
      <c r="E28" s="12">
        <f t="shared" si="52"/>
        <v>666.09</v>
      </c>
      <c r="F28" s="13">
        <v>0.0</v>
      </c>
      <c r="G28" s="14">
        <v>0.0</v>
      </c>
      <c r="H28" s="14">
        <v>0.0</v>
      </c>
      <c r="I28" s="9">
        <f t="shared" si="34"/>
        <v>0</v>
      </c>
      <c r="J28" s="14">
        <v>0.0</v>
      </c>
      <c r="K28" s="14">
        <v>0.0</v>
      </c>
      <c r="L28" s="14">
        <v>0.0</v>
      </c>
      <c r="M28" s="9">
        <f t="shared" si="35"/>
        <v>0</v>
      </c>
      <c r="N28" s="14">
        <v>0.0</v>
      </c>
      <c r="O28" s="14">
        <v>1324.71</v>
      </c>
      <c r="P28" s="14">
        <v>0.0</v>
      </c>
      <c r="Q28" s="9">
        <f t="shared" si="36"/>
        <v>1324.71</v>
      </c>
      <c r="R28" s="14">
        <v>117.04</v>
      </c>
      <c r="S28" s="14">
        <v>753.11</v>
      </c>
      <c r="T28" s="14">
        <v>33.44</v>
      </c>
      <c r="U28" s="9">
        <f t="shared" si="37"/>
        <v>903.59</v>
      </c>
      <c r="V28" s="14">
        <v>0.0</v>
      </c>
      <c r="W28" s="14">
        <v>0.0</v>
      </c>
      <c r="X28" s="14">
        <v>0.0</v>
      </c>
      <c r="Y28" s="9">
        <f t="shared" si="38"/>
        <v>0</v>
      </c>
      <c r="Z28" s="14">
        <v>27.1</v>
      </c>
      <c r="AA28" s="14">
        <v>1055.35</v>
      </c>
      <c r="AB28" s="14">
        <v>51.55</v>
      </c>
      <c r="AC28" s="9">
        <f t="shared" si="39"/>
        <v>1134</v>
      </c>
      <c r="AD28" s="14">
        <v>0.0</v>
      </c>
      <c r="AE28" s="14">
        <v>0.0</v>
      </c>
      <c r="AF28" s="14">
        <v>0.0</v>
      </c>
      <c r="AG28" s="9">
        <f t="shared" si="40"/>
        <v>0</v>
      </c>
      <c r="AH28" s="14">
        <v>148.34</v>
      </c>
      <c r="AI28" s="14">
        <v>148.34</v>
      </c>
      <c r="AJ28" s="14">
        <v>0.0</v>
      </c>
      <c r="AK28" s="9">
        <f t="shared" si="41"/>
        <v>296.68</v>
      </c>
      <c r="AL28" s="14">
        <v>0.0</v>
      </c>
      <c r="AM28" s="14">
        <v>0.0</v>
      </c>
      <c r="AN28" s="14">
        <v>0.0</v>
      </c>
      <c r="AO28" s="9">
        <f t="shared" si="42"/>
        <v>0</v>
      </c>
      <c r="AP28" s="14">
        <v>0.0</v>
      </c>
      <c r="AQ28" s="14">
        <v>0.0</v>
      </c>
      <c r="AR28" s="14">
        <v>0.0</v>
      </c>
      <c r="AS28" s="9">
        <f t="shared" si="43"/>
        <v>0</v>
      </c>
      <c r="AT28" s="14">
        <v>0.0</v>
      </c>
      <c r="AU28" s="14">
        <v>0.0</v>
      </c>
      <c r="AV28" s="14">
        <v>0.0</v>
      </c>
      <c r="AW28" s="9">
        <f t="shared" si="44"/>
        <v>0</v>
      </c>
      <c r="AX28" s="14">
        <v>0.0</v>
      </c>
      <c r="AY28" s="14">
        <v>0.0</v>
      </c>
      <c r="AZ28" s="14">
        <v>581.1</v>
      </c>
      <c r="BA28" s="9">
        <f t="shared" si="45"/>
        <v>581.1</v>
      </c>
      <c r="BB28" s="7"/>
      <c r="BC28" s="7"/>
      <c r="BD28" s="7"/>
      <c r="BE28" s="7"/>
      <c r="BF28" s="7"/>
      <c r="BG28" s="7"/>
      <c r="BH28" s="7"/>
      <c r="BI28" s="7"/>
      <c r="BJ28" s="7"/>
      <c r="BK28" s="7"/>
    </row>
    <row r="29" ht="12.0" customHeight="1">
      <c r="A29" s="21" t="s">
        <v>79</v>
      </c>
      <c r="B29" s="9">
        <f t="shared" si="32"/>
        <v>5207.95</v>
      </c>
      <c r="C29" s="10">
        <f t="shared" ref="C29:E29" si="53">F29+J29+N29+R29+V29+Z29+AD29+AH29+AL29+AP29+AT29+AX29</f>
        <v>4970.83</v>
      </c>
      <c r="D29" s="11">
        <f t="shared" si="53"/>
        <v>80.55</v>
      </c>
      <c r="E29" s="12">
        <f t="shared" si="53"/>
        <v>156.57</v>
      </c>
      <c r="F29" s="13">
        <v>22.33</v>
      </c>
      <c r="G29" s="14">
        <v>31.6</v>
      </c>
      <c r="H29" s="14">
        <v>6.32</v>
      </c>
      <c r="I29" s="9">
        <f t="shared" si="34"/>
        <v>60.25</v>
      </c>
      <c r="J29" s="14">
        <v>0.0</v>
      </c>
      <c r="K29" s="14">
        <v>0.0</v>
      </c>
      <c r="L29" s="14">
        <v>0.0</v>
      </c>
      <c r="M29" s="9">
        <f t="shared" si="35"/>
        <v>0</v>
      </c>
      <c r="N29" s="14">
        <v>4917.35</v>
      </c>
      <c r="O29" s="14">
        <v>0.0</v>
      </c>
      <c r="P29" s="14">
        <v>0.0</v>
      </c>
      <c r="Q29" s="9">
        <f t="shared" si="36"/>
        <v>4917.35</v>
      </c>
      <c r="R29" s="14">
        <v>31.15</v>
      </c>
      <c r="S29" s="14">
        <v>48.95</v>
      </c>
      <c r="T29" s="14">
        <v>0.0</v>
      </c>
      <c r="U29" s="9">
        <f t="shared" si="37"/>
        <v>80.1</v>
      </c>
      <c r="V29" s="14">
        <v>0.0</v>
      </c>
      <c r="W29" s="14">
        <v>0.0</v>
      </c>
      <c r="X29" s="14">
        <v>0.0</v>
      </c>
      <c r="Y29" s="9">
        <f t="shared" si="38"/>
        <v>0</v>
      </c>
      <c r="Z29" s="14">
        <v>0.0</v>
      </c>
      <c r="AA29" s="14">
        <v>0.0</v>
      </c>
      <c r="AB29" s="14">
        <v>150.25</v>
      </c>
      <c r="AC29" s="9">
        <f t="shared" si="39"/>
        <v>150.25</v>
      </c>
      <c r="AD29" s="14">
        <v>0.0</v>
      </c>
      <c r="AE29" s="14">
        <v>0.0</v>
      </c>
      <c r="AF29" s="14">
        <v>0.0</v>
      </c>
      <c r="AG29" s="9">
        <f t="shared" si="40"/>
        <v>0</v>
      </c>
      <c r="AH29" s="14">
        <v>0.0</v>
      </c>
      <c r="AI29" s="14">
        <v>0.0</v>
      </c>
      <c r="AJ29" s="14">
        <v>0.0</v>
      </c>
      <c r="AK29" s="9">
        <f t="shared" si="41"/>
        <v>0</v>
      </c>
      <c r="AL29" s="14">
        <v>0.0</v>
      </c>
      <c r="AM29" s="14">
        <v>0.0</v>
      </c>
      <c r="AN29" s="14">
        <v>0.0</v>
      </c>
      <c r="AO29" s="9">
        <f t="shared" si="42"/>
        <v>0</v>
      </c>
      <c r="AP29" s="14">
        <v>0.0</v>
      </c>
      <c r="AQ29" s="14">
        <v>0.0</v>
      </c>
      <c r="AR29" s="14">
        <v>0.0</v>
      </c>
      <c r="AS29" s="9">
        <f t="shared" si="43"/>
        <v>0</v>
      </c>
      <c r="AT29" s="14">
        <v>0.0</v>
      </c>
      <c r="AU29" s="14">
        <v>0.0</v>
      </c>
      <c r="AV29" s="14">
        <v>0.0</v>
      </c>
      <c r="AW29" s="9">
        <f t="shared" si="44"/>
        <v>0</v>
      </c>
      <c r="AX29" s="14">
        <v>0.0</v>
      </c>
      <c r="AY29" s="14">
        <v>0.0</v>
      </c>
      <c r="AZ29" s="14">
        <v>0.0</v>
      </c>
      <c r="BA29" s="9">
        <f t="shared" si="45"/>
        <v>0</v>
      </c>
      <c r="BB29" s="7"/>
      <c r="BC29" s="7"/>
      <c r="BD29" s="7"/>
      <c r="BE29" s="7"/>
      <c r="BF29" s="7"/>
      <c r="BG29" s="7"/>
      <c r="BH29" s="7"/>
      <c r="BI29" s="7"/>
      <c r="BJ29" s="7"/>
      <c r="BK29" s="7"/>
    </row>
    <row r="30" ht="12.0" customHeight="1">
      <c r="A30" s="21" t="s">
        <v>80</v>
      </c>
      <c r="B30" s="9">
        <f t="shared" si="32"/>
        <v>1819.62</v>
      </c>
      <c r="C30" s="10">
        <f t="shared" ref="C30:E30" si="54">F30+J30+N30+R30+V30+Z30+AD30+AH30+AL30+AP30+AT30+AX30</f>
        <v>1819.62</v>
      </c>
      <c r="D30" s="11">
        <f t="shared" si="54"/>
        <v>0</v>
      </c>
      <c r="E30" s="12">
        <f t="shared" si="54"/>
        <v>0</v>
      </c>
      <c r="F30" s="13">
        <v>0.0</v>
      </c>
      <c r="G30" s="14">
        <v>0.0</v>
      </c>
      <c r="H30" s="14">
        <v>0.0</v>
      </c>
      <c r="I30" s="9">
        <f t="shared" si="34"/>
        <v>0</v>
      </c>
      <c r="J30" s="14">
        <v>0.0</v>
      </c>
      <c r="K30" s="14">
        <v>0.0</v>
      </c>
      <c r="L30" s="14">
        <v>0.0</v>
      </c>
      <c r="M30" s="9">
        <f t="shared" si="35"/>
        <v>0</v>
      </c>
      <c r="N30" s="14">
        <v>54.63</v>
      </c>
      <c r="O30" s="14">
        <v>0.0</v>
      </c>
      <c r="P30" s="14">
        <v>0.0</v>
      </c>
      <c r="Q30" s="9">
        <f t="shared" si="36"/>
        <v>54.63</v>
      </c>
      <c r="R30" s="14">
        <v>695.38</v>
      </c>
      <c r="S30" s="14">
        <v>0.0</v>
      </c>
      <c r="T30" s="14">
        <v>0.0</v>
      </c>
      <c r="U30" s="9">
        <f t="shared" si="37"/>
        <v>695.38</v>
      </c>
      <c r="V30" s="14">
        <v>214.91</v>
      </c>
      <c r="W30" s="14">
        <v>0.0</v>
      </c>
      <c r="X30" s="14">
        <v>0.0</v>
      </c>
      <c r="Y30" s="9">
        <f t="shared" si="38"/>
        <v>214.91</v>
      </c>
      <c r="Z30" s="14">
        <v>131.22</v>
      </c>
      <c r="AA30" s="14">
        <v>0.0</v>
      </c>
      <c r="AB30" s="14">
        <v>0.0</v>
      </c>
      <c r="AC30" s="9">
        <f t="shared" si="39"/>
        <v>131.22</v>
      </c>
      <c r="AD30" s="14">
        <v>279.86</v>
      </c>
      <c r="AE30" s="14">
        <v>0.0</v>
      </c>
      <c r="AF30" s="14">
        <v>0.0</v>
      </c>
      <c r="AG30" s="9">
        <f t="shared" si="40"/>
        <v>279.86</v>
      </c>
      <c r="AH30" s="14">
        <v>0.0</v>
      </c>
      <c r="AI30" s="14">
        <v>0.0</v>
      </c>
      <c r="AJ30" s="14">
        <v>0.0</v>
      </c>
      <c r="AK30" s="9">
        <f t="shared" si="41"/>
        <v>0</v>
      </c>
      <c r="AL30" s="14">
        <v>0.0</v>
      </c>
      <c r="AM30" s="14">
        <v>0.0</v>
      </c>
      <c r="AN30" s="14">
        <v>0.0</v>
      </c>
      <c r="AO30" s="9">
        <f t="shared" si="42"/>
        <v>0</v>
      </c>
      <c r="AP30" s="14">
        <v>443.62</v>
      </c>
      <c r="AQ30" s="14">
        <v>0.0</v>
      </c>
      <c r="AR30" s="14">
        <v>0.0</v>
      </c>
      <c r="AS30" s="9">
        <f t="shared" si="43"/>
        <v>443.62</v>
      </c>
      <c r="AT30" s="14">
        <v>0.0</v>
      </c>
      <c r="AU30" s="14">
        <v>0.0</v>
      </c>
      <c r="AV30" s="14">
        <v>0.0</v>
      </c>
      <c r="AW30" s="9">
        <f t="shared" si="44"/>
        <v>0</v>
      </c>
      <c r="AX30" s="14">
        <v>0.0</v>
      </c>
      <c r="AY30" s="14">
        <v>0.0</v>
      </c>
      <c r="AZ30" s="14">
        <v>0.0</v>
      </c>
      <c r="BA30" s="9">
        <f t="shared" si="45"/>
        <v>0</v>
      </c>
      <c r="BB30" s="7"/>
      <c r="BC30" s="7"/>
      <c r="BD30" s="7"/>
      <c r="BE30" s="7"/>
      <c r="BF30" s="7"/>
      <c r="BG30" s="7"/>
      <c r="BH30" s="7"/>
      <c r="BI30" s="7"/>
      <c r="BJ30" s="7"/>
      <c r="BK30" s="7"/>
    </row>
    <row r="31" ht="12.0" customHeight="1">
      <c r="A31" s="15" t="s">
        <v>81</v>
      </c>
      <c r="B31" s="9">
        <f t="shared" si="32"/>
        <v>810.3</v>
      </c>
      <c r="C31" s="10">
        <f t="shared" ref="C31:E31" si="55">F31+J31+N31+R31+V31+Z31+AD31+AH31+AL31+AP31+AT31+AX31</f>
        <v>273.65</v>
      </c>
      <c r="D31" s="11">
        <f t="shared" si="55"/>
        <v>430.45</v>
      </c>
      <c r="E31" s="12">
        <f t="shared" si="55"/>
        <v>106.2</v>
      </c>
      <c r="F31" s="13">
        <v>51.28</v>
      </c>
      <c r="G31" s="14">
        <v>73.26</v>
      </c>
      <c r="H31" s="14">
        <v>14.65</v>
      </c>
      <c r="I31" s="9">
        <f t="shared" si="34"/>
        <v>139.19</v>
      </c>
      <c r="J31" s="14">
        <v>0.0</v>
      </c>
      <c r="K31" s="14">
        <v>0.0</v>
      </c>
      <c r="L31" s="14">
        <v>0.0</v>
      </c>
      <c r="M31" s="9">
        <f t="shared" si="35"/>
        <v>0</v>
      </c>
      <c r="N31" s="14">
        <v>32.13</v>
      </c>
      <c r="O31" s="14">
        <v>50.49</v>
      </c>
      <c r="P31" s="14">
        <v>9.18</v>
      </c>
      <c r="Q31" s="9">
        <f t="shared" si="36"/>
        <v>91.8</v>
      </c>
      <c r="R31" s="14">
        <v>48.67</v>
      </c>
      <c r="S31" s="14">
        <v>76.47</v>
      </c>
      <c r="T31" s="14">
        <v>13.97</v>
      </c>
      <c r="U31" s="9">
        <f t="shared" si="37"/>
        <v>139.11</v>
      </c>
      <c r="V31" s="14">
        <v>0.0</v>
      </c>
      <c r="W31" s="14">
        <v>0.0</v>
      </c>
      <c r="X31" s="14">
        <v>0.0</v>
      </c>
      <c r="Y31" s="9">
        <f t="shared" si="38"/>
        <v>0</v>
      </c>
      <c r="Z31" s="14">
        <v>0.0</v>
      </c>
      <c r="AA31" s="14">
        <v>0.0</v>
      </c>
      <c r="AB31" s="14">
        <v>0.0</v>
      </c>
      <c r="AC31" s="9">
        <f t="shared" si="39"/>
        <v>0</v>
      </c>
      <c r="AD31" s="14">
        <v>70.3</v>
      </c>
      <c r="AE31" s="14">
        <v>140.6</v>
      </c>
      <c r="AF31" s="14">
        <v>20.08</v>
      </c>
      <c r="AG31" s="9">
        <f t="shared" si="40"/>
        <v>230.98</v>
      </c>
      <c r="AH31" s="14">
        <v>0.0</v>
      </c>
      <c r="AI31" s="14">
        <v>0.0</v>
      </c>
      <c r="AJ31" s="14">
        <v>0.0</v>
      </c>
      <c r="AK31" s="9">
        <f t="shared" si="41"/>
        <v>0</v>
      </c>
      <c r="AL31" s="14">
        <v>0.0</v>
      </c>
      <c r="AM31" s="14">
        <v>0.0</v>
      </c>
      <c r="AN31" s="14">
        <v>0.0</v>
      </c>
      <c r="AO31" s="9">
        <f t="shared" si="42"/>
        <v>0</v>
      </c>
      <c r="AP31" s="14">
        <v>0.0</v>
      </c>
      <c r="AQ31" s="14">
        <v>0.0</v>
      </c>
      <c r="AR31" s="14">
        <v>0.0</v>
      </c>
      <c r="AS31" s="9">
        <f t="shared" si="43"/>
        <v>0</v>
      </c>
      <c r="AT31" s="14">
        <v>39.14</v>
      </c>
      <c r="AU31" s="14">
        <v>39.14</v>
      </c>
      <c r="AV31" s="14">
        <v>39.14</v>
      </c>
      <c r="AW31" s="9">
        <f t="shared" si="44"/>
        <v>117.42</v>
      </c>
      <c r="AX31" s="14">
        <v>32.13</v>
      </c>
      <c r="AY31" s="14">
        <v>50.49</v>
      </c>
      <c r="AZ31" s="14">
        <v>9.18</v>
      </c>
      <c r="BA31" s="9">
        <f t="shared" si="45"/>
        <v>91.8</v>
      </c>
      <c r="BB31" s="7"/>
      <c r="BC31" s="7"/>
      <c r="BD31" s="7"/>
      <c r="BE31" s="7"/>
      <c r="BF31" s="7"/>
      <c r="BG31" s="7"/>
      <c r="BH31" s="7"/>
      <c r="BI31" s="7"/>
      <c r="BJ31" s="7"/>
      <c r="BK31" s="7"/>
    </row>
    <row r="32" ht="12.0" customHeight="1">
      <c r="A32" s="15" t="s">
        <v>82</v>
      </c>
      <c r="B32" s="9">
        <f t="shared" si="32"/>
        <v>0</v>
      </c>
      <c r="C32" s="10">
        <f t="shared" ref="C32:E32" si="56">F32+J32+N32+R32+V32+Z32+AD32+AH32+AL32+AP32+AT32+AX32</f>
        <v>0</v>
      </c>
      <c r="D32" s="11">
        <f t="shared" si="56"/>
        <v>0</v>
      </c>
      <c r="E32" s="12">
        <f t="shared" si="56"/>
        <v>0</v>
      </c>
      <c r="F32" s="13">
        <v>0.0</v>
      </c>
      <c r="G32" s="14">
        <v>0.0</v>
      </c>
      <c r="H32" s="14">
        <v>0.0</v>
      </c>
      <c r="I32" s="9">
        <f t="shared" si="34"/>
        <v>0</v>
      </c>
      <c r="J32" s="14">
        <v>0.0</v>
      </c>
      <c r="K32" s="14">
        <v>0.0</v>
      </c>
      <c r="L32" s="14">
        <v>0.0</v>
      </c>
      <c r="M32" s="9">
        <f t="shared" si="35"/>
        <v>0</v>
      </c>
      <c r="N32" s="14">
        <v>0.0</v>
      </c>
      <c r="O32" s="14">
        <v>0.0</v>
      </c>
      <c r="P32" s="14">
        <v>0.0</v>
      </c>
      <c r="Q32" s="9">
        <f t="shared" si="36"/>
        <v>0</v>
      </c>
      <c r="R32" s="14">
        <v>0.0</v>
      </c>
      <c r="S32" s="14">
        <v>0.0</v>
      </c>
      <c r="T32" s="14">
        <v>0.0</v>
      </c>
      <c r="U32" s="9">
        <f t="shared" si="37"/>
        <v>0</v>
      </c>
      <c r="V32" s="14">
        <v>0.0</v>
      </c>
      <c r="W32" s="14">
        <v>0.0</v>
      </c>
      <c r="X32" s="14">
        <v>0.0</v>
      </c>
      <c r="Y32" s="9">
        <f t="shared" si="38"/>
        <v>0</v>
      </c>
      <c r="Z32" s="14">
        <v>0.0</v>
      </c>
      <c r="AA32" s="14">
        <v>0.0</v>
      </c>
      <c r="AB32" s="14">
        <v>0.0</v>
      </c>
      <c r="AC32" s="9">
        <f t="shared" si="39"/>
        <v>0</v>
      </c>
      <c r="AD32" s="14">
        <v>0.0</v>
      </c>
      <c r="AE32" s="14">
        <v>0.0</v>
      </c>
      <c r="AF32" s="14">
        <v>0.0</v>
      </c>
      <c r="AG32" s="9">
        <f t="shared" si="40"/>
        <v>0</v>
      </c>
      <c r="AH32" s="14">
        <v>0.0</v>
      </c>
      <c r="AI32" s="14">
        <v>0.0</v>
      </c>
      <c r="AJ32" s="14">
        <v>0.0</v>
      </c>
      <c r="AK32" s="9">
        <f t="shared" si="41"/>
        <v>0</v>
      </c>
      <c r="AL32" s="14">
        <v>0.0</v>
      </c>
      <c r="AM32" s="14">
        <v>0.0</v>
      </c>
      <c r="AN32" s="14">
        <v>0.0</v>
      </c>
      <c r="AO32" s="9">
        <f t="shared" si="42"/>
        <v>0</v>
      </c>
      <c r="AP32" s="14">
        <v>0.0</v>
      </c>
      <c r="AQ32" s="14">
        <v>0.0</v>
      </c>
      <c r="AR32" s="14">
        <v>0.0</v>
      </c>
      <c r="AS32" s="9">
        <f t="shared" si="43"/>
        <v>0</v>
      </c>
      <c r="AT32" s="14">
        <v>0.0</v>
      </c>
      <c r="AU32" s="14">
        <v>0.0</v>
      </c>
      <c r="AV32" s="14">
        <v>0.0</v>
      </c>
      <c r="AW32" s="9">
        <f t="shared" si="44"/>
        <v>0</v>
      </c>
      <c r="AX32" s="14">
        <v>0.0</v>
      </c>
      <c r="AY32" s="14">
        <v>0.0</v>
      </c>
      <c r="AZ32" s="14">
        <v>0.0</v>
      </c>
      <c r="BA32" s="9">
        <f t="shared" si="45"/>
        <v>0</v>
      </c>
      <c r="BB32" s="7"/>
      <c r="BC32" s="7"/>
      <c r="BD32" s="7"/>
      <c r="BE32" s="7"/>
      <c r="BF32" s="7"/>
      <c r="BG32" s="7"/>
      <c r="BH32" s="7"/>
      <c r="BI32" s="7"/>
      <c r="BJ32" s="7"/>
      <c r="BK32" s="7"/>
    </row>
    <row r="33" ht="12.0" customHeight="1">
      <c r="A33" s="15" t="s">
        <v>83</v>
      </c>
      <c r="B33" s="9">
        <f t="shared" si="32"/>
        <v>0</v>
      </c>
      <c r="C33" s="10">
        <f t="shared" ref="C33:E33" si="57">F33+J33+N33+R33+V33+Z33+AD33+AH33+AL33+AP33+AT33+AX33</f>
        <v>0</v>
      </c>
      <c r="D33" s="11">
        <f t="shared" si="57"/>
        <v>0</v>
      </c>
      <c r="E33" s="12">
        <f t="shared" si="57"/>
        <v>0</v>
      </c>
      <c r="F33" s="13">
        <v>0.0</v>
      </c>
      <c r="G33" s="14">
        <v>0.0</v>
      </c>
      <c r="H33" s="14">
        <v>0.0</v>
      </c>
      <c r="I33" s="9">
        <f t="shared" si="34"/>
        <v>0</v>
      </c>
      <c r="J33" s="14">
        <v>0.0</v>
      </c>
      <c r="K33" s="14">
        <v>0.0</v>
      </c>
      <c r="L33" s="14">
        <v>0.0</v>
      </c>
      <c r="M33" s="9">
        <f t="shared" si="35"/>
        <v>0</v>
      </c>
      <c r="N33" s="14">
        <v>0.0</v>
      </c>
      <c r="O33" s="14">
        <v>0.0</v>
      </c>
      <c r="P33" s="14">
        <v>0.0</v>
      </c>
      <c r="Q33" s="9">
        <f t="shared" si="36"/>
        <v>0</v>
      </c>
      <c r="R33" s="14">
        <v>0.0</v>
      </c>
      <c r="S33" s="14">
        <v>0.0</v>
      </c>
      <c r="T33" s="14">
        <v>0.0</v>
      </c>
      <c r="U33" s="9">
        <f t="shared" si="37"/>
        <v>0</v>
      </c>
      <c r="V33" s="14">
        <v>0.0</v>
      </c>
      <c r="W33" s="14">
        <v>0.0</v>
      </c>
      <c r="X33" s="14">
        <v>0.0</v>
      </c>
      <c r="Y33" s="9">
        <f t="shared" si="38"/>
        <v>0</v>
      </c>
      <c r="Z33" s="14">
        <v>0.0</v>
      </c>
      <c r="AA33" s="14">
        <v>0.0</v>
      </c>
      <c r="AB33" s="14">
        <v>0.0</v>
      </c>
      <c r="AC33" s="9">
        <f t="shared" si="39"/>
        <v>0</v>
      </c>
      <c r="AD33" s="14">
        <v>0.0</v>
      </c>
      <c r="AE33" s="14">
        <v>0.0</v>
      </c>
      <c r="AF33" s="14">
        <v>0.0</v>
      </c>
      <c r="AG33" s="9">
        <f t="shared" si="40"/>
        <v>0</v>
      </c>
      <c r="AH33" s="14">
        <v>0.0</v>
      </c>
      <c r="AI33" s="14">
        <v>0.0</v>
      </c>
      <c r="AJ33" s="14">
        <v>0.0</v>
      </c>
      <c r="AK33" s="9">
        <f t="shared" si="41"/>
        <v>0</v>
      </c>
      <c r="AL33" s="14">
        <v>0.0</v>
      </c>
      <c r="AM33" s="14">
        <v>0.0</v>
      </c>
      <c r="AN33" s="14">
        <v>0.0</v>
      </c>
      <c r="AO33" s="9">
        <f t="shared" si="42"/>
        <v>0</v>
      </c>
      <c r="AP33" s="14">
        <v>0.0</v>
      </c>
      <c r="AQ33" s="14">
        <v>0.0</v>
      </c>
      <c r="AR33" s="14">
        <v>0.0</v>
      </c>
      <c r="AS33" s="9">
        <f t="shared" si="43"/>
        <v>0</v>
      </c>
      <c r="AT33" s="14">
        <v>0.0</v>
      </c>
      <c r="AU33" s="14">
        <v>0.0</v>
      </c>
      <c r="AV33" s="14">
        <v>0.0</v>
      </c>
      <c r="AW33" s="9">
        <f t="shared" si="44"/>
        <v>0</v>
      </c>
      <c r="AX33" s="14">
        <v>0.0</v>
      </c>
      <c r="AY33" s="14">
        <v>0.0</v>
      </c>
      <c r="AZ33" s="14">
        <v>0.0</v>
      </c>
      <c r="BA33" s="9">
        <f t="shared" si="45"/>
        <v>0</v>
      </c>
      <c r="BB33" s="7"/>
      <c r="BC33" s="7"/>
      <c r="BD33" s="7"/>
      <c r="BE33" s="7"/>
      <c r="BF33" s="7"/>
      <c r="BG33" s="7"/>
      <c r="BH33" s="7"/>
      <c r="BI33" s="7"/>
      <c r="BJ33" s="7"/>
      <c r="BK33" s="7"/>
    </row>
    <row r="34" ht="12.0" customHeight="1">
      <c r="A34" s="17" t="s">
        <v>84</v>
      </c>
      <c r="B34" s="9">
        <f t="shared" si="32"/>
        <v>375</v>
      </c>
      <c r="C34" s="10">
        <f t="shared" ref="C34:E34" si="58">F34+J34+N34+R34+V34+Z34+AD34+AH34+AL34+AP34+AT34+AX34</f>
        <v>0</v>
      </c>
      <c r="D34" s="11">
        <f t="shared" si="58"/>
        <v>0</v>
      </c>
      <c r="E34" s="12">
        <f t="shared" si="58"/>
        <v>0</v>
      </c>
      <c r="F34" s="13">
        <v>0.0</v>
      </c>
      <c r="G34" s="14">
        <v>0.0</v>
      </c>
      <c r="H34" s="14">
        <v>0.0</v>
      </c>
      <c r="I34" s="9">
        <v>75.0</v>
      </c>
      <c r="J34" s="14">
        <v>0.0</v>
      </c>
      <c r="K34" s="14">
        <v>0.0</v>
      </c>
      <c r="L34" s="14">
        <v>0.0</v>
      </c>
      <c r="M34" s="9">
        <v>75.0</v>
      </c>
      <c r="N34" s="14">
        <v>0.0</v>
      </c>
      <c r="O34" s="14">
        <v>0.0</v>
      </c>
      <c r="P34" s="14">
        <v>0.0</v>
      </c>
      <c r="Q34" s="9">
        <v>75.0</v>
      </c>
      <c r="R34" s="14">
        <v>0.0</v>
      </c>
      <c r="S34" s="14">
        <v>0.0</v>
      </c>
      <c r="T34" s="14">
        <v>0.0</v>
      </c>
      <c r="U34" s="9">
        <v>75.0</v>
      </c>
      <c r="V34" s="14">
        <v>0.0</v>
      </c>
      <c r="W34" s="14">
        <v>0.0</v>
      </c>
      <c r="X34" s="14">
        <v>0.0</v>
      </c>
      <c r="Y34" s="9">
        <v>75.0</v>
      </c>
      <c r="Z34" s="14">
        <v>0.0</v>
      </c>
      <c r="AA34" s="14">
        <v>0.0</v>
      </c>
      <c r="AB34" s="14">
        <v>0.0</v>
      </c>
      <c r="AC34" s="9">
        <f t="shared" si="39"/>
        <v>0</v>
      </c>
      <c r="AD34" s="14">
        <v>0.0</v>
      </c>
      <c r="AE34" s="14">
        <v>0.0</v>
      </c>
      <c r="AF34" s="14">
        <v>0.0</v>
      </c>
      <c r="AG34" s="9">
        <f t="shared" si="40"/>
        <v>0</v>
      </c>
      <c r="AH34" s="14">
        <v>0.0</v>
      </c>
      <c r="AI34" s="14">
        <v>0.0</v>
      </c>
      <c r="AJ34" s="14">
        <v>0.0</v>
      </c>
      <c r="AK34" s="9">
        <f t="shared" si="41"/>
        <v>0</v>
      </c>
      <c r="AL34" s="14">
        <v>0.0</v>
      </c>
      <c r="AM34" s="14">
        <v>0.0</v>
      </c>
      <c r="AN34" s="14">
        <v>0.0</v>
      </c>
      <c r="AO34" s="9">
        <f t="shared" si="42"/>
        <v>0</v>
      </c>
      <c r="AP34" s="14">
        <v>0.0</v>
      </c>
      <c r="AQ34" s="14">
        <v>0.0</v>
      </c>
      <c r="AR34" s="14">
        <v>0.0</v>
      </c>
      <c r="AS34" s="9">
        <f t="shared" si="43"/>
        <v>0</v>
      </c>
      <c r="AT34" s="14">
        <v>0.0</v>
      </c>
      <c r="AU34" s="14">
        <v>0.0</v>
      </c>
      <c r="AV34" s="14">
        <v>0.0</v>
      </c>
      <c r="AW34" s="9">
        <f t="shared" si="44"/>
        <v>0</v>
      </c>
      <c r="AX34" s="14">
        <v>0.0</v>
      </c>
      <c r="AY34" s="14">
        <v>0.0</v>
      </c>
      <c r="AZ34" s="14">
        <v>0.0</v>
      </c>
      <c r="BA34" s="9">
        <f t="shared" si="45"/>
        <v>0</v>
      </c>
      <c r="BB34" s="7"/>
      <c r="BC34" s="7"/>
      <c r="BD34" s="7"/>
      <c r="BE34" s="7"/>
      <c r="BF34" s="7"/>
      <c r="BG34" s="7"/>
      <c r="BH34" s="7"/>
      <c r="BI34" s="7"/>
      <c r="BJ34" s="7"/>
      <c r="BK34" s="7"/>
    </row>
    <row r="35" ht="12.0" customHeight="1">
      <c r="A35" s="17" t="s">
        <v>85</v>
      </c>
      <c r="B35" s="9">
        <f t="shared" si="32"/>
        <v>61705.12</v>
      </c>
      <c r="C35" s="10">
        <f t="shared" ref="C35:E35" si="59">F35+J35+N35+R35+V35+Z35+AD35+AH35+AL35+AP35+AT35+AX35</f>
        <v>0</v>
      </c>
      <c r="D35" s="11">
        <f t="shared" si="59"/>
        <v>0</v>
      </c>
      <c r="E35" s="12">
        <f t="shared" si="59"/>
        <v>0</v>
      </c>
      <c r="F35" s="13">
        <v>0.0</v>
      </c>
      <c r="G35" s="14">
        <v>0.0</v>
      </c>
      <c r="H35" s="14">
        <v>0.0</v>
      </c>
      <c r="I35" s="9">
        <v>5631.51</v>
      </c>
      <c r="J35" s="14">
        <v>0.0</v>
      </c>
      <c r="K35" s="14">
        <v>0.0</v>
      </c>
      <c r="L35" s="14">
        <v>0.0</v>
      </c>
      <c r="M35" s="9">
        <v>8499.46</v>
      </c>
      <c r="N35" s="14">
        <v>0.0</v>
      </c>
      <c r="O35" s="14">
        <v>0.0</v>
      </c>
      <c r="P35" s="14">
        <v>0.0</v>
      </c>
      <c r="Q35" s="9">
        <v>5916.39</v>
      </c>
      <c r="R35" s="14">
        <v>0.0</v>
      </c>
      <c r="S35" s="14">
        <v>0.0</v>
      </c>
      <c r="T35" s="14">
        <v>0.0</v>
      </c>
      <c r="U35" s="9">
        <v>3104.19</v>
      </c>
      <c r="V35" s="14">
        <v>0.0</v>
      </c>
      <c r="W35" s="14">
        <v>0.0</v>
      </c>
      <c r="X35" s="14">
        <v>0.0</v>
      </c>
      <c r="Y35" s="9">
        <v>3571.57</v>
      </c>
      <c r="Z35" s="14">
        <v>0.0</v>
      </c>
      <c r="AA35" s="14">
        <v>0.0</v>
      </c>
      <c r="AB35" s="14">
        <v>0.0</v>
      </c>
      <c r="AC35" s="9">
        <v>4600.0</v>
      </c>
      <c r="AD35" s="14">
        <v>0.0</v>
      </c>
      <c r="AE35" s="14">
        <v>0.0</v>
      </c>
      <c r="AF35" s="14">
        <v>0.0</v>
      </c>
      <c r="AG35" s="9">
        <v>5850.0</v>
      </c>
      <c r="AH35" s="14">
        <v>0.0</v>
      </c>
      <c r="AI35" s="14">
        <v>0.0</v>
      </c>
      <c r="AJ35" s="14">
        <v>0.0</v>
      </c>
      <c r="AK35" s="9">
        <v>4157.0</v>
      </c>
      <c r="AL35" s="14">
        <v>0.0</v>
      </c>
      <c r="AM35" s="14">
        <v>0.0</v>
      </c>
      <c r="AN35" s="14">
        <v>0.0</v>
      </c>
      <c r="AO35" s="9">
        <v>4250.0</v>
      </c>
      <c r="AP35" s="14">
        <v>0.0</v>
      </c>
      <c r="AQ35" s="14">
        <v>0.0</v>
      </c>
      <c r="AR35" s="14">
        <v>0.0</v>
      </c>
      <c r="AS35" s="9">
        <v>1894.0</v>
      </c>
      <c r="AT35" s="14">
        <v>0.0</v>
      </c>
      <c r="AU35" s="14">
        <v>0.0</v>
      </c>
      <c r="AV35" s="14">
        <v>0.0</v>
      </c>
      <c r="AW35" s="9">
        <v>5800.0</v>
      </c>
      <c r="AX35" s="14">
        <v>0.0</v>
      </c>
      <c r="AY35" s="14">
        <v>0.0</v>
      </c>
      <c r="AZ35" s="14">
        <v>0.0</v>
      </c>
      <c r="BA35" s="9">
        <v>8431.0</v>
      </c>
      <c r="BB35" s="7"/>
      <c r="BC35" s="7"/>
      <c r="BD35" s="7"/>
      <c r="BE35" s="7"/>
      <c r="BF35" s="7"/>
      <c r="BG35" s="7"/>
      <c r="BH35" s="7"/>
      <c r="BI35" s="7"/>
      <c r="BJ35" s="7"/>
      <c r="BK35" s="7"/>
    </row>
    <row r="36" ht="12.0" customHeight="1">
      <c r="A36" s="23" t="s">
        <v>86</v>
      </c>
      <c r="B36" s="24">
        <f t="shared" si="32"/>
        <v>108620.02</v>
      </c>
      <c r="C36" s="24">
        <f t="shared" ref="C36:BA36" si="60">SUM(C20:C35)</f>
        <v>15239.17</v>
      </c>
      <c r="D36" s="24">
        <f t="shared" si="60"/>
        <v>25571.32</v>
      </c>
      <c r="E36" s="24">
        <f t="shared" si="60"/>
        <v>5729.41</v>
      </c>
      <c r="F36" s="25">
        <f t="shared" si="60"/>
        <v>813.09</v>
      </c>
      <c r="G36" s="24">
        <f t="shared" si="60"/>
        <v>667.07</v>
      </c>
      <c r="H36" s="24">
        <f t="shared" si="60"/>
        <v>1336.96</v>
      </c>
      <c r="I36" s="24">
        <f t="shared" si="60"/>
        <v>8523.63</v>
      </c>
      <c r="J36" s="24">
        <f t="shared" si="60"/>
        <v>545.18</v>
      </c>
      <c r="K36" s="24">
        <f t="shared" si="60"/>
        <v>252.2</v>
      </c>
      <c r="L36" s="24">
        <f t="shared" si="60"/>
        <v>24.35</v>
      </c>
      <c r="M36" s="24">
        <f t="shared" si="60"/>
        <v>9396.19</v>
      </c>
      <c r="N36" s="24">
        <f t="shared" si="60"/>
        <v>5734.22</v>
      </c>
      <c r="O36" s="24">
        <f t="shared" si="60"/>
        <v>4128.92</v>
      </c>
      <c r="P36" s="24">
        <f t="shared" si="60"/>
        <v>137.38</v>
      </c>
      <c r="Q36" s="24">
        <f t="shared" si="60"/>
        <v>15991.91</v>
      </c>
      <c r="R36" s="24">
        <f t="shared" si="60"/>
        <v>1794.91</v>
      </c>
      <c r="S36" s="24">
        <f t="shared" si="60"/>
        <v>1629.81</v>
      </c>
      <c r="T36" s="24">
        <f t="shared" si="60"/>
        <v>570.85</v>
      </c>
      <c r="U36" s="24">
        <f t="shared" si="60"/>
        <v>7174.76</v>
      </c>
      <c r="V36" s="24">
        <f t="shared" si="60"/>
        <v>695.55</v>
      </c>
      <c r="W36" s="24">
        <f t="shared" si="60"/>
        <v>8496.67</v>
      </c>
      <c r="X36" s="24">
        <f t="shared" si="60"/>
        <v>38.25</v>
      </c>
      <c r="Y36" s="24">
        <f t="shared" si="60"/>
        <v>12877.04</v>
      </c>
      <c r="Z36" s="24">
        <f t="shared" si="60"/>
        <v>864.58</v>
      </c>
      <c r="AA36" s="24">
        <f t="shared" si="60"/>
        <v>5691.37</v>
      </c>
      <c r="AB36" s="24">
        <f t="shared" si="60"/>
        <v>662.62</v>
      </c>
      <c r="AC36" s="24">
        <f t="shared" si="60"/>
        <v>11818.57</v>
      </c>
      <c r="AD36" s="24">
        <f t="shared" si="60"/>
        <v>1754.83</v>
      </c>
      <c r="AE36" s="24">
        <f t="shared" si="60"/>
        <v>933.61</v>
      </c>
      <c r="AF36" s="24">
        <f t="shared" si="60"/>
        <v>137.83</v>
      </c>
      <c r="AG36" s="24">
        <f t="shared" si="60"/>
        <v>8676.27</v>
      </c>
      <c r="AH36" s="24">
        <f t="shared" si="60"/>
        <v>695.36</v>
      </c>
      <c r="AI36" s="24">
        <f t="shared" si="60"/>
        <v>655.29</v>
      </c>
      <c r="AJ36" s="24">
        <f t="shared" si="60"/>
        <v>141.53</v>
      </c>
      <c r="AK36" s="24">
        <f t="shared" si="60"/>
        <v>5649.18</v>
      </c>
      <c r="AL36" s="24">
        <f t="shared" si="60"/>
        <v>662.41</v>
      </c>
      <c r="AM36" s="24">
        <f t="shared" si="60"/>
        <v>599.97</v>
      </c>
      <c r="AN36" s="24">
        <f t="shared" si="60"/>
        <v>570.93</v>
      </c>
      <c r="AO36" s="24">
        <f t="shared" si="60"/>
        <v>6083.31</v>
      </c>
      <c r="AP36" s="24">
        <f t="shared" si="60"/>
        <v>901.36</v>
      </c>
      <c r="AQ36" s="24">
        <f t="shared" si="60"/>
        <v>1518.97</v>
      </c>
      <c r="AR36" s="24">
        <f t="shared" si="60"/>
        <v>473.63</v>
      </c>
      <c r="AS36" s="24">
        <f t="shared" si="60"/>
        <v>4787.96</v>
      </c>
      <c r="AT36" s="24">
        <f t="shared" si="60"/>
        <v>438.91</v>
      </c>
      <c r="AU36" s="24">
        <f t="shared" si="60"/>
        <v>483.19</v>
      </c>
      <c r="AV36" s="24">
        <f t="shared" si="60"/>
        <v>86.38</v>
      </c>
      <c r="AW36" s="24">
        <f t="shared" si="60"/>
        <v>6808.48</v>
      </c>
      <c r="AX36" s="24">
        <f t="shared" si="60"/>
        <v>338.77</v>
      </c>
      <c r="AY36" s="24">
        <f t="shared" si="60"/>
        <v>514.25</v>
      </c>
      <c r="AZ36" s="24">
        <f t="shared" si="60"/>
        <v>1548.7</v>
      </c>
      <c r="BA36" s="24">
        <f t="shared" si="60"/>
        <v>10832.72</v>
      </c>
      <c r="BB36" s="7"/>
      <c r="BC36" s="7"/>
      <c r="BD36" s="7"/>
      <c r="BE36" s="7"/>
      <c r="BF36" s="7"/>
      <c r="BG36" s="7"/>
      <c r="BH36" s="7"/>
      <c r="BI36" s="7"/>
      <c r="BJ36" s="7"/>
      <c r="BK36" s="7"/>
    </row>
    <row r="37" ht="12.0" customHeight="1">
      <c r="A37" s="26" t="s">
        <v>87</v>
      </c>
      <c r="B37" s="27">
        <f t="shared" si="32"/>
        <v>707644.34</v>
      </c>
      <c r="C37" s="27">
        <f t="shared" ref="C37:BA37" si="61">C18+C36</f>
        <v>212930.61</v>
      </c>
      <c r="D37" s="27">
        <f t="shared" si="61"/>
        <v>353805.52</v>
      </c>
      <c r="E37" s="27">
        <f t="shared" si="61"/>
        <v>63593.22</v>
      </c>
      <c r="F37" s="28">
        <f t="shared" si="61"/>
        <v>16358.31</v>
      </c>
      <c r="G37" s="27">
        <f t="shared" si="61"/>
        <v>22308.82</v>
      </c>
      <c r="H37" s="27">
        <f t="shared" si="61"/>
        <v>5999.71</v>
      </c>
      <c r="I37" s="27">
        <f t="shared" si="61"/>
        <v>51529.82</v>
      </c>
      <c r="J37" s="27">
        <f t="shared" si="61"/>
        <v>16426.14</v>
      </c>
      <c r="K37" s="27">
        <f t="shared" si="61"/>
        <v>24661.94</v>
      </c>
      <c r="L37" s="27">
        <f t="shared" si="61"/>
        <v>4427.59</v>
      </c>
      <c r="M37" s="27">
        <f t="shared" si="61"/>
        <v>55434.69</v>
      </c>
      <c r="N37" s="27">
        <f t="shared" si="61"/>
        <v>21097.35</v>
      </c>
      <c r="O37" s="27">
        <f t="shared" si="61"/>
        <v>28926.55</v>
      </c>
      <c r="P37" s="27">
        <f t="shared" si="61"/>
        <v>4748.58</v>
      </c>
      <c r="Q37" s="27">
        <f t="shared" si="61"/>
        <v>62193.26</v>
      </c>
      <c r="R37" s="27">
        <f t="shared" si="61"/>
        <v>17106.2</v>
      </c>
      <c r="S37" s="27">
        <f t="shared" si="61"/>
        <v>25499.91</v>
      </c>
      <c r="T37" s="27">
        <f t="shared" si="61"/>
        <v>5493.16</v>
      </c>
      <c r="U37" s="27">
        <f t="shared" si="61"/>
        <v>52534.51</v>
      </c>
      <c r="V37" s="27">
        <f t="shared" si="61"/>
        <v>16578.96</v>
      </c>
      <c r="W37" s="27">
        <f t="shared" si="61"/>
        <v>32493.09</v>
      </c>
      <c r="X37" s="27">
        <f t="shared" si="61"/>
        <v>4609.46</v>
      </c>
      <c r="Y37" s="27">
        <f t="shared" si="61"/>
        <v>58584.13</v>
      </c>
      <c r="Z37" s="27">
        <f t="shared" si="61"/>
        <v>16751.91</v>
      </c>
      <c r="AA37" s="27">
        <f t="shared" si="61"/>
        <v>33181.28</v>
      </c>
      <c r="AB37" s="27">
        <f t="shared" si="61"/>
        <v>5164.92</v>
      </c>
      <c r="AC37" s="27">
        <f t="shared" si="61"/>
        <v>60954.16</v>
      </c>
      <c r="AD37" s="27">
        <f t="shared" si="61"/>
        <v>24305.38</v>
      </c>
      <c r="AE37" s="27">
        <f t="shared" si="61"/>
        <v>39195.28</v>
      </c>
      <c r="AF37" s="27">
        <f t="shared" si="61"/>
        <v>7198.92</v>
      </c>
      <c r="AG37" s="27">
        <f t="shared" si="61"/>
        <v>77805.63</v>
      </c>
      <c r="AH37" s="27">
        <f t="shared" si="61"/>
        <v>15069.7</v>
      </c>
      <c r="AI37" s="27">
        <f t="shared" si="61"/>
        <v>27311.7</v>
      </c>
      <c r="AJ37" s="27">
        <f t="shared" si="61"/>
        <v>4459.55</v>
      </c>
      <c r="AK37" s="27">
        <f t="shared" si="61"/>
        <v>52254</v>
      </c>
      <c r="AL37" s="27">
        <f t="shared" si="61"/>
        <v>16469.72</v>
      </c>
      <c r="AM37" s="27">
        <f t="shared" si="61"/>
        <v>28591.73</v>
      </c>
      <c r="AN37" s="27">
        <f t="shared" si="61"/>
        <v>4670.57</v>
      </c>
      <c r="AO37" s="27">
        <f t="shared" si="61"/>
        <v>55238.07</v>
      </c>
      <c r="AP37" s="27">
        <f t="shared" si="61"/>
        <v>15204.93</v>
      </c>
      <c r="AQ37" s="27">
        <f t="shared" si="61"/>
        <v>29114.55</v>
      </c>
      <c r="AR37" s="27">
        <f t="shared" si="61"/>
        <v>4445.97</v>
      </c>
      <c r="AS37" s="27">
        <f t="shared" si="61"/>
        <v>51915.5</v>
      </c>
      <c r="AT37" s="27">
        <f t="shared" si="61"/>
        <v>14884.77</v>
      </c>
      <c r="AU37" s="27">
        <f t="shared" si="61"/>
        <v>27690.3</v>
      </c>
      <c r="AV37" s="27">
        <f t="shared" si="61"/>
        <v>4338.88</v>
      </c>
      <c r="AW37" s="27">
        <f t="shared" si="61"/>
        <v>53970</v>
      </c>
      <c r="AX37" s="27">
        <f t="shared" si="61"/>
        <v>22677.24</v>
      </c>
      <c r="AY37" s="27">
        <f t="shared" si="61"/>
        <v>34830.37</v>
      </c>
      <c r="AZ37" s="27">
        <f t="shared" si="61"/>
        <v>8035.91</v>
      </c>
      <c r="BA37" s="27">
        <f t="shared" si="61"/>
        <v>75230.57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</row>
    <row r="38" ht="9.75" customHeight="1">
      <c r="A38" s="29" t="s">
        <v>88</v>
      </c>
      <c r="B38" s="30"/>
      <c r="C38" s="30"/>
      <c r="D38" s="30"/>
      <c r="E38" s="3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7"/>
      <c r="BC38" s="7"/>
      <c r="BD38" s="7"/>
      <c r="BE38" s="7"/>
      <c r="BF38" s="7"/>
      <c r="BG38" s="7"/>
      <c r="BH38" s="7"/>
      <c r="BI38" s="7"/>
      <c r="BJ38" s="7"/>
      <c r="BK38" s="7"/>
    </row>
    <row r="39" ht="9.0" customHeight="1">
      <c r="A39" s="32" t="s">
        <v>89</v>
      </c>
      <c r="B39" s="33">
        <f t="shared" ref="B39:B40" si="62">I39+M39+Q39+U39+Y39+AC39+AG39+AK39+AO39+AS39+AW39+BA39</f>
        <v>1029472.46</v>
      </c>
      <c r="C39" s="33"/>
      <c r="D39" s="33"/>
      <c r="E39" s="33"/>
      <c r="F39" s="33"/>
      <c r="G39" s="33"/>
      <c r="H39" s="33"/>
      <c r="I39" s="33">
        <v>61491.56</v>
      </c>
      <c r="J39" s="33"/>
      <c r="K39" s="33"/>
      <c r="L39" s="33"/>
      <c r="M39" s="33">
        <v>103104.9</v>
      </c>
      <c r="N39" s="33"/>
      <c r="O39" s="33"/>
      <c r="P39" s="33"/>
      <c r="Q39" s="33">
        <v>67509.6</v>
      </c>
      <c r="R39" s="33"/>
      <c r="S39" s="33"/>
      <c r="T39" s="33"/>
      <c r="U39" s="33">
        <v>57642.66</v>
      </c>
      <c r="V39" s="33"/>
      <c r="W39" s="33"/>
      <c r="X39" s="33"/>
      <c r="Y39" s="33">
        <v>83291.48</v>
      </c>
      <c r="Z39" s="33"/>
      <c r="AA39" s="33"/>
      <c r="AB39" s="33"/>
      <c r="AC39" s="33">
        <v>83700.4</v>
      </c>
      <c r="AD39" s="33"/>
      <c r="AE39" s="33"/>
      <c r="AF39" s="33"/>
      <c r="AG39" s="33">
        <v>85764.61</v>
      </c>
      <c r="AH39" s="33"/>
      <c r="AI39" s="33"/>
      <c r="AJ39" s="33"/>
      <c r="AK39" s="33">
        <v>81668.18</v>
      </c>
      <c r="AL39" s="33"/>
      <c r="AM39" s="33"/>
      <c r="AN39" s="33"/>
      <c r="AO39" s="33">
        <v>80847.72</v>
      </c>
      <c r="AP39" s="33"/>
      <c r="AQ39" s="33"/>
      <c r="AR39" s="33"/>
      <c r="AS39" s="33">
        <v>86588.13</v>
      </c>
      <c r="AT39" s="33"/>
      <c r="AU39" s="33"/>
      <c r="AV39" s="33"/>
      <c r="AW39" s="33">
        <v>63404.76</v>
      </c>
      <c r="AX39" s="33"/>
      <c r="AY39" s="33"/>
      <c r="AZ39" s="33"/>
      <c r="BA39" s="33">
        <v>174458.46</v>
      </c>
      <c r="BB39" s="7"/>
      <c r="BC39" s="7"/>
      <c r="BD39" s="7"/>
      <c r="BE39" s="7"/>
      <c r="BF39" s="7"/>
      <c r="BG39" s="7"/>
      <c r="BH39" s="7"/>
      <c r="BI39" s="7"/>
      <c r="BJ39" s="7"/>
      <c r="BK39" s="7"/>
    </row>
    <row r="40" ht="9.0" customHeight="1">
      <c r="A40" s="34" t="s">
        <v>90</v>
      </c>
      <c r="B40" s="35">
        <f t="shared" si="62"/>
        <v>1737116.8</v>
      </c>
      <c r="C40" s="35"/>
      <c r="D40" s="35"/>
      <c r="E40" s="35"/>
      <c r="F40" s="35"/>
      <c r="G40" s="35"/>
      <c r="H40" s="35"/>
      <c r="I40" s="35">
        <f>I37+I39</f>
        <v>113021.38</v>
      </c>
      <c r="J40" s="35"/>
      <c r="K40" s="35"/>
      <c r="L40" s="35"/>
      <c r="M40" s="35">
        <f>M37+M39</f>
        <v>158539.59</v>
      </c>
      <c r="N40" s="35"/>
      <c r="O40" s="35"/>
      <c r="P40" s="35"/>
      <c r="Q40" s="35">
        <f>Q37+Q39</f>
        <v>129702.86</v>
      </c>
      <c r="R40" s="35"/>
      <c r="S40" s="35"/>
      <c r="T40" s="35"/>
      <c r="U40" s="35">
        <f>U37+U39</f>
        <v>110177.17</v>
      </c>
      <c r="V40" s="35"/>
      <c r="W40" s="35"/>
      <c r="X40" s="35"/>
      <c r="Y40" s="35">
        <f>Y37+Y39</f>
        <v>141875.61</v>
      </c>
      <c r="Z40" s="35"/>
      <c r="AA40" s="35"/>
      <c r="AB40" s="35"/>
      <c r="AC40" s="35">
        <f>AC37+AC39</f>
        <v>144654.56</v>
      </c>
      <c r="AD40" s="35"/>
      <c r="AE40" s="35"/>
      <c r="AF40" s="35"/>
      <c r="AG40" s="35">
        <f>AG37+AG39</f>
        <v>163570.24</v>
      </c>
      <c r="AH40" s="35"/>
      <c r="AI40" s="35"/>
      <c r="AJ40" s="35"/>
      <c r="AK40" s="35">
        <f>AK37+AK39</f>
        <v>133922.18</v>
      </c>
      <c r="AL40" s="35"/>
      <c r="AM40" s="35"/>
      <c r="AN40" s="35"/>
      <c r="AO40" s="35">
        <f>AO37+AO39</f>
        <v>136085.79</v>
      </c>
      <c r="AP40" s="35"/>
      <c r="AQ40" s="35"/>
      <c r="AR40" s="35"/>
      <c r="AS40" s="35">
        <f>AS37+AS39</f>
        <v>138503.63</v>
      </c>
      <c r="AT40" s="35"/>
      <c r="AU40" s="35"/>
      <c r="AV40" s="35"/>
      <c r="AW40" s="35">
        <f>AW37+AW39</f>
        <v>117374.76</v>
      </c>
      <c r="AX40" s="35"/>
      <c r="AY40" s="35"/>
      <c r="AZ40" s="35"/>
      <c r="BA40" s="35">
        <f>BA37+BA39</f>
        <v>249689.03</v>
      </c>
      <c r="BB40" s="7"/>
      <c r="BC40" s="7"/>
      <c r="BD40" s="7"/>
      <c r="BE40" s="7"/>
      <c r="BF40" s="7"/>
      <c r="BG40" s="7"/>
      <c r="BH40" s="7"/>
      <c r="BI40" s="7"/>
      <c r="BJ40" s="7"/>
      <c r="BK40" s="7"/>
    </row>
    <row r="41" ht="9.0" customHeight="1">
      <c r="A41" s="36" t="s">
        <v>91</v>
      </c>
      <c r="B41" s="37"/>
      <c r="C41" s="37"/>
      <c r="D41" s="37"/>
      <c r="E41" s="37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7"/>
      <c r="BC41" s="7"/>
      <c r="BD41" s="7"/>
      <c r="BE41" s="7"/>
      <c r="BF41" s="7"/>
      <c r="BG41" s="7"/>
      <c r="BH41" s="7"/>
      <c r="BI41" s="7"/>
      <c r="BJ41" s="7"/>
      <c r="BK41" s="7"/>
    </row>
    <row r="42" ht="9.0" customHeight="1">
      <c r="A42" s="39" t="s">
        <v>92</v>
      </c>
      <c r="B42" s="33"/>
      <c r="C42" s="33"/>
      <c r="D42" s="33"/>
      <c r="E42" s="33"/>
      <c r="F42" s="33"/>
      <c r="G42" s="33"/>
      <c r="H42" s="33"/>
      <c r="I42" s="33">
        <v>144961.92</v>
      </c>
      <c r="J42" s="33"/>
      <c r="K42" s="33"/>
      <c r="L42" s="33"/>
      <c r="M42" s="33">
        <v>157288.51</v>
      </c>
      <c r="N42" s="33"/>
      <c r="O42" s="33"/>
      <c r="P42" s="33"/>
      <c r="Q42" s="33">
        <v>157956.01</v>
      </c>
      <c r="R42" s="33"/>
      <c r="S42" s="33"/>
      <c r="T42" s="33"/>
      <c r="U42" s="33">
        <v>155196.14</v>
      </c>
      <c r="V42" s="33"/>
      <c r="W42" s="33"/>
      <c r="X42" s="33"/>
      <c r="Y42" s="33">
        <v>194031.81</v>
      </c>
      <c r="Z42" s="33"/>
      <c r="AA42" s="33"/>
      <c r="AB42" s="33"/>
      <c r="AC42" s="33">
        <v>140531.63</v>
      </c>
      <c r="AD42" s="33"/>
      <c r="AE42" s="33"/>
      <c r="AF42" s="33"/>
      <c r="AG42" s="33">
        <v>121281.18</v>
      </c>
      <c r="AH42" s="33"/>
      <c r="AI42" s="33"/>
      <c r="AJ42" s="33"/>
      <c r="AK42" s="33">
        <v>136378.72</v>
      </c>
      <c r="AL42" s="33"/>
      <c r="AM42" s="33"/>
      <c r="AN42" s="33"/>
      <c r="AO42" s="33">
        <v>124528.0</v>
      </c>
      <c r="AP42" s="33"/>
      <c r="AQ42" s="33"/>
      <c r="AR42" s="33"/>
      <c r="AS42" s="33">
        <v>129023.28</v>
      </c>
      <c r="AT42" s="33"/>
      <c r="AU42" s="33"/>
      <c r="AV42" s="33"/>
      <c r="AW42" s="33">
        <v>150269.91</v>
      </c>
      <c r="AX42" s="33"/>
      <c r="AY42" s="33"/>
      <c r="AZ42" s="33"/>
      <c r="BA42" s="33">
        <v>189125.11</v>
      </c>
      <c r="BB42" s="7"/>
      <c r="BC42" s="7"/>
      <c r="BD42" s="7"/>
      <c r="BE42" s="7"/>
      <c r="BF42" s="7"/>
      <c r="BG42" s="7"/>
      <c r="BH42" s="7"/>
      <c r="BI42" s="7"/>
      <c r="BJ42" s="7"/>
      <c r="BK42" s="7"/>
    </row>
    <row r="43" ht="9.0" customHeight="1">
      <c r="A43" s="39" t="s">
        <v>93</v>
      </c>
      <c r="B43" s="40"/>
      <c r="C43" s="40"/>
      <c r="D43" s="40"/>
      <c r="E43" s="40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7"/>
      <c r="BC43" s="7"/>
      <c r="BD43" s="7"/>
      <c r="BE43" s="7"/>
      <c r="BF43" s="7"/>
      <c r="BG43" s="7"/>
      <c r="BH43" s="7"/>
      <c r="BI43" s="7"/>
      <c r="BJ43" s="7"/>
      <c r="BK43" s="7"/>
    </row>
    <row r="44" ht="9.0" customHeight="1">
      <c r="A44" s="39" t="s">
        <v>94</v>
      </c>
      <c r="B44" s="40"/>
      <c r="C44" s="40"/>
      <c r="D44" s="40"/>
      <c r="E44" s="40"/>
      <c r="F44" s="33"/>
      <c r="G44" s="33"/>
      <c r="H44" s="33"/>
      <c r="I44" s="33">
        <v>0.0</v>
      </c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7"/>
      <c r="BC44" s="7"/>
      <c r="BD44" s="7"/>
      <c r="BE44" s="7"/>
      <c r="BF44" s="7"/>
      <c r="BG44" s="7"/>
      <c r="BH44" s="7"/>
      <c r="BI44" s="7"/>
      <c r="BJ44" s="7"/>
      <c r="BK44" s="7"/>
    </row>
    <row r="45" ht="9.0" customHeight="1">
      <c r="A45" s="39" t="s">
        <v>95</v>
      </c>
      <c r="B45" s="33">
        <f t="shared" ref="B45:B46" si="63">I45+M45+Q45+U45+Y45+AC45+AG45+AK45+AO45+AS45+AW45+BA45</f>
        <v>0</v>
      </c>
      <c r="C45" s="33"/>
      <c r="D45" s="33"/>
      <c r="E45" s="33"/>
      <c r="F45" s="33"/>
      <c r="G45" s="33"/>
      <c r="H45" s="33"/>
      <c r="I45" s="33">
        <v>0.0</v>
      </c>
      <c r="J45" s="33"/>
      <c r="K45" s="33"/>
      <c r="L45" s="33"/>
      <c r="M45" s="33">
        <v>0.0</v>
      </c>
      <c r="N45" s="33"/>
      <c r="O45" s="33"/>
      <c r="P45" s="33"/>
      <c r="Q45" s="33">
        <v>0.0</v>
      </c>
      <c r="R45" s="33"/>
      <c r="S45" s="33"/>
      <c r="T45" s="33"/>
      <c r="U45" s="33">
        <v>0.0</v>
      </c>
      <c r="V45" s="33"/>
      <c r="W45" s="33"/>
      <c r="X45" s="33"/>
      <c r="Y45" s="33">
        <v>0.0</v>
      </c>
      <c r="Z45" s="33"/>
      <c r="AA45" s="33"/>
      <c r="AB45" s="33"/>
      <c r="AC45" s="33">
        <v>0.0</v>
      </c>
      <c r="AD45" s="33"/>
      <c r="AE45" s="33"/>
      <c r="AF45" s="33"/>
      <c r="AG45" s="33">
        <v>0.0</v>
      </c>
      <c r="AH45" s="33"/>
      <c r="AI45" s="33"/>
      <c r="AJ45" s="33"/>
      <c r="AK45" s="33">
        <v>0.0</v>
      </c>
      <c r="AL45" s="33"/>
      <c r="AM45" s="33"/>
      <c r="AN45" s="33"/>
      <c r="AO45" s="33">
        <v>0.0</v>
      </c>
      <c r="AP45" s="33"/>
      <c r="AQ45" s="33"/>
      <c r="AR45" s="33"/>
      <c r="AS45" s="33">
        <v>0.0</v>
      </c>
      <c r="AT45" s="33"/>
      <c r="AU45" s="33"/>
      <c r="AV45" s="33"/>
      <c r="AW45" s="33">
        <v>0.0</v>
      </c>
      <c r="AX45" s="33"/>
      <c r="AY45" s="33"/>
      <c r="AZ45" s="33"/>
      <c r="BA45" s="33">
        <v>0.0</v>
      </c>
      <c r="BB45" s="7"/>
      <c r="BC45" s="7"/>
      <c r="BD45" s="7"/>
      <c r="BE45" s="7"/>
      <c r="BF45" s="7"/>
      <c r="BG45" s="7"/>
      <c r="BH45" s="7"/>
      <c r="BI45" s="7"/>
      <c r="BJ45" s="7"/>
      <c r="BK45" s="7"/>
    </row>
    <row r="46" ht="9.0" customHeight="1">
      <c r="A46" s="41" t="s">
        <v>96</v>
      </c>
      <c r="B46" s="42">
        <f t="shared" si="63"/>
        <v>63455.42</v>
      </c>
      <c r="C46" s="42"/>
      <c r="D46" s="42"/>
      <c r="E46" s="42"/>
      <c r="F46" s="42"/>
      <c r="G46" s="42"/>
      <c r="H46" s="42"/>
      <c r="I46" s="42">
        <f>I42-I40</f>
        <v>31940.54</v>
      </c>
      <c r="J46" s="42"/>
      <c r="K46" s="42"/>
      <c r="L46" s="42"/>
      <c r="M46" s="42">
        <f>M42-M40</f>
        <v>-1251.08</v>
      </c>
      <c r="N46" s="42"/>
      <c r="O46" s="42"/>
      <c r="P46" s="42"/>
      <c r="Q46" s="42">
        <f>Q42-Q40</f>
        <v>28253.15</v>
      </c>
      <c r="R46" s="42"/>
      <c r="S46" s="42"/>
      <c r="T46" s="42"/>
      <c r="U46" s="42">
        <f>U42-U40</f>
        <v>45018.97</v>
      </c>
      <c r="V46" s="42"/>
      <c r="W46" s="42"/>
      <c r="X46" s="42"/>
      <c r="Y46" s="42">
        <f>Y42-Y40</f>
        <v>52156.2</v>
      </c>
      <c r="Z46" s="42"/>
      <c r="AA46" s="42"/>
      <c r="AB46" s="42"/>
      <c r="AC46" s="42">
        <f>AC42-AC40</f>
        <v>-4122.93</v>
      </c>
      <c r="AD46" s="42"/>
      <c r="AE46" s="42"/>
      <c r="AF46" s="42"/>
      <c r="AG46" s="42">
        <f>AG42-AG40</f>
        <v>-42289.06</v>
      </c>
      <c r="AH46" s="42"/>
      <c r="AI46" s="42"/>
      <c r="AJ46" s="42"/>
      <c r="AK46" s="42">
        <f>AK42-AK40</f>
        <v>2456.54</v>
      </c>
      <c r="AL46" s="42"/>
      <c r="AM46" s="42"/>
      <c r="AN46" s="42"/>
      <c r="AO46" s="42">
        <f>AO42-AO40</f>
        <v>-11557.79</v>
      </c>
      <c r="AP46" s="42"/>
      <c r="AQ46" s="42"/>
      <c r="AR46" s="42"/>
      <c r="AS46" s="42">
        <f>AS42-AS40</f>
        <v>-9480.35</v>
      </c>
      <c r="AT46" s="42"/>
      <c r="AU46" s="42"/>
      <c r="AV46" s="42"/>
      <c r="AW46" s="42">
        <f>AW42-AW40</f>
        <v>32895.15</v>
      </c>
      <c r="AX46" s="42"/>
      <c r="AY46" s="42"/>
      <c r="AZ46" s="42"/>
      <c r="BA46" s="42">
        <f>BA42-BA40</f>
        <v>-60563.92</v>
      </c>
      <c r="BB46" s="7"/>
      <c r="BC46" s="7"/>
      <c r="BD46" s="7"/>
      <c r="BE46" s="7"/>
      <c r="BF46" s="7"/>
      <c r="BG46" s="7"/>
      <c r="BH46" s="7"/>
      <c r="BI46" s="7"/>
      <c r="BJ46" s="7"/>
      <c r="BK46" s="7"/>
    </row>
    <row r="47" ht="9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</row>
    <row r="48" ht="9.0" customHeight="1">
      <c r="A48" s="7"/>
      <c r="B48" s="43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44" t="s">
        <v>97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</row>
    <row r="49" ht="9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</row>
    <row r="50" ht="9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</row>
    <row r="51" ht="9.0" customHeight="1">
      <c r="A51" s="7"/>
      <c r="B51" s="7"/>
      <c r="C51" s="7"/>
      <c r="D51" s="7"/>
      <c r="E51" s="7"/>
      <c r="F51" s="7"/>
      <c r="G51" s="7"/>
      <c r="H51" s="7"/>
      <c r="I51" s="45"/>
      <c r="J51" s="45"/>
      <c r="K51" s="45"/>
      <c r="L51" s="45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47.5"/>
    <col customWidth="1" min="2" max="2" width="8.63"/>
    <col customWidth="1" min="3" max="10" width="7.75"/>
    <col customWidth="1" min="11" max="11" width="9.0"/>
    <col customWidth="1" min="12" max="12" width="7.75"/>
    <col customWidth="1" min="13" max="13" width="8.63"/>
    <col customWidth="1" min="14" max="14" width="8.13"/>
  </cols>
  <sheetData>
    <row r="1" ht="18.75" customHeight="1">
      <c r="A1" s="46" t="s">
        <v>98</v>
      </c>
      <c r="B1" s="47" t="s">
        <v>99</v>
      </c>
      <c r="C1" s="47" t="s">
        <v>100</v>
      </c>
      <c r="D1" s="47" t="s">
        <v>101</v>
      </c>
      <c r="E1" s="47" t="s">
        <v>102</v>
      </c>
      <c r="F1" s="47" t="s">
        <v>103</v>
      </c>
      <c r="G1" s="47" t="s">
        <v>104</v>
      </c>
      <c r="H1" s="47" t="s">
        <v>105</v>
      </c>
      <c r="I1" s="47" t="s">
        <v>106</v>
      </c>
      <c r="J1" s="47" t="s">
        <v>107</v>
      </c>
      <c r="K1" s="47" t="s">
        <v>108</v>
      </c>
      <c r="L1" s="47" t="s">
        <v>109</v>
      </c>
      <c r="M1" s="47" t="s">
        <v>110</v>
      </c>
      <c r="N1" s="47" t="s">
        <v>111</v>
      </c>
    </row>
    <row r="2" ht="18.75" customHeight="1">
      <c r="A2" s="48" t="s">
        <v>112</v>
      </c>
      <c r="B2" s="49">
        <f t="shared" ref="B2:B4" si="1">SUM(C2:N2)</f>
        <v>131477.53</v>
      </c>
      <c r="C2" s="50">
        <v>9090.8</v>
      </c>
      <c r="D2" s="50">
        <v>8192.76</v>
      </c>
      <c r="E2" s="50">
        <v>10401.58</v>
      </c>
      <c r="F2" s="50">
        <v>12234.0</v>
      </c>
      <c r="G2" s="50">
        <v>8752.2</v>
      </c>
      <c r="H2" s="50">
        <v>9205.14</v>
      </c>
      <c r="I2" s="50">
        <v>11647.98</v>
      </c>
      <c r="J2" s="50">
        <v>12730.7</v>
      </c>
      <c r="K2" s="50">
        <v>12850.01</v>
      </c>
      <c r="L2" s="50">
        <v>11850.0</v>
      </c>
      <c r="M2" s="50">
        <v>11742.36</v>
      </c>
      <c r="N2" s="51">
        <v>12780.0</v>
      </c>
    </row>
    <row r="3" ht="18.75" customHeight="1">
      <c r="A3" s="48" t="s">
        <v>113</v>
      </c>
      <c r="B3" s="49">
        <f t="shared" si="1"/>
        <v>42105.89</v>
      </c>
      <c r="C3" s="50">
        <v>3500.0</v>
      </c>
      <c r="D3" s="50">
        <v>2561.23</v>
      </c>
      <c r="E3" s="50">
        <v>2808.0</v>
      </c>
      <c r="F3" s="50">
        <v>3500.0</v>
      </c>
      <c r="G3" s="50">
        <v>3176.0</v>
      </c>
      <c r="H3" s="50">
        <v>3304.34</v>
      </c>
      <c r="I3" s="50">
        <v>2900.0</v>
      </c>
      <c r="J3" s="50">
        <v>2900.0</v>
      </c>
      <c r="K3" s="50">
        <v>2900.0</v>
      </c>
      <c r="L3" s="50">
        <v>7876.32</v>
      </c>
      <c r="M3" s="52">
        <v>3780.0</v>
      </c>
      <c r="N3" s="50">
        <v>2900.0</v>
      </c>
    </row>
    <row r="4" ht="18.75" customHeight="1">
      <c r="A4" s="53" t="s">
        <v>114</v>
      </c>
      <c r="B4" s="54">
        <f t="shared" si="1"/>
        <v>173583.42</v>
      </c>
      <c r="C4" s="55">
        <f t="shared" ref="C4:N4" si="2">C2+C3</f>
        <v>12590.8</v>
      </c>
      <c r="D4" s="55">
        <f t="shared" si="2"/>
        <v>10753.99</v>
      </c>
      <c r="E4" s="55">
        <f t="shared" si="2"/>
        <v>13209.58</v>
      </c>
      <c r="F4" s="55">
        <f t="shared" si="2"/>
        <v>15734</v>
      </c>
      <c r="G4" s="55">
        <f t="shared" si="2"/>
        <v>11928.2</v>
      </c>
      <c r="H4" s="55">
        <f t="shared" si="2"/>
        <v>12509.48</v>
      </c>
      <c r="I4" s="55">
        <f t="shared" si="2"/>
        <v>14547.98</v>
      </c>
      <c r="J4" s="55">
        <f t="shared" si="2"/>
        <v>15630.7</v>
      </c>
      <c r="K4" s="55">
        <f t="shared" si="2"/>
        <v>15750.01</v>
      </c>
      <c r="L4" s="55">
        <f t="shared" si="2"/>
        <v>19726.32</v>
      </c>
      <c r="M4" s="55">
        <f t="shared" si="2"/>
        <v>15522.36</v>
      </c>
      <c r="N4" s="56">
        <f t="shared" si="2"/>
        <v>15680</v>
      </c>
    </row>
    <row r="5" ht="9.75" customHeight="1">
      <c r="A5" s="57"/>
      <c r="N5" s="58"/>
    </row>
    <row r="6" ht="18.75" customHeight="1">
      <c r="A6" s="59" t="s">
        <v>115</v>
      </c>
      <c r="B6" s="60" t="s">
        <v>99</v>
      </c>
      <c r="C6" s="60" t="s">
        <v>100</v>
      </c>
      <c r="D6" s="60"/>
      <c r="E6" s="60" t="s">
        <v>102</v>
      </c>
      <c r="F6" s="60" t="s">
        <v>103</v>
      </c>
      <c r="G6" s="60" t="s">
        <v>104</v>
      </c>
      <c r="H6" s="60" t="s">
        <v>105</v>
      </c>
      <c r="I6" s="60" t="s">
        <v>106</v>
      </c>
      <c r="J6" s="60" t="s">
        <v>107</v>
      </c>
      <c r="K6" s="60" t="s">
        <v>108</v>
      </c>
      <c r="L6" s="60" t="s">
        <v>109</v>
      </c>
      <c r="M6" s="60" t="s">
        <v>110</v>
      </c>
      <c r="N6" s="60" t="s">
        <v>111</v>
      </c>
    </row>
    <row r="7" ht="18.75" customHeight="1">
      <c r="A7" s="48" t="s">
        <v>116</v>
      </c>
      <c r="B7" s="49">
        <f t="shared" ref="B7:B12" si="3">SUM(C7:N7)</f>
        <v>9005</v>
      </c>
      <c r="C7" s="50">
        <v>1645.0</v>
      </c>
      <c r="D7" s="50">
        <v>275.0</v>
      </c>
      <c r="E7" s="50"/>
      <c r="F7" s="50"/>
      <c r="G7" s="50">
        <v>4550.0</v>
      </c>
      <c r="H7" s="50">
        <v>2535.0</v>
      </c>
      <c r="I7" s="61" t="s">
        <v>117</v>
      </c>
      <c r="J7" s="62"/>
      <c r="K7" s="62"/>
      <c r="L7" s="62"/>
      <c r="M7" s="62"/>
      <c r="N7" s="63"/>
    </row>
    <row r="8" ht="18.75" customHeight="1">
      <c r="A8" s="64" t="s">
        <v>118</v>
      </c>
      <c r="B8" s="49">
        <f t="shared" si="3"/>
        <v>0</v>
      </c>
      <c r="C8" s="50"/>
      <c r="D8" s="50">
        <v>0.0</v>
      </c>
      <c r="E8" s="50"/>
      <c r="F8" s="50"/>
      <c r="G8" s="50"/>
      <c r="H8" s="50"/>
      <c r="I8" s="65"/>
      <c r="N8" s="66"/>
    </row>
    <row r="9" ht="18.75" customHeight="1">
      <c r="A9" s="48" t="s">
        <v>119</v>
      </c>
      <c r="B9" s="49">
        <f t="shared" si="3"/>
        <v>540</v>
      </c>
      <c r="C9" s="50">
        <v>340.0</v>
      </c>
      <c r="D9" s="50">
        <v>200.0</v>
      </c>
      <c r="E9" s="50"/>
      <c r="F9" s="50"/>
      <c r="G9" s="50"/>
      <c r="H9" s="50"/>
      <c r="I9" s="65"/>
      <c r="N9" s="66"/>
    </row>
    <row r="10" ht="18.75" customHeight="1">
      <c r="A10" s="48" t="s">
        <v>120</v>
      </c>
      <c r="B10" s="49">
        <f t="shared" si="3"/>
        <v>1692</v>
      </c>
      <c r="C10" s="50">
        <v>160.0</v>
      </c>
      <c r="D10" s="50">
        <v>12.0</v>
      </c>
      <c r="E10" s="50">
        <v>500.0</v>
      </c>
      <c r="F10" s="50">
        <v>900.0</v>
      </c>
      <c r="G10" s="50">
        <v>120.0</v>
      </c>
      <c r="H10" s="50"/>
      <c r="I10" s="65"/>
      <c r="N10" s="66"/>
    </row>
    <row r="11" ht="18.75" customHeight="1">
      <c r="A11" s="48" t="s">
        <v>121</v>
      </c>
      <c r="B11" s="49">
        <f t="shared" si="3"/>
        <v>300</v>
      </c>
      <c r="C11" s="50">
        <v>110.0</v>
      </c>
      <c r="D11" s="50">
        <v>0.0</v>
      </c>
      <c r="E11" s="50">
        <v>190.0</v>
      </c>
      <c r="F11" s="50"/>
      <c r="G11" s="50"/>
      <c r="H11" s="50"/>
      <c r="I11" s="67"/>
      <c r="J11" s="68"/>
      <c r="K11" s="68"/>
      <c r="L11" s="68"/>
      <c r="M11" s="68"/>
      <c r="N11" s="69"/>
    </row>
    <row r="12" ht="18.75" customHeight="1">
      <c r="A12" s="70" t="s">
        <v>114</v>
      </c>
      <c r="B12" s="55">
        <f t="shared" si="3"/>
        <v>11537</v>
      </c>
      <c r="C12" s="55">
        <f t="shared" ref="C12:H12" si="4">SUM(C7:C11)</f>
        <v>2255</v>
      </c>
      <c r="D12" s="55">
        <f t="shared" si="4"/>
        <v>487</v>
      </c>
      <c r="E12" s="55">
        <f t="shared" si="4"/>
        <v>690</v>
      </c>
      <c r="F12" s="55">
        <f t="shared" si="4"/>
        <v>900</v>
      </c>
      <c r="G12" s="55">
        <f t="shared" si="4"/>
        <v>4670</v>
      </c>
      <c r="H12" s="55">
        <f t="shared" si="4"/>
        <v>2535</v>
      </c>
      <c r="I12" s="71"/>
      <c r="J12" s="72"/>
      <c r="K12" s="72"/>
      <c r="L12" s="72"/>
      <c r="M12" s="72"/>
      <c r="N12" s="73"/>
    </row>
    <row r="13" ht="6.75" customHeight="1">
      <c r="A13" s="57"/>
      <c r="N13" s="58"/>
    </row>
    <row r="14" ht="18.75" customHeight="1">
      <c r="A14" s="74" t="s">
        <v>122</v>
      </c>
      <c r="B14" s="75" t="s">
        <v>99</v>
      </c>
      <c r="C14" s="75" t="s">
        <v>100</v>
      </c>
      <c r="D14" s="75" t="s">
        <v>101</v>
      </c>
      <c r="E14" s="75" t="s">
        <v>102</v>
      </c>
      <c r="F14" s="75" t="s">
        <v>103</v>
      </c>
      <c r="G14" s="75" t="s">
        <v>104</v>
      </c>
      <c r="H14" s="75" t="s">
        <v>105</v>
      </c>
      <c r="I14" s="75" t="s">
        <v>106</v>
      </c>
      <c r="J14" s="75" t="s">
        <v>107</v>
      </c>
      <c r="K14" s="75" t="s">
        <v>108</v>
      </c>
      <c r="L14" s="75" t="s">
        <v>109</v>
      </c>
      <c r="M14" s="75" t="s">
        <v>110</v>
      </c>
      <c r="N14" s="75" t="s">
        <v>111</v>
      </c>
    </row>
    <row r="15" ht="18.75" customHeight="1">
      <c r="A15" s="48" t="s">
        <v>123</v>
      </c>
      <c r="B15" s="49">
        <f t="shared" ref="B15:B17" si="5">SUM(C15:N15)</f>
        <v>9690</v>
      </c>
      <c r="C15" s="61" t="s">
        <v>124</v>
      </c>
      <c r="D15" s="62"/>
      <c r="E15" s="62"/>
      <c r="F15" s="62"/>
      <c r="G15" s="62"/>
      <c r="H15" s="62"/>
      <c r="I15" s="76">
        <v>0.0</v>
      </c>
      <c r="J15" s="76">
        <v>0.0</v>
      </c>
      <c r="K15" s="77">
        <v>1760.0</v>
      </c>
      <c r="L15" s="77">
        <v>3185.0</v>
      </c>
      <c r="M15" s="78">
        <v>2470.0</v>
      </c>
      <c r="N15" s="77">
        <v>2275.0</v>
      </c>
    </row>
    <row r="16" ht="18.75" customHeight="1">
      <c r="A16" s="48" t="s">
        <v>125</v>
      </c>
      <c r="B16" s="49">
        <f t="shared" si="5"/>
        <v>6000</v>
      </c>
      <c r="C16" s="65"/>
      <c r="I16" s="77">
        <v>1500.0</v>
      </c>
      <c r="J16" s="77">
        <v>1500.0</v>
      </c>
      <c r="K16" s="77">
        <v>450.0</v>
      </c>
      <c r="L16" s="77">
        <v>1200.0</v>
      </c>
      <c r="M16" s="77">
        <v>450.0</v>
      </c>
      <c r="N16" s="77">
        <v>900.0</v>
      </c>
    </row>
    <row r="17" ht="18.75" customHeight="1">
      <c r="A17" s="48" t="s">
        <v>126</v>
      </c>
      <c r="B17" s="49">
        <f t="shared" si="5"/>
        <v>1640</v>
      </c>
      <c r="C17" s="65"/>
      <c r="I17" s="77">
        <v>600.0</v>
      </c>
      <c r="J17" s="77">
        <v>280.0</v>
      </c>
      <c r="K17" s="77">
        <v>120.0</v>
      </c>
      <c r="L17" s="77">
        <v>240.0</v>
      </c>
      <c r="M17" s="77">
        <v>240.0</v>
      </c>
      <c r="N17" s="77">
        <v>160.0</v>
      </c>
    </row>
    <row r="18" ht="18.75" customHeight="1">
      <c r="A18" s="70" t="s">
        <v>114</v>
      </c>
      <c r="B18" s="55">
        <f>B15+B16+B17</f>
        <v>17330</v>
      </c>
      <c r="C18" s="71"/>
      <c r="D18" s="72"/>
      <c r="E18" s="72"/>
      <c r="F18" s="72"/>
      <c r="G18" s="72"/>
      <c r="H18" s="73"/>
      <c r="I18" s="55">
        <f t="shared" ref="I18:N18" si="6">I15+I16+I17</f>
        <v>2100</v>
      </c>
      <c r="J18" s="55">
        <f t="shared" si="6"/>
        <v>1780</v>
      </c>
      <c r="K18" s="55">
        <f t="shared" si="6"/>
        <v>2330</v>
      </c>
      <c r="L18" s="55">
        <f t="shared" si="6"/>
        <v>4625</v>
      </c>
      <c r="M18" s="55">
        <f t="shared" si="6"/>
        <v>3160</v>
      </c>
      <c r="N18" s="55">
        <f t="shared" si="6"/>
        <v>3335</v>
      </c>
    </row>
    <row r="19" ht="8.25" customHeight="1">
      <c r="A19" s="57"/>
      <c r="N19" s="58"/>
    </row>
    <row r="20" ht="18.75" customHeight="1">
      <c r="A20" s="79" t="s">
        <v>127</v>
      </c>
      <c r="B20" s="80" t="s">
        <v>99</v>
      </c>
      <c r="C20" s="80" t="s">
        <v>100</v>
      </c>
      <c r="D20" s="80" t="s">
        <v>101</v>
      </c>
      <c r="E20" s="81" t="s">
        <v>102</v>
      </c>
      <c r="F20" s="80" t="s">
        <v>103</v>
      </c>
      <c r="G20" s="80" t="s">
        <v>104</v>
      </c>
      <c r="H20" s="80" t="s">
        <v>105</v>
      </c>
      <c r="I20" s="80" t="s">
        <v>106</v>
      </c>
      <c r="J20" s="80" t="s">
        <v>107</v>
      </c>
      <c r="K20" s="80" t="s">
        <v>108</v>
      </c>
      <c r="L20" s="80" t="s">
        <v>109</v>
      </c>
      <c r="M20" s="80" t="s">
        <v>110</v>
      </c>
      <c r="N20" s="80" t="s">
        <v>111</v>
      </c>
    </row>
    <row r="21" ht="18.75" customHeight="1">
      <c r="A21" s="48" t="s">
        <v>128</v>
      </c>
      <c r="B21" s="49">
        <f t="shared" ref="B21:B23" si="7">SUM(C21:N21)</f>
        <v>9720</v>
      </c>
      <c r="C21" s="61" t="s">
        <v>124</v>
      </c>
      <c r="D21" s="62"/>
      <c r="E21" s="62"/>
      <c r="F21" s="62"/>
      <c r="G21" s="62"/>
      <c r="H21" s="63"/>
      <c r="I21" s="77">
        <v>3520.0</v>
      </c>
      <c r="J21" s="77">
        <v>3360.0</v>
      </c>
      <c r="K21" s="77">
        <v>475.0</v>
      </c>
      <c r="L21" s="77">
        <v>0.0</v>
      </c>
      <c r="M21" s="77">
        <v>675.0</v>
      </c>
      <c r="N21" s="77">
        <v>1690.0</v>
      </c>
    </row>
    <row r="22" ht="18.75" customHeight="1">
      <c r="A22" s="48" t="s">
        <v>129</v>
      </c>
      <c r="B22" s="49">
        <f t="shared" si="7"/>
        <v>1850</v>
      </c>
      <c r="C22" s="65"/>
      <c r="H22" s="66"/>
      <c r="I22" s="77">
        <v>150.0</v>
      </c>
      <c r="J22" s="77">
        <v>500.0</v>
      </c>
      <c r="K22" s="77">
        <v>300.0</v>
      </c>
      <c r="L22" s="77">
        <v>300.0</v>
      </c>
      <c r="M22" s="77">
        <v>300.0</v>
      </c>
      <c r="N22" s="77">
        <v>300.0</v>
      </c>
    </row>
    <row r="23" ht="18.75" customHeight="1">
      <c r="A23" s="48" t="s">
        <v>130</v>
      </c>
      <c r="B23" s="49">
        <f t="shared" si="7"/>
        <v>510</v>
      </c>
      <c r="C23" s="67"/>
      <c r="D23" s="68"/>
      <c r="E23" s="68"/>
      <c r="F23" s="68"/>
      <c r="G23" s="68"/>
      <c r="H23" s="69"/>
      <c r="I23" s="78">
        <v>100.0</v>
      </c>
      <c r="J23" s="77">
        <v>140.0</v>
      </c>
      <c r="K23" s="77">
        <v>40.0</v>
      </c>
      <c r="L23" s="77">
        <v>120.0</v>
      </c>
      <c r="M23" s="77">
        <v>30.0</v>
      </c>
      <c r="N23" s="77">
        <v>80.0</v>
      </c>
    </row>
    <row r="24" ht="18.75" customHeight="1">
      <c r="A24" s="70" t="s">
        <v>114</v>
      </c>
      <c r="B24" s="55">
        <f>B21+B22+B23</f>
        <v>12080</v>
      </c>
      <c r="C24" s="71"/>
      <c r="D24" s="72"/>
      <c r="E24" s="72"/>
      <c r="F24" s="72"/>
      <c r="G24" s="72"/>
      <c r="H24" s="73"/>
      <c r="I24" s="55">
        <f t="shared" ref="I24:N24" si="8">I21+I22+I23</f>
        <v>3770</v>
      </c>
      <c r="J24" s="55">
        <f t="shared" si="8"/>
        <v>4000</v>
      </c>
      <c r="K24" s="55">
        <f t="shared" si="8"/>
        <v>815</v>
      </c>
      <c r="L24" s="55">
        <f t="shared" si="8"/>
        <v>420</v>
      </c>
      <c r="M24" s="55">
        <f t="shared" si="8"/>
        <v>1005</v>
      </c>
      <c r="N24" s="55">
        <f t="shared" si="8"/>
        <v>2070</v>
      </c>
    </row>
  </sheetData>
  <mergeCells count="9">
    <mergeCell ref="C21:H23"/>
    <mergeCell ref="C24:H24"/>
    <mergeCell ref="A5:N5"/>
    <mergeCell ref="I7:N11"/>
    <mergeCell ref="I12:N12"/>
    <mergeCell ref="A13:N13"/>
    <mergeCell ref="C15:H17"/>
    <mergeCell ref="C18:H18"/>
    <mergeCell ref="A19:N1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50.38"/>
    <col customWidth="1" min="2" max="2" width="8.0"/>
    <col customWidth="1" min="3" max="8" width="7.38"/>
    <col customWidth="1" min="9" max="9" width="7.75"/>
    <col customWidth="1" min="10" max="10" width="8.75"/>
    <col customWidth="1" min="11" max="11" width="10.25"/>
    <col customWidth="1" min="12" max="13" width="8.88"/>
    <col customWidth="1" min="14" max="14" width="9.63"/>
  </cols>
  <sheetData>
    <row r="1" ht="18.0" customHeight="1">
      <c r="A1" s="82" t="s">
        <v>131</v>
      </c>
      <c r="B1" s="83" t="s">
        <v>99</v>
      </c>
      <c r="C1" s="83" t="s">
        <v>100</v>
      </c>
      <c r="D1" s="83" t="s">
        <v>101</v>
      </c>
      <c r="E1" s="83" t="s">
        <v>102</v>
      </c>
      <c r="F1" s="83" t="s">
        <v>103</v>
      </c>
      <c r="G1" s="83" t="s">
        <v>104</v>
      </c>
      <c r="H1" s="83" t="s">
        <v>105</v>
      </c>
      <c r="I1" s="83" t="s">
        <v>106</v>
      </c>
      <c r="J1" s="83" t="s">
        <v>107</v>
      </c>
      <c r="K1" s="83" t="s">
        <v>108</v>
      </c>
      <c r="L1" s="83" t="s">
        <v>109</v>
      </c>
      <c r="M1" s="83" t="s">
        <v>110</v>
      </c>
      <c r="N1" s="83" t="s">
        <v>111</v>
      </c>
    </row>
    <row r="2" ht="18.0" customHeight="1">
      <c r="A2" s="64" t="s">
        <v>132</v>
      </c>
      <c r="B2" s="84">
        <f t="shared" ref="B2:B8" si="1">SUM(C2:N2)</f>
        <v>26045</v>
      </c>
      <c r="C2" s="77">
        <v>6395.0</v>
      </c>
      <c r="D2" s="50">
        <v>9650.0</v>
      </c>
      <c r="E2" s="50">
        <v>0.0</v>
      </c>
      <c r="F2" s="50">
        <v>0.0</v>
      </c>
      <c r="G2" s="50">
        <v>0.0</v>
      </c>
      <c r="H2" s="50">
        <v>4450.0</v>
      </c>
      <c r="I2" s="85">
        <v>1185.0</v>
      </c>
      <c r="J2" s="85">
        <v>1275.0</v>
      </c>
      <c r="K2" s="85">
        <v>1140.0</v>
      </c>
      <c r="L2" s="85">
        <v>-120.0</v>
      </c>
      <c r="M2" s="85">
        <v>1030.0</v>
      </c>
      <c r="N2" s="85">
        <v>1040.0</v>
      </c>
    </row>
    <row r="3" ht="18.0" customHeight="1">
      <c r="A3" s="48" t="s">
        <v>133</v>
      </c>
      <c r="B3" s="84">
        <f t="shared" si="1"/>
        <v>13950</v>
      </c>
      <c r="C3" s="50">
        <v>2100.0</v>
      </c>
      <c r="D3" s="50">
        <v>2320.0</v>
      </c>
      <c r="E3" s="50">
        <v>2200.0</v>
      </c>
      <c r="F3" s="77">
        <v>1065.0</v>
      </c>
      <c r="G3" s="77">
        <v>1215.0</v>
      </c>
      <c r="H3" s="86">
        <v>1185.0</v>
      </c>
      <c r="I3" s="85">
        <v>1140.0</v>
      </c>
      <c r="J3" s="85">
        <v>835.0</v>
      </c>
      <c r="K3" s="85">
        <v>1290.0</v>
      </c>
      <c r="L3" s="85">
        <v>600.0</v>
      </c>
      <c r="M3" s="86"/>
      <c r="N3" s="85"/>
    </row>
    <row r="4" ht="18.0" customHeight="1">
      <c r="A4" s="87" t="s">
        <v>134</v>
      </c>
      <c r="B4" s="84">
        <f t="shared" si="1"/>
        <v>4448</v>
      </c>
      <c r="C4" s="77">
        <v>23.0</v>
      </c>
      <c r="D4" s="77">
        <v>0.0</v>
      </c>
      <c r="E4" s="77">
        <v>0.0</v>
      </c>
      <c r="F4" s="50">
        <v>3680.0</v>
      </c>
      <c r="G4" s="77">
        <v>580.0</v>
      </c>
      <c r="H4" s="77">
        <v>165.0</v>
      </c>
      <c r="I4" s="88" t="s">
        <v>135</v>
      </c>
    </row>
    <row r="5" ht="18.0" customHeight="1">
      <c r="A5" s="87" t="s">
        <v>136</v>
      </c>
      <c r="B5" s="84">
        <f t="shared" si="1"/>
        <v>3283</v>
      </c>
      <c r="C5" s="89" t="s">
        <v>137</v>
      </c>
      <c r="D5" s="72"/>
      <c r="E5" s="72"/>
      <c r="F5" s="72"/>
      <c r="G5" s="72"/>
      <c r="H5" s="72"/>
      <c r="I5" s="72"/>
      <c r="J5" s="72"/>
      <c r="K5" s="73"/>
      <c r="L5" s="90">
        <v>0.0</v>
      </c>
      <c r="M5" s="90">
        <v>420.0</v>
      </c>
      <c r="N5" s="90">
        <v>2863.0</v>
      </c>
    </row>
    <row r="6" ht="18.0" customHeight="1">
      <c r="A6" s="48" t="s">
        <v>138</v>
      </c>
      <c r="B6" s="84">
        <f t="shared" si="1"/>
        <v>0</v>
      </c>
      <c r="C6" s="91" t="s">
        <v>139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</row>
    <row r="7" ht="18.0" customHeight="1">
      <c r="A7" s="48" t="s">
        <v>140</v>
      </c>
      <c r="B7" s="84">
        <f t="shared" si="1"/>
        <v>0</v>
      </c>
      <c r="C7" s="67"/>
      <c r="D7" s="68"/>
      <c r="E7" s="68"/>
      <c r="F7" s="68"/>
      <c r="G7" s="68"/>
      <c r="H7" s="68"/>
      <c r="I7" s="68"/>
      <c r="J7" s="68"/>
      <c r="K7" s="68"/>
      <c r="L7" s="68"/>
      <c r="M7" s="68"/>
      <c r="N7" s="69"/>
    </row>
    <row r="8" ht="18.0" customHeight="1">
      <c r="A8" s="53" t="s">
        <v>114</v>
      </c>
      <c r="B8" s="54">
        <f t="shared" si="1"/>
        <v>47726</v>
      </c>
      <c r="C8" s="54">
        <f t="shared" ref="C8:H8" si="2">C2+C3+C4</f>
        <v>8518</v>
      </c>
      <c r="D8" s="54">
        <f t="shared" si="2"/>
        <v>11970</v>
      </c>
      <c r="E8" s="54">
        <f t="shared" si="2"/>
        <v>2200</v>
      </c>
      <c r="F8" s="54">
        <f t="shared" si="2"/>
        <v>4745</v>
      </c>
      <c r="G8" s="54">
        <f t="shared" si="2"/>
        <v>1795</v>
      </c>
      <c r="H8" s="54">
        <f t="shared" si="2"/>
        <v>5800</v>
      </c>
      <c r="I8" s="54">
        <f t="shared" ref="I8:K8" si="3">I2+I3</f>
        <v>2325</v>
      </c>
      <c r="J8" s="54">
        <f t="shared" si="3"/>
        <v>2110</v>
      </c>
      <c r="K8" s="54">
        <f t="shared" si="3"/>
        <v>2430</v>
      </c>
      <c r="L8" s="54">
        <f t="shared" ref="L8:N8" si="4">L2+L3+L5</f>
        <v>480</v>
      </c>
      <c r="M8" s="54">
        <f t="shared" si="4"/>
        <v>1450</v>
      </c>
      <c r="N8" s="54">
        <f t="shared" si="4"/>
        <v>3903</v>
      </c>
    </row>
    <row r="9" ht="13.5" customHeight="1">
      <c r="A9" s="57"/>
      <c r="N9" s="58"/>
    </row>
    <row r="10" ht="16.5" customHeight="1">
      <c r="A10" s="82" t="s">
        <v>141</v>
      </c>
      <c r="B10" s="83" t="s">
        <v>99</v>
      </c>
      <c r="C10" s="83" t="s">
        <v>100</v>
      </c>
      <c r="D10" s="83" t="s">
        <v>101</v>
      </c>
      <c r="E10" s="83" t="s">
        <v>102</v>
      </c>
      <c r="F10" s="83" t="s">
        <v>103</v>
      </c>
      <c r="G10" s="83" t="s">
        <v>104</v>
      </c>
      <c r="H10" s="83" t="s">
        <v>105</v>
      </c>
      <c r="I10" s="83" t="s">
        <v>106</v>
      </c>
      <c r="J10" s="83" t="s">
        <v>107</v>
      </c>
      <c r="K10" s="83" t="s">
        <v>108</v>
      </c>
      <c r="L10" s="83" t="s">
        <v>109</v>
      </c>
      <c r="M10" s="83" t="s">
        <v>110</v>
      </c>
      <c r="N10" s="83" t="s">
        <v>111</v>
      </c>
    </row>
    <row r="11" ht="16.5" customHeight="1">
      <c r="A11" s="92" t="s">
        <v>142</v>
      </c>
      <c r="B11" s="49">
        <f>SUM(C11:N11)</f>
        <v>76290</v>
      </c>
      <c r="C11" s="93" t="s">
        <v>137</v>
      </c>
      <c r="D11" s="72"/>
      <c r="E11" s="72"/>
      <c r="F11" s="72"/>
      <c r="G11" s="72"/>
      <c r="H11" s="73"/>
      <c r="I11" s="50">
        <v>12715.0</v>
      </c>
      <c r="J11" s="50">
        <v>12715.0</v>
      </c>
      <c r="K11" s="50">
        <v>12715.0</v>
      </c>
      <c r="L11" s="50">
        <v>12715.0</v>
      </c>
      <c r="M11" s="50">
        <v>12715.0</v>
      </c>
      <c r="N11" s="50">
        <v>12715.0</v>
      </c>
    </row>
    <row r="12" ht="33.75" customHeight="1">
      <c r="A12" s="94"/>
      <c r="N12" s="58"/>
    </row>
    <row r="13" ht="18.0" customHeight="1">
      <c r="A13" s="95" t="s">
        <v>143</v>
      </c>
      <c r="B13" s="83" t="s">
        <v>99</v>
      </c>
      <c r="C13" s="83" t="s">
        <v>100</v>
      </c>
      <c r="D13" s="83" t="s">
        <v>101</v>
      </c>
      <c r="E13" s="83" t="s">
        <v>102</v>
      </c>
      <c r="F13" s="83" t="s">
        <v>103</v>
      </c>
      <c r="G13" s="83" t="s">
        <v>104</v>
      </c>
      <c r="H13" s="83" t="s">
        <v>105</v>
      </c>
      <c r="I13" s="83" t="s">
        <v>106</v>
      </c>
      <c r="J13" s="83" t="s">
        <v>107</v>
      </c>
      <c r="K13" s="83" t="s">
        <v>108</v>
      </c>
      <c r="L13" s="83" t="s">
        <v>109</v>
      </c>
      <c r="M13" s="83" t="s">
        <v>110</v>
      </c>
      <c r="N13" s="83" t="s">
        <v>111</v>
      </c>
    </row>
    <row r="14" ht="12.0" customHeight="1">
      <c r="A14" s="64" t="s">
        <v>144</v>
      </c>
      <c r="B14" s="96">
        <f t="shared" ref="B14:B22" si="5">SUM(C14:N14)</f>
        <v>0</v>
      </c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</row>
    <row r="15" ht="12.0" customHeight="1">
      <c r="A15" s="64" t="s">
        <v>145</v>
      </c>
      <c r="B15" s="96">
        <f t="shared" si="5"/>
        <v>0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</row>
    <row r="16" ht="12.0" customHeight="1">
      <c r="A16" s="98" t="s">
        <v>146</v>
      </c>
      <c r="B16" s="99">
        <f t="shared" si="5"/>
        <v>0</v>
      </c>
      <c r="C16" s="99">
        <f t="shared" ref="C16:N16" si="6">SUM(C14:C15)</f>
        <v>0</v>
      </c>
      <c r="D16" s="99">
        <f t="shared" si="6"/>
        <v>0</v>
      </c>
      <c r="E16" s="99">
        <f t="shared" si="6"/>
        <v>0</v>
      </c>
      <c r="F16" s="99">
        <f t="shared" si="6"/>
        <v>0</v>
      </c>
      <c r="G16" s="99">
        <f t="shared" si="6"/>
        <v>0</v>
      </c>
      <c r="H16" s="99">
        <f t="shared" si="6"/>
        <v>0</v>
      </c>
      <c r="I16" s="99">
        <f t="shared" si="6"/>
        <v>0</v>
      </c>
      <c r="J16" s="99">
        <f t="shared" si="6"/>
        <v>0</v>
      </c>
      <c r="K16" s="99">
        <f t="shared" si="6"/>
        <v>0</v>
      </c>
      <c r="L16" s="99">
        <f t="shared" si="6"/>
        <v>0</v>
      </c>
      <c r="M16" s="99">
        <f t="shared" si="6"/>
        <v>0</v>
      </c>
      <c r="N16" s="99">
        <f t="shared" si="6"/>
        <v>0</v>
      </c>
    </row>
    <row r="17" ht="12.0" customHeight="1">
      <c r="A17" s="64" t="s">
        <v>147</v>
      </c>
      <c r="B17" s="96">
        <f t="shared" si="5"/>
        <v>0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</row>
    <row r="18" ht="12.0" customHeight="1">
      <c r="A18" s="64" t="s">
        <v>148</v>
      </c>
      <c r="B18" s="96">
        <f t="shared" si="5"/>
        <v>179.94</v>
      </c>
      <c r="C18" s="97"/>
      <c r="D18" s="97"/>
      <c r="E18" s="97"/>
      <c r="F18" s="97"/>
      <c r="G18" s="97">
        <v>179.94</v>
      </c>
      <c r="H18" s="97"/>
      <c r="I18" s="97"/>
      <c r="J18" s="97"/>
      <c r="K18" s="97"/>
      <c r="L18" s="97"/>
      <c r="M18" s="97"/>
      <c r="N18" s="97"/>
    </row>
    <row r="19" ht="12.0" customHeight="1">
      <c r="A19" s="98" t="s">
        <v>146</v>
      </c>
      <c r="B19" s="99">
        <f t="shared" si="5"/>
        <v>179.94</v>
      </c>
      <c r="C19" s="99">
        <f t="shared" ref="C19:N19" si="7">SUM(C17:C18)</f>
        <v>0</v>
      </c>
      <c r="D19" s="99">
        <f t="shared" si="7"/>
        <v>0</v>
      </c>
      <c r="E19" s="99">
        <f t="shared" si="7"/>
        <v>0</v>
      </c>
      <c r="F19" s="99">
        <f t="shared" si="7"/>
        <v>0</v>
      </c>
      <c r="G19" s="99">
        <f t="shared" si="7"/>
        <v>179.94</v>
      </c>
      <c r="H19" s="99">
        <f t="shared" si="7"/>
        <v>0</v>
      </c>
      <c r="I19" s="99">
        <f t="shared" si="7"/>
        <v>0</v>
      </c>
      <c r="J19" s="99">
        <f t="shared" si="7"/>
        <v>0</v>
      </c>
      <c r="K19" s="99">
        <f t="shared" si="7"/>
        <v>0</v>
      </c>
      <c r="L19" s="99">
        <f t="shared" si="7"/>
        <v>0</v>
      </c>
      <c r="M19" s="99">
        <f t="shared" si="7"/>
        <v>0</v>
      </c>
      <c r="N19" s="99">
        <f t="shared" si="7"/>
        <v>0</v>
      </c>
    </row>
    <row r="20" ht="12.0" customHeight="1">
      <c r="A20" s="100" t="s">
        <v>149</v>
      </c>
      <c r="B20" s="101">
        <f t="shared" si="5"/>
        <v>0</v>
      </c>
      <c r="C20" s="97"/>
      <c r="D20" s="97"/>
      <c r="E20" s="102"/>
      <c r="F20" s="102"/>
      <c r="G20" s="102"/>
      <c r="H20" s="102"/>
      <c r="I20" s="102"/>
      <c r="J20" s="102"/>
      <c r="K20" s="102"/>
      <c r="L20" s="102"/>
      <c r="M20" s="102"/>
      <c r="N20" s="102"/>
    </row>
    <row r="21" ht="12.0" customHeight="1">
      <c r="A21" s="100" t="s">
        <v>150</v>
      </c>
      <c r="B21" s="101">
        <f t="shared" si="5"/>
        <v>650.68</v>
      </c>
      <c r="C21" s="97">
        <v>82.56</v>
      </c>
      <c r="D21" s="97"/>
      <c r="E21" s="97"/>
      <c r="F21" s="97">
        <v>102.01</v>
      </c>
      <c r="G21" s="97">
        <v>466.11</v>
      </c>
      <c r="H21" s="97"/>
      <c r="I21" s="97"/>
      <c r="J21" s="97"/>
      <c r="K21" s="97"/>
      <c r="L21" s="97"/>
      <c r="M21" s="102"/>
      <c r="N21" s="97"/>
    </row>
    <row r="22" ht="12.0" customHeight="1">
      <c r="A22" s="98" t="s">
        <v>146</v>
      </c>
      <c r="B22" s="99">
        <f t="shared" si="5"/>
        <v>650.68</v>
      </c>
      <c r="C22" s="99">
        <f t="shared" ref="C22:N22" si="8">SUM(C20:C21)</f>
        <v>82.56</v>
      </c>
      <c r="D22" s="99">
        <f t="shared" si="8"/>
        <v>0</v>
      </c>
      <c r="E22" s="99">
        <f t="shared" si="8"/>
        <v>0</v>
      </c>
      <c r="F22" s="99">
        <f t="shared" si="8"/>
        <v>102.01</v>
      </c>
      <c r="G22" s="99">
        <f t="shared" si="8"/>
        <v>466.11</v>
      </c>
      <c r="H22" s="99">
        <f t="shared" si="8"/>
        <v>0</v>
      </c>
      <c r="I22" s="99">
        <f t="shared" si="8"/>
        <v>0</v>
      </c>
      <c r="J22" s="99">
        <f t="shared" si="8"/>
        <v>0</v>
      </c>
      <c r="K22" s="99">
        <f t="shared" si="8"/>
        <v>0</v>
      </c>
      <c r="L22" s="99">
        <f t="shared" si="8"/>
        <v>0</v>
      </c>
      <c r="M22" s="99">
        <f t="shared" si="8"/>
        <v>0</v>
      </c>
      <c r="N22" s="99">
        <f t="shared" si="8"/>
        <v>0</v>
      </c>
    </row>
    <row r="23" ht="12.0" customHeight="1">
      <c r="A23" s="103" t="s">
        <v>114</v>
      </c>
      <c r="B23" s="104">
        <f t="shared" ref="B23:N23" si="9">B16+B19+B22</f>
        <v>830.62</v>
      </c>
      <c r="C23" s="104">
        <f t="shared" si="9"/>
        <v>82.56</v>
      </c>
      <c r="D23" s="104">
        <f t="shared" si="9"/>
        <v>0</v>
      </c>
      <c r="E23" s="104">
        <f t="shared" si="9"/>
        <v>0</v>
      </c>
      <c r="F23" s="104">
        <f t="shared" si="9"/>
        <v>102.01</v>
      </c>
      <c r="G23" s="104">
        <f t="shared" si="9"/>
        <v>646.05</v>
      </c>
      <c r="H23" s="104">
        <f t="shared" si="9"/>
        <v>0</v>
      </c>
      <c r="I23" s="104">
        <f t="shared" si="9"/>
        <v>0</v>
      </c>
      <c r="J23" s="104">
        <f t="shared" si="9"/>
        <v>0</v>
      </c>
      <c r="K23" s="104">
        <f t="shared" si="9"/>
        <v>0</v>
      </c>
      <c r="L23" s="104">
        <f t="shared" si="9"/>
        <v>0</v>
      </c>
      <c r="M23" s="104">
        <f t="shared" si="9"/>
        <v>0</v>
      </c>
      <c r="N23" s="104">
        <f t="shared" si="9"/>
        <v>0</v>
      </c>
    </row>
  </sheetData>
  <mergeCells count="6">
    <mergeCell ref="I4:N4"/>
    <mergeCell ref="C5:K5"/>
    <mergeCell ref="C6:N7"/>
    <mergeCell ref="A9:N9"/>
    <mergeCell ref="C11:H11"/>
    <mergeCell ref="A12:N1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0"/>
  <cols>
    <col customWidth="1" min="1" max="1" width="32.5"/>
    <col customWidth="1" min="2" max="2" width="22.13"/>
    <col customWidth="1" min="3" max="3" width="19.13"/>
    <col customWidth="1" min="4" max="4" width="21.75"/>
    <col customWidth="1" min="5" max="8" width="19.13"/>
    <col customWidth="1" min="9" max="10" width="20.5"/>
    <col customWidth="1" min="11" max="11" width="22.5"/>
    <col customWidth="1" min="12" max="15" width="26.38"/>
    <col customWidth="1" min="16" max="25" width="9.5"/>
  </cols>
  <sheetData>
    <row r="1" ht="21.0" customHeight="1">
      <c r="A1" s="105" t="s">
        <v>151</v>
      </c>
      <c r="B1" s="106" t="s">
        <v>152</v>
      </c>
      <c r="C1" s="106" t="s">
        <v>153</v>
      </c>
      <c r="D1" s="107" t="s">
        <v>154</v>
      </c>
      <c r="E1" s="107" t="s">
        <v>155</v>
      </c>
      <c r="F1" s="107" t="s">
        <v>156</v>
      </c>
      <c r="G1" s="107" t="s">
        <v>157</v>
      </c>
      <c r="H1" s="106" t="s">
        <v>158</v>
      </c>
      <c r="I1" s="106" t="s">
        <v>159</v>
      </c>
      <c r="J1" s="106" t="s">
        <v>160</v>
      </c>
      <c r="K1" s="106" t="s">
        <v>161</v>
      </c>
      <c r="L1" s="106" t="s">
        <v>162</v>
      </c>
      <c r="M1" s="106" t="s">
        <v>163</v>
      </c>
      <c r="N1" s="106" t="s">
        <v>164</v>
      </c>
      <c r="O1" s="106" t="s">
        <v>165</v>
      </c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ht="21.0" customHeight="1">
      <c r="A2" s="109" t="s">
        <v>166</v>
      </c>
      <c r="B2" s="110" t="s">
        <v>167</v>
      </c>
      <c r="C2" s="110" t="s">
        <v>167</v>
      </c>
      <c r="D2" s="110" t="s">
        <v>167</v>
      </c>
      <c r="E2" s="110" t="s">
        <v>167</v>
      </c>
      <c r="F2" s="110" t="s">
        <v>167</v>
      </c>
      <c r="G2" s="110" t="s">
        <v>167</v>
      </c>
      <c r="H2" s="110" t="s">
        <v>167</v>
      </c>
      <c r="I2" s="110" t="s">
        <v>167</v>
      </c>
      <c r="J2" s="110" t="s">
        <v>167</v>
      </c>
      <c r="K2" s="110" t="s">
        <v>167</v>
      </c>
      <c r="L2" s="110" t="s">
        <v>167</v>
      </c>
      <c r="M2" s="110" t="s">
        <v>167</v>
      </c>
      <c r="N2" s="110" t="s">
        <v>167</v>
      </c>
      <c r="O2" s="110" t="s">
        <v>167</v>
      </c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ht="21.0" customHeight="1">
      <c r="A3" s="111" t="s">
        <v>168</v>
      </c>
      <c r="B3" s="112">
        <v>-38937.0</v>
      </c>
      <c r="C3" s="112">
        <v>-4254.0</v>
      </c>
      <c r="D3" s="112">
        <v>-4000.0</v>
      </c>
      <c r="E3" s="112">
        <v>8371.98</v>
      </c>
      <c r="F3" s="112">
        <v>9966.25</v>
      </c>
      <c r="G3" s="112">
        <v>-8276.0</v>
      </c>
      <c r="H3" s="112">
        <v>35285.0</v>
      </c>
      <c r="I3" s="112">
        <v>29563.0</v>
      </c>
      <c r="J3" s="112">
        <v>-4097.8</v>
      </c>
      <c r="K3" s="112">
        <v>-12451.0</v>
      </c>
      <c r="L3" s="112">
        <v>-11000.0</v>
      </c>
      <c r="M3" s="112">
        <v>17808.0</v>
      </c>
      <c r="N3" s="112">
        <v>-17000.0</v>
      </c>
      <c r="O3" s="112">
        <v>-7565.0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 ht="21.0" customHeight="1">
      <c r="A4" s="111" t="s">
        <v>169</v>
      </c>
      <c r="B4" s="112">
        <v>5000.0</v>
      </c>
      <c r="C4" s="112">
        <v>5000.0</v>
      </c>
      <c r="D4" s="112">
        <v>7000.0</v>
      </c>
      <c r="E4" s="112">
        <v>5000.0</v>
      </c>
      <c r="F4" s="112">
        <v>10000.0</v>
      </c>
      <c r="G4" s="112">
        <v>9000.0</v>
      </c>
      <c r="H4" s="112">
        <v>7000.0</v>
      </c>
      <c r="I4" s="112">
        <v>7000.0</v>
      </c>
      <c r="J4" s="112">
        <v>7000.0</v>
      </c>
      <c r="K4" s="112">
        <v>7000.0</v>
      </c>
      <c r="L4" s="112">
        <v>7000.0</v>
      </c>
      <c r="M4" s="112">
        <v>7000.0</v>
      </c>
      <c r="N4" s="112">
        <v>10000.0</v>
      </c>
      <c r="O4" s="112">
        <v>5000.0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r="5" ht="21.0" customHeight="1">
      <c r="A5" s="111" t="s">
        <v>170</v>
      </c>
      <c r="B5" s="112">
        <v>5000.0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08"/>
      <c r="Q5" s="108"/>
      <c r="R5" s="108"/>
      <c r="S5" s="108"/>
      <c r="T5" s="108"/>
      <c r="U5" s="108"/>
      <c r="V5" s="108"/>
      <c r="W5" s="108"/>
      <c r="X5" s="108"/>
      <c r="Y5" s="108"/>
    </row>
    <row r="6" ht="21.0" customHeight="1">
      <c r="A6" s="111" t="s">
        <v>171</v>
      </c>
      <c r="B6" s="112">
        <v>40000.0</v>
      </c>
      <c r="C6" s="112">
        <v>6541.48</v>
      </c>
      <c r="D6" s="112">
        <v>40000.0</v>
      </c>
      <c r="E6" s="112">
        <v>50000.0</v>
      </c>
      <c r="F6" s="112">
        <v>70000.0</v>
      </c>
      <c r="G6" s="112">
        <v>30000.0</v>
      </c>
      <c r="H6" s="112">
        <v>35000.0</v>
      </c>
      <c r="I6" s="112">
        <v>30000.0</v>
      </c>
      <c r="J6" s="112">
        <v>45000.0</v>
      </c>
      <c r="K6" s="112">
        <v>65000.0</v>
      </c>
      <c r="L6" s="112">
        <v>39000.0</v>
      </c>
      <c r="M6" s="112">
        <v>23000.0</v>
      </c>
      <c r="N6" s="112">
        <v>26000.0</v>
      </c>
      <c r="O6" s="112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 ht="21.0" customHeight="1">
      <c r="A7" s="111" t="s">
        <v>172</v>
      </c>
      <c r="B7" s="112">
        <v>3000.0</v>
      </c>
      <c r="C7" s="112">
        <v>5000.0</v>
      </c>
      <c r="D7" s="112">
        <v>6000.0</v>
      </c>
      <c r="E7" s="112">
        <v>6000.0</v>
      </c>
      <c r="F7" s="112">
        <v>10000.0</v>
      </c>
      <c r="G7" s="112">
        <v>7000.0</v>
      </c>
      <c r="H7" s="112">
        <v>6000.0</v>
      </c>
      <c r="I7" s="112">
        <v>4000.0</v>
      </c>
      <c r="J7" s="112">
        <v>4000.0</v>
      </c>
      <c r="K7" s="112">
        <v>4000.0</v>
      </c>
      <c r="L7" s="112">
        <v>4000.0</v>
      </c>
      <c r="M7" s="112">
        <v>4000.0</v>
      </c>
      <c r="N7" s="112">
        <v>5000.0</v>
      </c>
      <c r="O7" s="112">
        <v>5000.0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</row>
    <row r="8" ht="21.0" customHeight="1">
      <c r="A8" s="111" t="s">
        <v>173</v>
      </c>
      <c r="B8" s="112">
        <v>0.0</v>
      </c>
      <c r="C8" s="108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>
        <v>13780.0</v>
      </c>
      <c r="P8" s="108"/>
      <c r="Q8" s="108"/>
      <c r="R8" s="108"/>
      <c r="S8" s="108"/>
      <c r="T8" s="108"/>
      <c r="U8" s="108"/>
      <c r="V8" s="108"/>
      <c r="W8" s="108"/>
      <c r="X8" s="108"/>
      <c r="Y8" s="108"/>
    </row>
    <row r="9" ht="21.0" customHeight="1">
      <c r="A9" s="111" t="s">
        <v>173</v>
      </c>
      <c r="B9" s="112">
        <v>0.0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08"/>
      <c r="Q9" s="108"/>
      <c r="R9" s="108"/>
      <c r="S9" s="108"/>
      <c r="T9" s="108"/>
      <c r="U9" s="108"/>
      <c r="V9" s="108"/>
      <c r="W9" s="108"/>
      <c r="X9" s="108"/>
      <c r="Y9" s="108"/>
    </row>
    <row r="10" ht="21.0" customHeight="1">
      <c r="A10" s="113" t="s">
        <v>174</v>
      </c>
      <c r="B10" s="114">
        <f t="shared" ref="B10:O10" si="1">SUM(B3:B9)</f>
        <v>14063</v>
      </c>
      <c r="C10" s="114">
        <f t="shared" si="1"/>
        <v>12287.48</v>
      </c>
      <c r="D10" s="114">
        <f t="shared" si="1"/>
        <v>49000</v>
      </c>
      <c r="E10" s="114">
        <f t="shared" si="1"/>
        <v>69371.98</v>
      </c>
      <c r="F10" s="114">
        <f t="shared" si="1"/>
        <v>99966.25</v>
      </c>
      <c r="G10" s="114">
        <f t="shared" si="1"/>
        <v>37724</v>
      </c>
      <c r="H10" s="114">
        <f t="shared" si="1"/>
        <v>83285</v>
      </c>
      <c r="I10" s="114">
        <f t="shared" si="1"/>
        <v>70563</v>
      </c>
      <c r="J10" s="114">
        <f t="shared" si="1"/>
        <v>51902.2</v>
      </c>
      <c r="K10" s="114">
        <f t="shared" si="1"/>
        <v>63549</v>
      </c>
      <c r="L10" s="114">
        <f t="shared" si="1"/>
        <v>39000</v>
      </c>
      <c r="M10" s="114">
        <f t="shared" si="1"/>
        <v>51808</v>
      </c>
      <c r="N10" s="114">
        <f t="shared" si="1"/>
        <v>24000</v>
      </c>
      <c r="O10" s="114">
        <f t="shared" si="1"/>
        <v>16215</v>
      </c>
      <c r="P10" s="108"/>
      <c r="Q10" s="108"/>
      <c r="R10" s="108"/>
      <c r="S10" s="108"/>
      <c r="T10" s="108"/>
      <c r="U10" s="108"/>
      <c r="V10" s="108"/>
      <c r="W10" s="108"/>
      <c r="X10" s="108"/>
      <c r="Y10" s="108"/>
    </row>
    <row r="11" ht="21.0" customHeight="1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08"/>
      <c r="Q11" s="108"/>
      <c r="R11" s="108"/>
      <c r="S11" s="108"/>
      <c r="T11" s="108"/>
      <c r="U11" s="108"/>
      <c r="V11" s="108"/>
      <c r="W11" s="108"/>
      <c r="X11" s="108"/>
      <c r="Y11" s="108"/>
    </row>
    <row r="12" ht="21.0" customHeight="1">
      <c r="A12" s="109" t="s">
        <v>166</v>
      </c>
      <c r="B12" s="117" t="s">
        <v>175</v>
      </c>
      <c r="C12" s="117" t="s">
        <v>175</v>
      </c>
      <c r="D12" s="117" t="s">
        <v>175</v>
      </c>
      <c r="E12" s="117" t="s">
        <v>175</v>
      </c>
      <c r="F12" s="117" t="s">
        <v>175</v>
      </c>
      <c r="G12" s="117" t="s">
        <v>175</v>
      </c>
      <c r="H12" s="117" t="s">
        <v>175</v>
      </c>
      <c r="I12" s="117" t="s">
        <v>175</v>
      </c>
      <c r="J12" s="117" t="s">
        <v>175</v>
      </c>
      <c r="K12" s="117" t="s">
        <v>175</v>
      </c>
      <c r="L12" s="117" t="s">
        <v>175</v>
      </c>
      <c r="M12" s="117" t="s">
        <v>175</v>
      </c>
      <c r="N12" s="117" t="s">
        <v>175</v>
      </c>
      <c r="O12" s="117" t="s">
        <v>175</v>
      </c>
      <c r="P12" s="108"/>
      <c r="Q12" s="108"/>
      <c r="R12" s="108"/>
      <c r="S12" s="108"/>
      <c r="T12" s="108"/>
      <c r="U12" s="108"/>
      <c r="V12" s="108"/>
      <c r="W12" s="108"/>
      <c r="X12" s="108"/>
      <c r="Y12" s="108"/>
    </row>
    <row r="13" ht="21.0" customHeight="1">
      <c r="A13" s="111" t="s">
        <v>176</v>
      </c>
      <c r="B13" s="112">
        <v>10231.0</v>
      </c>
      <c r="C13" s="112">
        <v>22053.0</v>
      </c>
      <c r="D13" s="118">
        <v>45324.84</v>
      </c>
      <c r="E13" s="112">
        <v>74752.0</v>
      </c>
      <c r="F13" s="112">
        <v>57862.51</v>
      </c>
      <c r="G13" s="112">
        <v>41425.98</v>
      </c>
      <c r="H13" s="112">
        <v>49549.0</v>
      </c>
      <c r="I13" s="112">
        <v>55069.99</v>
      </c>
      <c r="J13" s="112">
        <v>58575.0</v>
      </c>
      <c r="K13" s="112">
        <v>48879.21</v>
      </c>
      <c r="L13" s="112">
        <v>66900.0</v>
      </c>
      <c r="M13" s="112">
        <v>58309.0</v>
      </c>
      <c r="N13" s="112">
        <v>67748.0</v>
      </c>
      <c r="O13" s="112">
        <v>33981.0</v>
      </c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ht="21.0" customHeight="1">
      <c r="A14" s="111" t="s">
        <v>177</v>
      </c>
      <c r="B14" s="112">
        <v>20064.75</v>
      </c>
      <c r="C14" s="92"/>
      <c r="D14" s="112">
        <v>20000.0</v>
      </c>
      <c r="E14" s="112">
        <v>20000.0</v>
      </c>
      <c r="F14" s="112">
        <v>20000.0</v>
      </c>
      <c r="G14" s="112">
        <v>20000.0</v>
      </c>
      <c r="H14" s="112">
        <v>20000.0</v>
      </c>
      <c r="I14" s="112">
        <v>39772.69</v>
      </c>
      <c r="J14" s="112">
        <v>21480.0</v>
      </c>
      <c r="K14" s="112">
        <v>21480.0</v>
      </c>
      <c r="L14" s="112">
        <v>20480.0</v>
      </c>
      <c r="M14" s="112">
        <v>19831.0</v>
      </c>
      <c r="N14" s="112">
        <v>36431.0</v>
      </c>
      <c r="O14" s="112">
        <v>20000.0</v>
      </c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 ht="21.0" customHeight="1">
      <c r="A15" s="111" t="s">
        <v>178</v>
      </c>
      <c r="B15" s="112">
        <v>10000.0</v>
      </c>
      <c r="C15" s="92"/>
      <c r="D15" s="112">
        <v>10000.0</v>
      </c>
      <c r="E15" s="112">
        <v>10000.0</v>
      </c>
      <c r="F15" s="112">
        <v>10000.0</v>
      </c>
      <c r="G15" s="112">
        <v>10000.0</v>
      </c>
      <c r="H15" s="112">
        <v>10000.0</v>
      </c>
      <c r="I15" s="112">
        <v>10000.0</v>
      </c>
      <c r="J15" s="112">
        <v>11000.0</v>
      </c>
      <c r="K15" s="112">
        <v>11000.0</v>
      </c>
      <c r="L15" s="112">
        <v>11000.0</v>
      </c>
      <c r="M15" s="112">
        <v>11000.0</v>
      </c>
      <c r="N15" s="112">
        <v>10000.0</v>
      </c>
      <c r="O15" s="112">
        <v>10000.0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 ht="21.0" customHeight="1">
      <c r="A16" s="111" t="s">
        <v>179</v>
      </c>
      <c r="B16" s="112">
        <v>7031.74</v>
      </c>
      <c r="C16" s="92"/>
      <c r="D16" s="112">
        <v>7031.74</v>
      </c>
      <c r="E16" s="112">
        <v>7031.74</v>
      </c>
      <c r="F16" s="112">
        <v>6343.26</v>
      </c>
      <c r="G16" s="112">
        <v>5172.0</v>
      </c>
      <c r="H16" s="112">
        <v>5522.0</v>
      </c>
      <c r="I16" s="112">
        <v>5522.0</v>
      </c>
      <c r="J16" s="112">
        <v>5522.0</v>
      </c>
      <c r="K16" s="112">
        <v>5472.0</v>
      </c>
      <c r="L16" s="112">
        <v>5472.0</v>
      </c>
      <c r="M16" s="112">
        <v>5472.0</v>
      </c>
      <c r="N16" s="112">
        <v>5472.0</v>
      </c>
      <c r="O16" s="112">
        <v>5472.0</v>
      </c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 ht="21.0" customHeight="1">
      <c r="A17" s="111" t="s">
        <v>173</v>
      </c>
      <c r="B17" s="112">
        <v>0.0</v>
      </c>
      <c r="C17" s="118">
        <v>5799.0</v>
      </c>
      <c r="D17" s="118">
        <v>2000.0</v>
      </c>
      <c r="E17" s="112">
        <v>2000.0</v>
      </c>
      <c r="F17" s="112">
        <v>2000.0</v>
      </c>
      <c r="G17" s="112">
        <v>2000.0</v>
      </c>
      <c r="H17" s="112">
        <v>2000.0</v>
      </c>
      <c r="I17" s="112">
        <v>2000.0</v>
      </c>
      <c r="J17" s="112">
        <v>2000.0</v>
      </c>
      <c r="K17" s="112">
        <v>2500.0</v>
      </c>
      <c r="L17" s="112">
        <v>2500.0</v>
      </c>
      <c r="M17" s="112">
        <v>3000.0</v>
      </c>
      <c r="N17" s="112">
        <v>3000.0</v>
      </c>
      <c r="O17" s="112">
        <v>3000.0</v>
      </c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ht="21.0" customHeight="1">
      <c r="A18" s="111" t="s">
        <v>180</v>
      </c>
      <c r="B18" s="112">
        <v>0.0</v>
      </c>
      <c r="C18" s="112"/>
      <c r="D18" s="112"/>
      <c r="E18" s="112"/>
      <c r="F18" s="112">
        <v>26903.0</v>
      </c>
      <c r="G18" s="112"/>
      <c r="H18" s="112"/>
      <c r="I18" s="112">
        <v>28035.0</v>
      </c>
      <c r="J18" s="112"/>
      <c r="K18" s="112"/>
      <c r="L18" s="112">
        <v>33613.96</v>
      </c>
      <c r="M18" s="112">
        <v>0.0</v>
      </c>
      <c r="N18" s="112">
        <v>0.0</v>
      </c>
      <c r="O18" s="112">
        <v>13622.0</v>
      </c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ht="21.0" customHeight="1">
      <c r="A19" s="113" t="s">
        <v>181</v>
      </c>
      <c r="B19" s="114">
        <f t="shared" ref="B19:O19" si="2">SUM(B13:B18)</f>
        <v>47327.49</v>
      </c>
      <c r="C19" s="114">
        <f t="shared" si="2"/>
        <v>27852</v>
      </c>
      <c r="D19" s="114">
        <f t="shared" si="2"/>
        <v>84356.58</v>
      </c>
      <c r="E19" s="114">
        <f t="shared" si="2"/>
        <v>113783.74</v>
      </c>
      <c r="F19" s="114">
        <f t="shared" si="2"/>
        <v>123108.77</v>
      </c>
      <c r="G19" s="114">
        <f t="shared" si="2"/>
        <v>78597.98</v>
      </c>
      <c r="H19" s="114">
        <f t="shared" si="2"/>
        <v>87071</v>
      </c>
      <c r="I19" s="114">
        <f t="shared" si="2"/>
        <v>140399.68</v>
      </c>
      <c r="J19" s="114">
        <f t="shared" si="2"/>
        <v>98577</v>
      </c>
      <c r="K19" s="114">
        <f t="shared" si="2"/>
        <v>89331.21</v>
      </c>
      <c r="L19" s="114">
        <f t="shared" si="2"/>
        <v>139965.96</v>
      </c>
      <c r="M19" s="114">
        <f t="shared" si="2"/>
        <v>97612</v>
      </c>
      <c r="N19" s="114">
        <f t="shared" si="2"/>
        <v>122651</v>
      </c>
      <c r="O19" s="114">
        <f t="shared" si="2"/>
        <v>86075</v>
      </c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ht="21.0" customHeight="1">
      <c r="A20" s="92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ht="21.0" customHeight="1">
      <c r="A21" s="120" t="s">
        <v>182</v>
      </c>
      <c r="B21" s="121">
        <f t="shared" ref="B21:O21" si="3">B10-B19</f>
        <v>-33264.49</v>
      </c>
      <c r="C21" s="121">
        <f t="shared" si="3"/>
        <v>-15564.52</v>
      </c>
      <c r="D21" s="121">
        <f t="shared" si="3"/>
        <v>-35356.58</v>
      </c>
      <c r="E21" s="121">
        <f t="shared" si="3"/>
        <v>-44411.76</v>
      </c>
      <c r="F21" s="121">
        <f t="shared" si="3"/>
        <v>-23142.52</v>
      </c>
      <c r="G21" s="121">
        <f t="shared" si="3"/>
        <v>-40873.98</v>
      </c>
      <c r="H21" s="121">
        <f t="shared" si="3"/>
        <v>-3786</v>
      </c>
      <c r="I21" s="121">
        <f t="shared" si="3"/>
        <v>-69836.68</v>
      </c>
      <c r="J21" s="121">
        <f t="shared" si="3"/>
        <v>-46674.8</v>
      </c>
      <c r="K21" s="121">
        <f t="shared" si="3"/>
        <v>-25782.21</v>
      </c>
      <c r="L21" s="122">
        <f t="shared" si="3"/>
        <v>-100965.96</v>
      </c>
      <c r="M21" s="123">
        <f t="shared" si="3"/>
        <v>-45804</v>
      </c>
      <c r="N21" s="123">
        <f t="shared" si="3"/>
        <v>-98651</v>
      </c>
      <c r="O21" s="123">
        <f t="shared" si="3"/>
        <v>-69860</v>
      </c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0"/>
  <cols>
    <col customWidth="1" min="1" max="1" width="29.0"/>
    <col customWidth="1" min="2" max="2" width="9.5"/>
    <col customWidth="1" min="3" max="3" width="8.88"/>
    <col customWidth="1" min="4" max="4" width="10.63"/>
    <col customWidth="1" min="5" max="5" width="8.25"/>
    <col customWidth="1" min="6" max="6" width="8.63"/>
    <col customWidth="1" min="7" max="7" width="8.25"/>
    <col customWidth="1" min="8" max="8" width="8.5"/>
    <col customWidth="1" min="9" max="9" width="8.63"/>
    <col customWidth="1" min="10" max="43" width="9.5"/>
    <col customWidth="1" min="44" max="44" width="9.88"/>
    <col customWidth="1" min="45" max="56" width="9.5"/>
  </cols>
  <sheetData>
    <row r="1" ht="12.75" customHeight="1">
      <c r="A1" s="124" t="s">
        <v>183</v>
      </c>
      <c r="B1" s="125">
        <v>40178.0</v>
      </c>
      <c r="C1" s="125">
        <v>40535.0</v>
      </c>
      <c r="D1" s="125">
        <v>40543.0</v>
      </c>
      <c r="E1" s="125">
        <v>40793.0</v>
      </c>
      <c r="F1" s="125">
        <v>40804.0</v>
      </c>
      <c r="G1" s="125">
        <v>40819.0</v>
      </c>
      <c r="H1" s="125">
        <v>40844.0</v>
      </c>
      <c r="I1" s="125">
        <v>40907.0</v>
      </c>
      <c r="J1" s="125">
        <v>40923.0</v>
      </c>
      <c r="K1" s="125">
        <v>40997.0</v>
      </c>
      <c r="L1" s="125">
        <v>41057.0</v>
      </c>
      <c r="M1" s="125">
        <v>41075.0</v>
      </c>
      <c r="N1" s="125">
        <v>41102.0</v>
      </c>
      <c r="O1" s="125">
        <v>41135.0</v>
      </c>
      <c r="P1" s="125">
        <v>41165.0</v>
      </c>
      <c r="Q1" s="125">
        <v>41192.0</v>
      </c>
      <c r="R1" s="125">
        <v>41198.0</v>
      </c>
      <c r="S1" s="125">
        <v>41227.0</v>
      </c>
      <c r="T1" s="125">
        <v>41255.0</v>
      </c>
      <c r="U1" s="125">
        <v>41292.0</v>
      </c>
      <c r="V1" s="125">
        <v>41320.0</v>
      </c>
      <c r="W1" s="125">
        <v>41348.0</v>
      </c>
      <c r="X1" s="125">
        <v>41379.0</v>
      </c>
      <c r="Y1" s="125">
        <v>41408.0</v>
      </c>
      <c r="Z1" s="125">
        <v>41439.0</v>
      </c>
      <c r="AA1" s="126">
        <v>41469.0</v>
      </c>
      <c r="AB1" s="126">
        <v>41500.0</v>
      </c>
      <c r="AC1" s="126">
        <v>41535.0</v>
      </c>
      <c r="AD1" s="126">
        <v>41562.0</v>
      </c>
      <c r="AE1" s="126">
        <v>41590.0</v>
      </c>
      <c r="AF1" s="126">
        <v>41621.0</v>
      </c>
      <c r="AG1" s="126">
        <v>41648.0</v>
      </c>
      <c r="AH1" s="126">
        <v>41686.0</v>
      </c>
      <c r="AI1" s="126">
        <v>41712.0</v>
      </c>
      <c r="AJ1" s="126">
        <v>41739.0</v>
      </c>
      <c r="AK1" s="126">
        <v>41744.0</v>
      </c>
      <c r="AL1" s="126">
        <v>41780.0</v>
      </c>
      <c r="AM1" s="126">
        <v>41806.0</v>
      </c>
      <c r="AN1" s="126">
        <v>41835.0</v>
      </c>
      <c r="AO1" s="126">
        <v>41865.0</v>
      </c>
      <c r="AP1" s="126">
        <v>41897.0</v>
      </c>
      <c r="AQ1" s="126">
        <v>41927.0</v>
      </c>
      <c r="AR1" s="126">
        <v>41969.0</v>
      </c>
      <c r="AS1" s="126">
        <v>41989.0</v>
      </c>
      <c r="AT1" s="126">
        <v>42027.0</v>
      </c>
      <c r="AU1" s="108"/>
      <c r="AV1" s="108"/>
      <c r="AW1" s="108"/>
      <c r="AX1" s="108"/>
      <c r="AY1" s="108"/>
      <c r="AZ1" s="108"/>
      <c r="BA1" s="108"/>
      <c r="BB1" s="108"/>
      <c r="BC1" s="108"/>
      <c r="BD1" s="108"/>
    </row>
    <row r="2" ht="12.75" customHeight="1">
      <c r="A2" s="127" t="s">
        <v>184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08"/>
      <c r="AV2" s="108"/>
      <c r="AW2" s="108"/>
      <c r="AX2" s="108"/>
      <c r="AY2" s="108"/>
      <c r="AZ2" s="108"/>
      <c r="BA2" s="108"/>
      <c r="BB2" s="108"/>
      <c r="BC2" s="108"/>
      <c r="BD2" s="108"/>
    </row>
    <row r="3" ht="12.75" customHeight="1">
      <c r="A3" s="130" t="s">
        <v>185</v>
      </c>
      <c r="B3" s="131">
        <v>4015.0</v>
      </c>
      <c r="C3" s="131">
        <v>0.0</v>
      </c>
      <c r="D3" s="131"/>
      <c r="E3" s="131"/>
      <c r="F3" s="131"/>
      <c r="G3" s="131"/>
      <c r="H3" s="131"/>
      <c r="I3" s="131"/>
      <c r="J3" s="131"/>
      <c r="K3" s="131"/>
      <c r="L3" s="131">
        <v>2248.0</v>
      </c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>
        <v>1125.0</v>
      </c>
      <c r="AS3" s="131">
        <v>1125.0</v>
      </c>
      <c r="AT3" s="131">
        <v>1125.0</v>
      </c>
      <c r="AU3" s="108"/>
      <c r="AV3" s="108"/>
      <c r="AW3" s="108"/>
      <c r="AX3" s="108"/>
      <c r="AY3" s="108"/>
      <c r="AZ3" s="108"/>
      <c r="BA3" s="108"/>
      <c r="BB3" s="108"/>
      <c r="BC3" s="108"/>
      <c r="BD3" s="108"/>
    </row>
    <row r="4" ht="12.75" customHeight="1">
      <c r="A4" s="132" t="s">
        <v>186</v>
      </c>
      <c r="B4" s="133">
        <v>81556.42</v>
      </c>
      <c r="C4" s="133">
        <v>162019.0</v>
      </c>
      <c r="D4" s="133">
        <v>145975.47</v>
      </c>
      <c r="E4" s="133"/>
      <c r="F4" s="133">
        <v>98620.0</v>
      </c>
      <c r="G4" s="133">
        <v>0.0</v>
      </c>
      <c r="H4" s="133">
        <v>0.0</v>
      </c>
      <c r="I4" s="133">
        <v>128853.0</v>
      </c>
      <c r="J4" s="133">
        <v>0.0</v>
      </c>
      <c r="K4" s="133">
        <v>99604.0</v>
      </c>
      <c r="L4" s="133">
        <v>84970.0</v>
      </c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>
        <v>29571.0</v>
      </c>
      <c r="AS4" s="133">
        <v>73230.0</v>
      </c>
      <c r="AT4" s="133">
        <v>61170.87</v>
      </c>
      <c r="AU4" s="108"/>
      <c r="AV4" s="108"/>
      <c r="AW4" s="108"/>
      <c r="AX4" s="108"/>
      <c r="AY4" s="108"/>
      <c r="AZ4" s="108"/>
      <c r="BA4" s="108"/>
      <c r="BB4" s="108"/>
      <c r="BC4" s="108"/>
      <c r="BD4" s="108"/>
    </row>
    <row r="5" ht="12.75" customHeight="1">
      <c r="A5" s="132" t="s">
        <v>187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4">
        <v>9500.0</v>
      </c>
      <c r="AS5" s="133">
        <v>14500.0</v>
      </c>
      <c r="AT5" s="133">
        <v>14500.0</v>
      </c>
      <c r="AU5" s="108"/>
      <c r="AV5" s="108"/>
      <c r="AW5" s="108"/>
      <c r="AX5" s="108"/>
      <c r="AY5" s="108"/>
      <c r="AZ5" s="108"/>
      <c r="BA5" s="108"/>
      <c r="BB5" s="108"/>
      <c r="BC5" s="108"/>
      <c r="BD5" s="108"/>
    </row>
    <row r="6" ht="12.75" customHeight="1">
      <c r="A6" s="132" t="s">
        <v>188</v>
      </c>
      <c r="B6" s="133">
        <v>14310.11</v>
      </c>
      <c r="C6" s="133">
        <v>23726.72</v>
      </c>
      <c r="D6" s="133">
        <v>21469.82</v>
      </c>
      <c r="E6" s="133"/>
      <c r="F6" s="133">
        <v>9747.0</v>
      </c>
      <c r="G6" s="133">
        <v>0.0</v>
      </c>
      <c r="H6" s="133">
        <v>0.0</v>
      </c>
      <c r="I6" s="133">
        <v>0.0</v>
      </c>
      <c r="J6" s="133">
        <v>0.0</v>
      </c>
      <c r="K6" s="133">
        <v>0.0</v>
      </c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08"/>
      <c r="AV6" s="108"/>
      <c r="AW6" s="108"/>
      <c r="AX6" s="108"/>
      <c r="AY6" s="108"/>
      <c r="AZ6" s="108"/>
      <c r="BA6" s="108"/>
      <c r="BB6" s="108"/>
      <c r="BC6" s="108"/>
      <c r="BD6" s="108"/>
    </row>
    <row r="7" ht="12.75" customHeight="1">
      <c r="A7" s="132" t="s">
        <v>189</v>
      </c>
      <c r="B7" s="133">
        <v>3160.0</v>
      </c>
      <c r="C7" s="133">
        <v>1250.94</v>
      </c>
      <c r="D7" s="133">
        <v>1250.94</v>
      </c>
      <c r="E7" s="133"/>
      <c r="F7" s="133">
        <v>1357.0</v>
      </c>
      <c r="G7" s="133">
        <v>0.0</v>
      </c>
      <c r="H7" s="133">
        <v>0.0</v>
      </c>
      <c r="I7" s="133">
        <v>30000.0</v>
      </c>
      <c r="J7" s="133">
        <v>0.0</v>
      </c>
      <c r="K7" s="133">
        <v>0.0</v>
      </c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>
        <v>1430.0</v>
      </c>
      <c r="AS7" s="133">
        <v>1440.2</v>
      </c>
      <c r="AT7" s="133">
        <v>1415.31</v>
      </c>
      <c r="AU7" s="108"/>
      <c r="AV7" s="108"/>
      <c r="AW7" s="108"/>
      <c r="AX7" s="108"/>
      <c r="AY7" s="108"/>
      <c r="AZ7" s="108"/>
      <c r="BA7" s="108"/>
      <c r="BB7" s="108"/>
      <c r="BC7" s="108"/>
      <c r="BD7" s="108"/>
    </row>
    <row r="8" ht="12.75" customHeight="1">
      <c r="A8" s="132" t="s">
        <v>190</v>
      </c>
      <c r="B8" s="133">
        <v>3518.72</v>
      </c>
      <c r="C8" s="133">
        <v>6490.72</v>
      </c>
      <c r="D8" s="133">
        <v>6750.59</v>
      </c>
      <c r="E8" s="133"/>
      <c r="F8" s="133"/>
      <c r="G8" s="133"/>
      <c r="H8" s="133"/>
      <c r="I8" s="133">
        <v>0.0</v>
      </c>
      <c r="J8" s="133">
        <v>0.0</v>
      </c>
      <c r="K8" s="133">
        <v>17200.0</v>
      </c>
      <c r="L8" s="133">
        <v>16472.0</v>
      </c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>
        <v>13515.0</v>
      </c>
      <c r="AS8" s="133">
        <v>13757.0</v>
      </c>
      <c r="AT8" s="133">
        <v>14536.0</v>
      </c>
      <c r="AU8" s="108"/>
      <c r="AV8" s="108"/>
      <c r="AW8" s="108"/>
      <c r="AX8" s="108"/>
      <c r="AY8" s="108"/>
      <c r="AZ8" s="108"/>
      <c r="BA8" s="108"/>
      <c r="BB8" s="108"/>
      <c r="BC8" s="108"/>
      <c r="BD8" s="108"/>
    </row>
    <row r="9" ht="12.75" customHeight="1">
      <c r="A9" s="135" t="s">
        <v>191</v>
      </c>
      <c r="B9" s="136">
        <f t="shared" ref="B9:D9" si="1">SUM(B3:B8)</f>
        <v>106560.25</v>
      </c>
      <c r="C9" s="136">
        <f t="shared" si="1"/>
        <v>193487.38</v>
      </c>
      <c r="D9" s="136">
        <f t="shared" si="1"/>
        <v>175446.82</v>
      </c>
      <c r="E9" s="136">
        <v>95196.37</v>
      </c>
      <c r="F9" s="136">
        <f>SUM(F3:F8)</f>
        <v>109724</v>
      </c>
      <c r="G9" s="136">
        <v>100277.0</v>
      </c>
      <c r="H9" s="136">
        <v>133868.0</v>
      </c>
      <c r="I9" s="136">
        <f>I7+I4</f>
        <v>158853</v>
      </c>
      <c r="J9" s="136">
        <v>114000.0</v>
      </c>
      <c r="K9" s="136">
        <f t="shared" ref="K9:L9" si="2">SUM(K3:K8)</f>
        <v>116804</v>
      </c>
      <c r="L9" s="136">
        <f t="shared" si="2"/>
        <v>103690</v>
      </c>
      <c r="M9" s="136">
        <v>102732.94</v>
      </c>
      <c r="N9" s="136">
        <v>91059.0</v>
      </c>
      <c r="O9" s="136">
        <v>82428.0</v>
      </c>
      <c r="P9" s="136">
        <v>80492.0</v>
      </c>
      <c r="Q9" s="136">
        <v>66368.0</v>
      </c>
      <c r="R9" s="136">
        <v>73090.79</v>
      </c>
      <c r="S9" s="136">
        <v>73317.0</v>
      </c>
      <c r="T9" s="136">
        <v>112082.0</v>
      </c>
      <c r="U9" s="136">
        <v>109575.0</v>
      </c>
      <c r="V9" s="136">
        <v>94247.0</v>
      </c>
      <c r="W9" s="136">
        <v>73046.4</v>
      </c>
      <c r="X9" s="136">
        <v>72795.0</v>
      </c>
      <c r="Y9" s="136">
        <v>72704.0</v>
      </c>
      <c r="Z9" s="136">
        <v>90966.0</v>
      </c>
      <c r="AA9" s="137">
        <v>94710.0</v>
      </c>
      <c r="AB9" s="137">
        <v>103923.23</v>
      </c>
      <c r="AC9" s="137">
        <v>95165.0</v>
      </c>
      <c r="AD9" s="137">
        <v>99856.0</v>
      </c>
      <c r="AE9" s="137">
        <v>104754.0</v>
      </c>
      <c r="AF9" s="137">
        <v>123758.73</v>
      </c>
      <c r="AG9" s="137">
        <v>126836.0</v>
      </c>
      <c r="AH9" s="137">
        <v>121094.0</v>
      </c>
      <c r="AI9" s="137">
        <v>116728.0</v>
      </c>
      <c r="AJ9" s="137">
        <v>124199.0</v>
      </c>
      <c r="AK9" s="137">
        <v>111134.0</v>
      </c>
      <c r="AL9" s="137">
        <v>110557.0</v>
      </c>
      <c r="AM9" s="137">
        <v>105498.0</v>
      </c>
      <c r="AN9" s="137">
        <v>130020.0</v>
      </c>
      <c r="AO9" s="137">
        <v>131233.77</v>
      </c>
      <c r="AP9" s="137">
        <v>130338.0</v>
      </c>
      <c r="AQ9" s="134">
        <v>138593.0</v>
      </c>
      <c r="AR9" s="137">
        <f t="shared" ref="AR9:AT9" si="3">SUM(AR3:AR8)</f>
        <v>55141</v>
      </c>
      <c r="AS9" s="137">
        <f t="shared" si="3"/>
        <v>104052.2</v>
      </c>
      <c r="AT9" s="137">
        <f t="shared" si="3"/>
        <v>92747.18</v>
      </c>
      <c r="AU9" s="108"/>
      <c r="AV9" s="108"/>
      <c r="AW9" s="108"/>
      <c r="AX9" s="108"/>
      <c r="AY9" s="108"/>
      <c r="AZ9" s="108"/>
      <c r="BA9" s="108"/>
      <c r="BB9" s="108"/>
      <c r="BC9" s="108"/>
      <c r="BD9" s="108"/>
    </row>
    <row r="10" ht="9.75" customHeight="1">
      <c r="A10" s="138"/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</row>
    <row r="11" ht="12.75" customHeight="1">
      <c r="A11" s="127" t="s">
        <v>192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</row>
    <row r="12" ht="12.75" customHeight="1">
      <c r="A12" s="130" t="s">
        <v>193</v>
      </c>
      <c r="B12" s="131">
        <v>19000.0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</row>
    <row r="13" ht="12.75" customHeight="1">
      <c r="A13" s="132" t="s">
        <v>194</v>
      </c>
      <c r="B13" s="133">
        <v>15000.0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>
        <v>19819.8</v>
      </c>
      <c r="AQ13" s="133"/>
      <c r="AR13" s="133"/>
      <c r="AS13" s="133"/>
      <c r="AT13" s="133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</row>
    <row r="14" ht="12.75" customHeight="1">
      <c r="A14" s="132" t="s">
        <v>195</v>
      </c>
      <c r="B14" s="133">
        <v>66700.0</v>
      </c>
      <c r="C14" s="133">
        <v>131096.14</v>
      </c>
      <c r="D14" s="133">
        <v>144825.16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>
        <v>-42000.0</v>
      </c>
      <c r="AN14" s="133">
        <v>-42000.0</v>
      </c>
      <c r="AO14" s="133"/>
      <c r="AP14" s="133"/>
      <c r="AQ14" s="133"/>
      <c r="AR14" s="133"/>
      <c r="AS14" s="133"/>
      <c r="AT14" s="133">
        <v>89305.0</v>
      </c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</row>
    <row r="15" ht="12.75" customHeight="1">
      <c r="A15" s="132" t="s">
        <v>196</v>
      </c>
      <c r="B15" s="133">
        <v>2800.0</v>
      </c>
      <c r="C15" s="133">
        <v>8740.5</v>
      </c>
      <c r="D15" s="133">
        <v>8740.5</v>
      </c>
      <c r="E15" s="133"/>
      <c r="F15" s="133"/>
      <c r="G15" s="133"/>
      <c r="H15" s="133"/>
      <c r="I15" s="133"/>
      <c r="J15" s="133"/>
      <c r="K15" s="133"/>
      <c r="L15" s="133">
        <v>14000.0</v>
      </c>
      <c r="M15" s="133">
        <v>6500.0</v>
      </c>
      <c r="N15" s="133"/>
      <c r="O15" s="133"/>
      <c r="P15" s="133"/>
      <c r="Q15" s="133"/>
      <c r="R15" s="133"/>
      <c r="S15" s="133"/>
      <c r="T15" s="133"/>
      <c r="U15" s="133">
        <v>2773.0</v>
      </c>
      <c r="V15" s="133">
        <v>11894.78</v>
      </c>
      <c r="W15" s="133">
        <v>11894.78</v>
      </c>
      <c r="X15" s="133">
        <v>897.52</v>
      </c>
      <c r="Y15" s="133">
        <v>5856.9</v>
      </c>
      <c r="Z15" s="133">
        <v>2785.0</v>
      </c>
      <c r="AA15" s="133"/>
      <c r="AB15" s="133">
        <v>7575.01</v>
      </c>
      <c r="AC15" s="133">
        <v>6661.0</v>
      </c>
      <c r="AD15" s="133">
        <v>4500.0</v>
      </c>
      <c r="AE15" s="133">
        <v>2500.0</v>
      </c>
      <c r="AF15" s="133">
        <v>3500.0</v>
      </c>
      <c r="AG15" s="133">
        <v>3000.0</v>
      </c>
      <c r="AH15" s="133">
        <v>2000.0</v>
      </c>
      <c r="AI15" s="133">
        <v>3000.0</v>
      </c>
      <c r="AJ15" s="133">
        <v>2000.0</v>
      </c>
      <c r="AK15" s="133">
        <v>2000.0</v>
      </c>
      <c r="AL15" s="133">
        <v>4000.0</v>
      </c>
      <c r="AM15" s="133">
        <v>2000.0</v>
      </c>
      <c r="AN15" s="133">
        <v>3000.0</v>
      </c>
      <c r="AO15" s="133">
        <v>1000.0</v>
      </c>
      <c r="AP15" s="133"/>
      <c r="AQ15" s="133">
        <v>2000.0</v>
      </c>
      <c r="AR15" s="133">
        <v>2000.0</v>
      </c>
      <c r="AS15" s="133">
        <v>2000.0</v>
      </c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</row>
    <row r="16" ht="12.75" customHeight="1">
      <c r="A16" s="132" t="s">
        <v>197</v>
      </c>
      <c r="B16" s="133">
        <v>0.0</v>
      </c>
      <c r="C16" s="133"/>
      <c r="D16" s="133"/>
      <c r="E16" s="133"/>
      <c r="F16" s="133"/>
      <c r="G16" s="133"/>
      <c r="H16" s="133"/>
      <c r="I16" s="133"/>
      <c r="J16" s="133"/>
      <c r="K16" s="133">
        <v>124321.0</v>
      </c>
      <c r="L16" s="133">
        <v>128866.0</v>
      </c>
      <c r="M16" s="133">
        <v>143753.0</v>
      </c>
      <c r="N16" s="133">
        <v>92304.0</v>
      </c>
      <c r="O16" s="133">
        <v>140557.0</v>
      </c>
      <c r="P16" s="133">
        <v>72000.0</v>
      </c>
      <c r="Q16" s="133">
        <v>67346.0</v>
      </c>
      <c r="R16" s="133">
        <v>70447.0</v>
      </c>
      <c r="S16" s="133">
        <v>90911.0</v>
      </c>
      <c r="T16" s="133">
        <v>61335.0</v>
      </c>
      <c r="U16" s="133">
        <v>84760.0</v>
      </c>
      <c r="V16" s="133">
        <v>70238.0</v>
      </c>
      <c r="W16" s="133">
        <v>79021.0</v>
      </c>
      <c r="X16" s="133">
        <v>80489.03</v>
      </c>
      <c r="Y16" s="133">
        <v>67890.0</v>
      </c>
      <c r="Z16" s="133">
        <v>54148.0</v>
      </c>
      <c r="AA16" s="133">
        <v>65396.0</v>
      </c>
      <c r="AB16" s="133">
        <v>58300.0</v>
      </c>
      <c r="AC16" s="133">
        <v>67477.0</v>
      </c>
      <c r="AD16" s="133">
        <v>77583.0</v>
      </c>
      <c r="AE16" s="133">
        <v>75977.0</v>
      </c>
      <c r="AF16" s="133">
        <v>80895.0</v>
      </c>
      <c r="AG16" s="133">
        <v>82046.0</v>
      </c>
      <c r="AH16" s="133">
        <v>87524.0</v>
      </c>
      <c r="AI16" s="133">
        <v>92340.7</v>
      </c>
      <c r="AJ16" s="133">
        <v>133511.0</v>
      </c>
      <c r="AK16" s="133">
        <v>97180.0</v>
      </c>
      <c r="AL16" s="133">
        <v>102446.0</v>
      </c>
      <c r="AM16" s="133">
        <v>77860.0</v>
      </c>
      <c r="AN16" s="133">
        <v>83975.0</v>
      </c>
      <c r="AO16" s="133">
        <v>85000.0</v>
      </c>
      <c r="AP16" s="133">
        <v>79052.0</v>
      </c>
      <c r="AQ16" s="133">
        <v>71083.01</v>
      </c>
      <c r="AR16" s="133">
        <v>77785.0</v>
      </c>
      <c r="AS16" s="133">
        <v>72384.0</v>
      </c>
      <c r="AT16" s="133">
        <v>27787.0</v>
      </c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</row>
    <row r="17" ht="12.75" customHeight="1">
      <c r="A17" s="135" t="s">
        <v>198</v>
      </c>
      <c r="B17" s="136">
        <f t="shared" ref="B17:D17" si="4">SUM(B12:B16)</f>
        <v>103500</v>
      </c>
      <c r="C17" s="136">
        <f t="shared" si="4"/>
        <v>139836.64</v>
      </c>
      <c r="D17" s="136">
        <f t="shared" si="4"/>
        <v>153565.66</v>
      </c>
      <c r="E17" s="136">
        <v>106070.56</v>
      </c>
      <c r="F17" s="136">
        <v>76500.0</v>
      </c>
      <c r="G17" s="136">
        <v>91152.0</v>
      </c>
      <c r="H17" s="136">
        <v>71000.0</v>
      </c>
      <c r="I17" s="136">
        <v>212000.0</v>
      </c>
      <c r="J17" s="136">
        <v>150000.0</v>
      </c>
      <c r="K17" s="136">
        <f t="shared" ref="K17:AH17" si="5">SUM(K10:K16)</f>
        <v>124321</v>
      </c>
      <c r="L17" s="136">
        <f t="shared" si="5"/>
        <v>142866</v>
      </c>
      <c r="M17" s="136">
        <f t="shared" si="5"/>
        <v>150253</v>
      </c>
      <c r="N17" s="136">
        <f t="shared" si="5"/>
        <v>92304</v>
      </c>
      <c r="O17" s="136">
        <f t="shared" si="5"/>
        <v>140557</v>
      </c>
      <c r="P17" s="136">
        <f t="shared" si="5"/>
        <v>72000</v>
      </c>
      <c r="Q17" s="136">
        <f t="shared" si="5"/>
        <v>67346</v>
      </c>
      <c r="R17" s="136">
        <f t="shared" si="5"/>
        <v>70447</v>
      </c>
      <c r="S17" s="136">
        <f t="shared" si="5"/>
        <v>90911</v>
      </c>
      <c r="T17" s="136">
        <f t="shared" si="5"/>
        <v>61335</v>
      </c>
      <c r="U17" s="136">
        <f t="shared" si="5"/>
        <v>87533</v>
      </c>
      <c r="V17" s="136">
        <f t="shared" si="5"/>
        <v>82132.78</v>
      </c>
      <c r="W17" s="136">
        <f t="shared" si="5"/>
        <v>90915.78</v>
      </c>
      <c r="X17" s="136">
        <f t="shared" si="5"/>
        <v>81386.55</v>
      </c>
      <c r="Y17" s="136">
        <f t="shared" si="5"/>
        <v>73746.9</v>
      </c>
      <c r="Z17" s="136">
        <f t="shared" si="5"/>
        <v>56933</v>
      </c>
      <c r="AA17" s="137">
        <f t="shared" si="5"/>
        <v>65396</v>
      </c>
      <c r="AB17" s="137">
        <f t="shared" si="5"/>
        <v>65875.01</v>
      </c>
      <c r="AC17" s="137">
        <f t="shared" si="5"/>
        <v>74138</v>
      </c>
      <c r="AD17" s="137">
        <f t="shared" si="5"/>
        <v>82083</v>
      </c>
      <c r="AE17" s="137">
        <f t="shared" si="5"/>
        <v>78477</v>
      </c>
      <c r="AF17" s="137">
        <f t="shared" si="5"/>
        <v>84395</v>
      </c>
      <c r="AG17" s="137">
        <f t="shared" si="5"/>
        <v>85046</v>
      </c>
      <c r="AH17" s="137">
        <f t="shared" si="5"/>
        <v>89524</v>
      </c>
      <c r="AI17" s="137">
        <f t="shared" ref="AI17:AT17" si="6">SUM(AI12:AI16)</f>
        <v>95340.7</v>
      </c>
      <c r="AJ17" s="137">
        <f t="shared" si="6"/>
        <v>135511</v>
      </c>
      <c r="AK17" s="137">
        <f t="shared" si="6"/>
        <v>99180</v>
      </c>
      <c r="AL17" s="137">
        <f t="shared" si="6"/>
        <v>106446</v>
      </c>
      <c r="AM17" s="137">
        <f t="shared" si="6"/>
        <v>37860</v>
      </c>
      <c r="AN17" s="137">
        <f t="shared" si="6"/>
        <v>44975</v>
      </c>
      <c r="AO17" s="137">
        <f t="shared" si="6"/>
        <v>86000</v>
      </c>
      <c r="AP17" s="137">
        <f t="shared" si="6"/>
        <v>98871.8</v>
      </c>
      <c r="AQ17" s="137">
        <f t="shared" si="6"/>
        <v>73083.01</v>
      </c>
      <c r="AR17" s="137">
        <f t="shared" si="6"/>
        <v>79785</v>
      </c>
      <c r="AS17" s="137">
        <f t="shared" si="6"/>
        <v>74384</v>
      </c>
      <c r="AT17" s="137">
        <f t="shared" si="6"/>
        <v>117092</v>
      </c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</row>
    <row r="18" ht="9.0" customHeight="1">
      <c r="A18" s="141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</row>
    <row r="19" ht="12.75" customHeight="1">
      <c r="A19" s="144" t="s">
        <v>199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</row>
    <row r="20" ht="12.75" customHeight="1">
      <c r="A20" s="147" t="s">
        <v>200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9"/>
      <c r="AB20" s="149"/>
      <c r="AC20" s="149"/>
      <c r="AD20" s="149"/>
      <c r="AE20" s="149"/>
      <c r="AF20" s="131">
        <v>-20000.0</v>
      </c>
      <c r="AG20" s="131">
        <v>-20000.0</v>
      </c>
      <c r="AH20" s="131">
        <v>-20000.0</v>
      </c>
      <c r="AI20" s="131">
        <v>-20000.0</v>
      </c>
      <c r="AJ20" s="131">
        <v>-20000.0</v>
      </c>
      <c r="AK20" s="131">
        <v>-20000.0</v>
      </c>
      <c r="AL20" s="131">
        <v>-20000.0</v>
      </c>
      <c r="AM20" s="131">
        <v>0.0</v>
      </c>
      <c r="AN20" s="131">
        <v>0.0</v>
      </c>
      <c r="AO20" s="131"/>
      <c r="AP20" s="131"/>
      <c r="AQ20" s="131"/>
      <c r="AR20" s="131">
        <v>-30000.0</v>
      </c>
      <c r="AS20" s="131">
        <v>-30000.0</v>
      </c>
      <c r="AT20" s="131">
        <v>-30000.0</v>
      </c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</row>
    <row r="21" ht="12.75" customHeight="1">
      <c r="A21" s="135" t="s">
        <v>201</v>
      </c>
      <c r="B21" s="136">
        <v>0.0</v>
      </c>
      <c r="C21" s="136"/>
      <c r="D21" s="136"/>
      <c r="E21" s="136"/>
      <c r="F21" s="136">
        <v>4000.0</v>
      </c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7"/>
      <c r="AB21" s="137"/>
      <c r="AC21" s="137"/>
      <c r="AD21" s="137"/>
      <c r="AE21" s="137"/>
      <c r="AF21" s="137">
        <v>18000.0</v>
      </c>
      <c r="AG21" s="137">
        <v>18000.0</v>
      </c>
      <c r="AH21" s="137">
        <v>18000.0</v>
      </c>
      <c r="AI21" s="137">
        <v>18000.0</v>
      </c>
      <c r="AJ21" s="137">
        <v>18000.0</v>
      </c>
      <c r="AK21" s="137">
        <v>18000.0</v>
      </c>
      <c r="AL21" s="137">
        <v>18000.0</v>
      </c>
      <c r="AM21" s="137">
        <v>0.0</v>
      </c>
      <c r="AN21" s="137">
        <v>0.0</v>
      </c>
      <c r="AO21" s="137"/>
      <c r="AP21" s="137"/>
      <c r="AQ21" s="137"/>
      <c r="AR21" s="137"/>
      <c r="AS21" s="137"/>
      <c r="AT21" s="137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</row>
    <row r="22" ht="12.75" customHeight="1">
      <c r="A22" s="135" t="s">
        <v>202</v>
      </c>
      <c r="B22" s="136">
        <v>84000.0</v>
      </c>
      <c r="C22" s="136">
        <v>21904.12</v>
      </c>
      <c r="D22" s="136">
        <v>45837.24</v>
      </c>
      <c r="E22" s="136">
        <v>3300.0</v>
      </c>
      <c r="F22" s="136">
        <v>135000.0</v>
      </c>
      <c r="G22" s="136">
        <v>140000.0</v>
      </c>
      <c r="H22" s="136">
        <v>103000.0</v>
      </c>
      <c r="I22" s="136">
        <v>0.0</v>
      </c>
      <c r="J22" s="136">
        <v>44000.0</v>
      </c>
      <c r="K22" s="136">
        <v>95000.0</v>
      </c>
      <c r="L22" s="136">
        <v>114100.0</v>
      </c>
      <c r="M22" s="136">
        <v>87767.0</v>
      </c>
      <c r="N22" s="136">
        <v>151000.0</v>
      </c>
      <c r="O22" s="136">
        <v>76700.67</v>
      </c>
      <c r="P22" s="136">
        <v>108253.0</v>
      </c>
      <c r="Q22" s="136">
        <v>135300.0</v>
      </c>
      <c r="R22" s="136">
        <v>138696.0</v>
      </c>
      <c r="S22" s="136">
        <v>91559.0</v>
      </c>
      <c r="T22" s="136">
        <v>107000.0</v>
      </c>
      <c r="U22" s="136">
        <v>26551.0</v>
      </c>
      <c r="V22" s="136">
        <v>16194.0</v>
      </c>
      <c r="W22" s="136">
        <v>11295.0</v>
      </c>
      <c r="X22" s="136">
        <v>58923.95</v>
      </c>
      <c r="Y22" s="136">
        <v>38357.0</v>
      </c>
      <c r="Z22" s="136">
        <v>32048.0</v>
      </c>
      <c r="AA22" s="137">
        <v>48645.0</v>
      </c>
      <c r="AB22" s="137">
        <v>33637.0</v>
      </c>
      <c r="AC22" s="137">
        <v>34333.0</v>
      </c>
      <c r="AD22" s="137">
        <v>16818.71</v>
      </c>
      <c r="AE22" s="137">
        <v>17273.0</v>
      </c>
      <c r="AF22" s="137">
        <v>21885.06</v>
      </c>
      <c r="AG22" s="137">
        <v>31478.0</v>
      </c>
      <c r="AH22" s="137">
        <v>5559.0</v>
      </c>
      <c r="AI22" s="137">
        <v>-1288.0</v>
      </c>
      <c r="AJ22" s="137">
        <v>-21861.08</v>
      </c>
      <c r="AK22" s="137">
        <v>9966.25</v>
      </c>
      <c r="AL22" s="137">
        <v>-8276.0</v>
      </c>
      <c r="AM22" s="137">
        <v>37285.34</v>
      </c>
      <c r="AN22" s="137">
        <v>29563.11</v>
      </c>
      <c r="AO22" s="137">
        <v>-6531.94</v>
      </c>
      <c r="AP22" s="137">
        <v>-12451.0</v>
      </c>
      <c r="AQ22" s="137">
        <v>-3196.3</v>
      </c>
      <c r="AR22" s="137">
        <v>17808.78</v>
      </c>
      <c r="AS22" s="137">
        <v>-20727.0</v>
      </c>
      <c r="AT22" s="137">
        <v>-23602.0</v>
      </c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</row>
    <row r="23" ht="12.75" customHeight="1">
      <c r="A23" s="135" t="s">
        <v>203</v>
      </c>
      <c r="B23" s="136">
        <f t="shared" ref="B23:H23" si="7">SUM(B21:B22)</f>
        <v>84000</v>
      </c>
      <c r="C23" s="136">
        <f t="shared" si="7"/>
        <v>21904.12</v>
      </c>
      <c r="D23" s="136">
        <f t="shared" si="7"/>
        <v>45837.24</v>
      </c>
      <c r="E23" s="136">
        <f t="shared" si="7"/>
        <v>3300</v>
      </c>
      <c r="F23" s="136">
        <f t="shared" si="7"/>
        <v>139000</v>
      </c>
      <c r="G23" s="136">
        <f t="shared" si="7"/>
        <v>140000</v>
      </c>
      <c r="H23" s="136">
        <f t="shared" si="7"/>
        <v>103000</v>
      </c>
      <c r="I23" s="136">
        <v>3300.0</v>
      </c>
      <c r="J23" s="136">
        <v>44000.0</v>
      </c>
      <c r="K23" s="136">
        <f t="shared" ref="K23:AH23" si="8">SUM(K18:K22)</f>
        <v>95000</v>
      </c>
      <c r="L23" s="136">
        <f t="shared" si="8"/>
        <v>114100</v>
      </c>
      <c r="M23" s="136">
        <f t="shared" si="8"/>
        <v>87767</v>
      </c>
      <c r="N23" s="136">
        <f t="shared" si="8"/>
        <v>151000</v>
      </c>
      <c r="O23" s="136">
        <f t="shared" si="8"/>
        <v>76700.67</v>
      </c>
      <c r="P23" s="136">
        <f t="shared" si="8"/>
        <v>108253</v>
      </c>
      <c r="Q23" s="136">
        <f t="shared" si="8"/>
        <v>135300</v>
      </c>
      <c r="R23" s="136">
        <f t="shared" si="8"/>
        <v>138696</v>
      </c>
      <c r="S23" s="136">
        <f t="shared" si="8"/>
        <v>91559</v>
      </c>
      <c r="T23" s="136">
        <f t="shared" si="8"/>
        <v>107000</v>
      </c>
      <c r="U23" s="136">
        <f t="shared" si="8"/>
        <v>26551</v>
      </c>
      <c r="V23" s="136">
        <f t="shared" si="8"/>
        <v>16194</v>
      </c>
      <c r="W23" s="136">
        <f t="shared" si="8"/>
        <v>11295</v>
      </c>
      <c r="X23" s="136">
        <f t="shared" si="8"/>
        <v>58923.95</v>
      </c>
      <c r="Y23" s="136">
        <f t="shared" si="8"/>
        <v>38357</v>
      </c>
      <c r="Z23" s="136">
        <f t="shared" si="8"/>
        <v>32048</v>
      </c>
      <c r="AA23" s="137">
        <f t="shared" si="8"/>
        <v>48645</v>
      </c>
      <c r="AB23" s="137">
        <f t="shared" si="8"/>
        <v>33637</v>
      </c>
      <c r="AC23" s="137">
        <f t="shared" si="8"/>
        <v>34333</v>
      </c>
      <c r="AD23" s="137">
        <f t="shared" si="8"/>
        <v>16818.71</v>
      </c>
      <c r="AE23" s="137">
        <f t="shared" si="8"/>
        <v>17273</v>
      </c>
      <c r="AF23" s="137">
        <f t="shared" si="8"/>
        <v>19885.06</v>
      </c>
      <c r="AG23" s="137">
        <f t="shared" si="8"/>
        <v>29478</v>
      </c>
      <c r="AH23" s="137">
        <f t="shared" si="8"/>
        <v>3559</v>
      </c>
      <c r="AI23" s="137">
        <f t="shared" ref="AI23:AT23" si="9">SUM(AI20:AI22)</f>
        <v>-3288</v>
      </c>
      <c r="AJ23" s="137">
        <f t="shared" si="9"/>
        <v>-23861.08</v>
      </c>
      <c r="AK23" s="137">
        <f t="shared" si="9"/>
        <v>7966.25</v>
      </c>
      <c r="AL23" s="137">
        <f t="shared" si="9"/>
        <v>-10276</v>
      </c>
      <c r="AM23" s="137">
        <f t="shared" si="9"/>
        <v>37285.34</v>
      </c>
      <c r="AN23" s="137">
        <f t="shared" si="9"/>
        <v>29563.11</v>
      </c>
      <c r="AO23" s="137">
        <f t="shared" si="9"/>
        <v>-6531.94</v>
      </c>
      <c r="AP23" s="137">
        <f t="shared" si="9"/>
        <v>-12451</v>
      </c>
      <c r="AQ23" s="137">
        <f t="shared" si="9"/>
        <v>-3196.3</v>
      </c>
      <c r="AR23" s="137">
        <f t="shared" si="9"/>
        <v>-12191.22</v>
      </c>
      <c r="AS23" s="137">
        <f t="shared" si="9"/>
        <v>-50727</v>
      </c>
      <c r="AT23" s="137">
        <f t="shared" si="9"/>
        <v>-53602</v>
      </c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</row>
    <row r="24" ht="12.75" customHeight="1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</row>
    <row r="25" ht="12.75" customHeight="1">
      <c r="A25" s="150" t="s">
        <v>204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</row>
    <row r="26" ht="12.75" customHeight="1">
      <c r="A26" s="152" t="s">
        <v>205</v>
      </c>
      <c r="B26" s="131">
        <v>121442.45</v>
      </c>
      <c r="C26" s="131">
        <v>140446.22</v>
      </c>
      <c r="D26" s="131">
        <v>158061.11</v>
      </c>
      <c r="E26" s="131">
        <v>86012.68</v>
      </c>
      <c r="F26" s="131">
        <v>152000.0</v>
      </c>
      <c r="G26" s="131">
        <v>137610.0</v>
      </c>
      <c r="H26" s="131">
        <v>157290.0</v>
      </c>
      <c r="I26" s="131">
        <v>154199.08</v>
      </c>
      <c r="J26" s="131">
        <v>85000.0</v>
      </c>
      <c r="K26" s="131">
        <v>80000.0</v>
      </c>
      <c r="L26" s="131">
        <v>130000.0</v>
      </c>
      <c r="M26" s="131">
        <v>120899.0</v>
      </c>
      <c r="N26" s="131">
        <v>118210.56</v>
      </c>
      <c r="O26" s="131">
        <v>99955.51</v>
      </c>
      <c r="P26" s="131">
        <v>70014.5</v>
      </c>
      <c r="Q26" s="131">
        <v>74135.0</v>
      </c>
      <c r="R26" s="131">
        <v>77598.93</v>
      </c>
      <c r="S26" s="131">
        <v>97907.0</v>
      </c>
      <c r="T26" s="131">
        <v>100074.0</v>
      </c>
      <c r="U26" s="131">
        <v>80752.0</v>
      </c>
      <c r="V26" s="131">
        <v>66402.66</v>
      </c>
      <c r="W26" s="131">
        <v>23351.87</v>
      </c>
      <c r="X26" s="131">
        <v>40804.99</v>
      </c>
      <c r="Y26" s="148">
        <v>44677.71</v>
      </c>
      <c r="Z26" s="148">
        <v>40229.0</v>
      </c>
      <c r="AA26" s="149">
        <v>33837.37</v>
      </c>
      <c r="AB26" s="149">
        <v>56152.62</v>
      </c>
      <c r="AC26" s="149">
        <v>62105.14</v>
      </c>
      <c r="AD26" s="149">
        <v>52723.42</v>
      </c>
      <c r="AE26" s="149">
        <v>65762.0</v>
      </c>
      <c r="AF26" s="149">
        <v>94218.02</v>
      </c>
      <c r="AG26" s="149">
        <v>122117.0</v>
      </c>
      <c r="AH26" s="149">
        <v>85901.77</v>
      </c>
      <c r="AI26" s="149">
        <v>81906.69</v>
      </c>
      <c r="AJ26" s="149">
        <v>105003.62</v>
      </c>
      <c r="AK26" s="149">
        <v>71464.95</v>
      </c>
      <c r="AL26" s="149">
        <v>82417.48</v>
      </c>
      <c r="AM26" s="149">
        <v>49549.56</v>
      </c>
      <c r="AN26" s="149">
        <v>71797.3</v>
      </c>
      <c r="AO26" s="149">
        <v>74687.51</v>
      </c>
      <c r="AP26" s="149">
        <v>48879.21</v>
      </c>
      <c r="AQ26" s="149">
        <v>76426.94</v>
      </c>
      <c r="AR26" s="149">
        <v>84815.91</v>
      </c>
      <c r="AS26" s="149">
        <v>73824.0</v>
      </c>
      <c r="AT26" s="149">
        <v>92034.86</v>
      </c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</row>
    <row r="27" ht="12.75" customHeight="1">
      <c r="A27" s="153" t="s">
        <v>206</v>
      </c>
      <c r="B27" s="133">
        <v>0.0</v>
      </c>
      <c r="C27" s="133">
        <v>14000.0</v>
      </c>
      <c r="D27" s="133">
        <v>14000.0</v>
      </c>
      <c r="E27" s="133">
        <v>10192.0</v>
      </c>
      <c r="F27" s="133"/>
      <c r="G27" s="133">
        <v>31607.0</v>
      </c>
      <c r="H27" s="133">
        <v>31000.0</v>
      </c>
      <c r="I27" s="133">
        <v>21000.0</v>
      </c>
      <c r="J27" s="133">
        <v>38400.0</v>
      </c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>
        <v>22630.12</v>
      </c>
      <c r="AT27" s="133">
        <v>22630.12</v>
      </c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</row>
    <row r="28" ht="12.75" customHeight="1">
      <c r="A28" s="153" t="s">
        <v>173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</row>
    <row r="29" ht="12.75" customHeight="1">
      <c r="A29" s="154" t="s">
        <v>207</v>
      </c>
      <c r="B29" s="155">
        <f t="shared" ref="B29:AH29" si="10">SUM(B26:B27)</f>
        <v>121442.45</v>
      </c>
      <c r="C29" s="155">
        <f t="shared" si="10"/>
        <v>154446.22</v>
      </c>
      <c r="D29" s="155">
        <f t="shared" si="10"/>
        <v>172061.11</v>
      </c>
      <c r="E29" s="155">
        <f t="shared" si="10"/>
        <v>96204.68</v>
      </c>
      <c r="F29" s="155">
        <f t="shared" si="10"/>
        <v>152000</v>
      </c>
      <c r="G29" s="155">
        <f t="shared" si="10"/>
        <v>169217</v>
      </c>
      <c r="H29" s="155">
        <f t="shared" si="10"/>
        <v>188290</v>
      </c>
      <c r="I29" s="155">
        <f t="shared" si="10"/>
        <v>175199.08</v>
      </c>
      <c r="J29" s="155">
        <f t="shared" si="10"/>
        <v>123400</v>
      </c>
      <c r="K29" s="155">
        <f t="shared" si="10"/>
        <v>80000</v>
      </c>
      <c r="L29" s="155">
        <f t="shared" si="10"/>
        <v>130000</v>
      </c>
      <c r="M29" s="155">
        <f t="shared" si="10"/>
        <v>120899</v>
      </c>
      <c r="N29" s="155">
        <f t="shared" si="10"/>
        <v>118210.56</v>
      </c>
      <c r="O29" s="155">
        <f t="shared" si="10"/>
        <v>99955.51</v>
      </c>
      <c r="P29" s="155">
        <f t="shared" si="10"/>
        <v>70014.5</v>
      </c>
      <c r="Q29" s="155">
        <f t="shared" si="10"/>
        <v>74135</v>
      </c>
      <c r="R29" s="155">
        <f t="shared" si="10"/>
        <v>77598.93</v>
      </c>
      <c r="S29" s="155">
        <f t="shared" si="10"/>
        <v>97907</v>
      </c>
      <c r="T29" s="155">
        <f t="shared" si="10"/>
        <v>100074</v>
      </c>
      <c r="U29" s="155">
        <f t="shared" si="10"/>
        <v>80752</v>
      </c>
      <c r="V29" s="155">
        <f t="shared" si="10"/>
        <v>66402.66</v>
      </c>
      <c r="W29" s="155">
        <f t="shared" si="10"/>
        <v>23351.87</v>
      </c>
      <c r="X29" s="155">
        <f t="shared" si="10"/>
        <v>40804.99</v>
      </c>
      <c r="Y29" s="155">
        <f t="shared" si="10"/>
        <v>44677.71</v>
      </c>
      <c r="Z29" s="155">
        <f t="shared" si="10"/>
        <v>40229</v>
      </c>
      <c r="AA29" s="156">
        <f t="shared" si="10"/>
        <v>33837.37</v>
      </c>
      <c r="AB29" s="156">
        <f t="shared" si="10"/>
        <v>56152.62</v>
      </c>
      <c r="AC29" s="156">
        <f t="shared" si="10"/>
        <v>62105.14</v>
      </c>
      <c r="AD29" s="156">
        <f t="shared" si="10"/>
        <v>52723.42</v>
      </c>
      <c r="AE29" s="156">
        <f t="shared" si="10"/>
        <v>65762</v>
      </c>
      <c r="AF29" s="156">
        <f t="shared" si="10"/>
        <v>94218.02</v>
      </c>
      <c r="AG29" s="156">
        <f t="shared" si="10"/>
        <v>122117</v>
      </c>
      <c r="AH29" s="156">
        <f t="shared" si="10"/>
        <v>85901.77</v>
      </c>
      <c r="AI29" s="156">
        <f t="shared" ref="AI29:AT29" si="11">SUM(AI26:AI28)</f>
        <v>81906.69</v>
      </c>
      <c r="AJ29" s="156">
        <f t="shared" si="11"/>
        <v>105003.62</v>
      </c>
      <c r="AK29" s="156">
        <f t="shared" si="11"/>
        <v>71464.95</v>
      </c>
      <c r="AL29" s="156">
        <f t="shared" si="11"/>
        <v>82417.48</v>
      </c>
      <c r="AM29" s="156">
        <f t="shared" si="11"/>
        <v>49549.56</v>
      </c>
      <c r="AN29" s="156">
        <f t="shared" si="11"/>
        <v>71797.3</v>
      </c>
      <c r="AO29" s="156">
        <f t="shared" si="11"/>
        <v>74687.51</v>
      </c>
      <c r="AP29" s="156">
        <f t="shared" si="11"/>
        <v>48879.21</v>
      </c>
      <c r="AQ29" s="156">
        <f t="shared" si="11"/>
        <v>76426.94</v>
      </c>
      <c r="AR29" s="156">
        <f t="shared" si="11"/>
        <v>84815.91</v>
      </c>
      <c r="AS29" s="156">
        <f t="shared" si="11"/>
        <v>96454.12</v>
      </c>
      <c r="AT29" s="156">
        <f t="shared" si="11"/>
        <v>114664.98</v>
      </c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</row>
    <row r="30" ht="12.75" customHeight="1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</row>
    <row r="31" ht="12.75" customHeight="1">
      <c r="A31" s="159" t="s">
        <v>208</v>
      </c>
      <c r="B31" s="160">
        <f t="shared" ref="B31:AT31" si="12">B9+B17+B23-B29</f>
        <v>172617.8</v>
      </c>
      <c r="C31" s="160">
        <f t="shared" si="12"/>
        <v>200781.92</v>
      </c>
      <c r="D31" s="160">
        <f t="shared" si="12"/>
        <v>202788.61</v>
      </c>
      <c r="E31" s="160">
        <f t="shared" si="12"/>
        <v>108362.25</v>
      </c>
      <c r="F31" s="160">
        <f t="shared" si="12"/>
        <v>173224</v>
      </c>
      <c r="G31" s="160">
        <f t="shared" si="12"/>
        <v>162212</v>
      </c>
      <c r="H31" s="160">
        <f t="shared" si="12"/>
        <v>119578</v>
      </c>
      <c r="I31" s="160">
        <f t="shared" si="12"/>
        <v>198953.92</v>
      </c>
      <c r="J31" s="160">
        <f t="shared" si="12"/>
        <v>184600</v>
      </c>
      <c r="K31" s="160">
        <f t="shared" si="12"/>
        <v>256125</v>
      </c>
      <c r="L31" s="160">
        <f t="shared" si="12"/>
        <v>230656</v>
      </c>
      <c r="M31" s="160">
        <f t="shared" si="12"/>
        <v>219853.94</v>
      </c>
      <c r="N31" s="160">
        <f t="shared" si="12"/>
        <v>216152.44</v>
      </c>
      <c r="O31" s="160">
        <f t="shared" si="12"/>
        <v>199730.16</v>
      </c>
      <c r="P31" s="160">
        <f t="shared" si="12"/>
        <v>190730.5</v>
      </c>
      <c r="Q31" s="160">
        <f t="shared" si="12"/>
        <v>194879</v>
      </c>
      <c r="R31" s="160">
        <f t="shared" si="12"/>
        <v>204634.86</v>
      </c>
      <c r="S31" s="160">
        <f t="shared" si="12"/>
        <v>157880</v>
      </c>
      <c r="T31" s="160">
        <f t="shared" si="12"/>
        <v>180343</v>
      </c>
      <c r="U31" s="160">
        <f t="shared" si="12"/>
        <v>142907</v>
      </c>
      <c r="V31" s="160">
        <f t="shared" si="12"/>
        <v>126171.12</v>
      </c>
      <c r="W31" s="160">
        <f t="shared" si="12"/>
        <v>151905.31</v>
      </c>
      <c r="X31" s="160">
        <f t="shared" si="12"/>
        <v>172300.51</v>
      </c>
      <c r="Y31" s="160">
        <f t="shared" si="12"/>
        <v>140130.19</v>
      </c>
      <c r="Z31" s="160">
        <f t="shared" si="12"/>
        <v>139718</v>
      </c>
      <c r="AA31" s="161">
        <f t="shared" si="12"/>
        <v>174913.63</v>
      </c>
      <c r="AB31" s="161">
        <f t="shared" si="12"/>
        <v>147282.62</v>
      </c>
      <c r="AC31" s="161">
        <f t="shared" si="12"/>
        <v>141530.86</v>
      </c>
      <c r="AD31" s="161">
        <f t="shared" si="12"/>
        <v>146034.29</v>
      </c>
      <c r="AE31" s="161">
        <f t="shared" si="12"/>
        <v>134742</v>
      </c>
      <c r="AF31" s="161">
        <f t="shared" si="12"/>
        <v>133820.77</v>
      </c>
      <c r="AG31" s="161">
        <f t="shared" si="12"/>
        <v>119243</v>
      </c>
      <c r="AH31" s="161">
        <f t="shared" si="12"/>
        <v>128275.23</v>
      </c>
      <c r="AI31" s="161">
        <f t="shared" si="12"/>
        <v>126874.01</v>
      </c>
      <c r="AJ31" s="161">
        <f t="shared" si="12"/>
        <v>130845.3</v>
      </c>
      <c r="AK31" s="161">
        <f t="shared" si="12"/>
        <v>146815.3</v>
      </c>
      <c r="AL31" s="161">
        <f t="shared" si="12"/>
        <v>124309.52</v>
      </c>
      <c r="AM31" s="161">
        <f t="shared" si="12"/>
        <v>131093.78</v>
      </c>
      <c r="AN31" s="161">
        <f t="shared" si="12"/>
        <v>132760.81</v>
      </c>
      <c r="AO31" s="161">
        <f t="shared" si="12"/>
        <v>136014.32</v>
      </c>
      <c r="AP31" s="161">
        <f t="shared" si="12"/>
        <v>167879.59</v>
      </c>
      <c r="AQ31" s="161">
        <f t="shared" si="12"/>
        <v>132052.77</v>
      </c>
      <c r="AR31" s="161">
        <f t="shared" si="12"/>
        <v>37918.87</v>
      </c>
      <c r="AS31" s="161">
        <f t="shared" si="12"/>
        <v>31255.08</v>
      </c>
      <c r="AT31" s="161">
        <f t="shared" si="12"/>
        <v>41572.2</v>
      </c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</row>
    <row r="32" ht="12.75" customHeight="1">
      <c r="A32" s="162"/>
      <c r="B32" s="162"/>
      <c r="C32" s="162"/>
      <c r="D32" s="162"/>
      <c r="E32" s="141" t="s">
        <v>209</v>
      </c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</row>
    <row r="33" ht="12.75" customHeight="1">
      <c r="A33" s="162"/>
      <c r="B33" s="162"/>
      <c r="C33" s="162"/>
      <c r="D33" s="162"/>
      <c r="E33" s="139" t="s">
        <v>210</v>
      </c>
      <c r="F33" s="162"/>
      <c r="G33" s="162"/>
      <c r="H33" s="162"/>
      <c r="I33" s="162"/>
      <c r="J33" s="139" t="s">
        <v>211</v>
      </c>
      <c r="K33" s="139">
        <v>-37000.0</v>
      </c>
      <c r="L33" s="162"/>
      <c r="M33" s="162"/>
      <c r="N33" s="162"/>
      <c r="O33" s="162"/>
      <c r="P33" s="162"/>
      <c r="Q33" s="162"/>
      <c r="R33" s="162"/>
      <c r="S33" s="162"/>
      <c r="T33" s="139" t="s">
        <v>212</v>
      </c>
      <c r="U33" s="139">
        <v>17483.0</v>
      </c>
      <c r="V33" s="139">
        <v>32156.0</v>
      </c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</row>
    <row r="34" ht="12.75" customHeight="1">
      <c r="A34" s="162"/>
      <c r="B34" s="162"/>
      <c r="C34" s="162"/>
      <c r="D34" s="162"/>
      <c r="E34" s="139" t="s">
        <v>213</v>
      </c>
      <c r="F34" s="162"/>
      <c r="G34" s="162"/>
      <c r="H34" s="162"/>
      <c r="I34" s="162"/>
      <c r="J34" s="139" t="s">
        <v>214</v>
      </c>
      <c r="K34" s="139">
        <v>-27000.0</v>
      </c>
      <c r="L34" s="162"/>
      <c r="M34" s="162"/>
      <c r="N34" s="162"/>
      <c r="O34" s="162"/>
      <c r="P34" s="162"/>
      <c r="Q34" s="162"/>
      <c r="R34" s="162"/>
      <c r="S34" s="162"/>
      <c r="T34" s="139" t="s">
        <v>215</v>
      </c>
      <c r="U34" s="139">
        <v>17102.0</v>
      </c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</row>
    <row r="35" ht="12.75" customHeight="1">
      <c r="A35" s="162"/>
      <c r="B35" s="162"/>
      <c r="C35" s="162"/>
      <c r="D35" s="162"/>
      <c r="E35" s="162"/>
      <c r="F35" s="162"/>
      <c r="G35" s="162"/>
      <c r="H35" s="162"/>
      <c r="I35" s="162"/>
      <c r="J35" s="139" t="s">
        <v>216</v>
      </c>
      <c r="K35" s="163" t="s">
        <v>217</v>
      </c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5.13" defaultRowHeight="15.0"/>
  <cols>
    <col customWidth="1" min="1" max="1" width="2.0"/>
    <col customWidth="1" min="2" max="2" width="30.13"/>
    <col customWidth="1" min="3" max="3" width="11.63"/>
    <col customWidth="1" min="4" max="10" width="8.75"/>
    <col customWidth="1" min="11" max="11" width="8.88"/>
    <col customWidth="1" min="12" max="12" width="10.88"/>
    <col customWidth="1" min="13" max="13" width="9.13"/>
    <col customWidth="1" min="14" max="14" width="10.63"/>
    <col customWidth="1" min="15" max="23" width="8.75"/>
    <col customWidth="1" min="24" max="24" width="11.38"/>
    <col customWidth="1" min="25" max="25" width="8.75"/>
    <col customWidth="1" min="26" max="26" width="10.75"/>
    <col customWidth="1" min="27" max="35" width="8.75"/>
    <col customWidth="1" min="36" max="37" width="10.75"/>
    <col customWidth="1" min="38" max="39" width="10.63"/>
  </cols>
  <sheetData>
    <row r="1" ht="12.75" customHeight="1">
      <c r="A1" s="108"/>
      <c r="B1" s="108"/>
      <c r="C1" s="108"/>
      <c r="K1" s="108"/>
      <c r="L1" s="108"/>
      <c r="M1" s="108"/>
      <c r="N1" s="108"/>
      <c r="X1" s="108"/>
      <c r="Z1" s="108"/>
      <c r="AJ1" s="108"/>
      <c r="AK1" s="108"/>
      <c r="AL1" s="108"/>
      <c r="AM1" s="108"/>
    </row>
    <row r="2">
      <c r="A2" s="108"/>
      <c r="B2" s="164" t="s">
        <v>218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</row>
    <row r="3" ht="12.75" customHeight="1">
      <c r="A3" s="108"/>
      <c r="B3" s="166" t="s">
        <v>183</v>
      </c>
      <c r="C3" s="167">
        <v>40878.0</v>
      </c>
      <c r="D3" s="167">
        <v>40909.0</v>
      </c>
      <c r="E3" s="167">
        <v>40940.0</v>
      </c>
      <c r="F3" s="167">
        <v>40969.0</v>
      </c>
      <c r="G3" s="167">
        <v>41000.0</v>
      </c>
      <c r="H3" s="167">
        <v>41030.0</v>
      </c>
      <c r="I3" s="167">
        <v>41061.0</v>
      </c>
      <c r="J3" s="167">
        <v>41091.0</v>
      </c>
      <c r="K3" s="167">
        <v>41122.0</v>
      </c>
      <c r="L3" s="167">
        <v>41153.0</v>
      </c>
      <c r="M3" s="167">
        <v>41183.0</v>
      </c>
      <c r="N3" s="167">
        <v>41214.0</v>
      </c>
      <c r="O3" s="167">
        <v>41244.0</v>
      </c>
      <c r="P3" s="167">
        <v>41275.0</v>
      </c>
      <c r="Q3" s="167">
        <v>41306.0</v>
      </c>
      <c r="R3" s="167">
        <v>41334.0</v>
      </c>
      <c r="S3" s="167">
        <v>41365.0</v>
      </c>
      <c r="T3" s="167">
        <v>41395.0</v>
      </c>
      <c r="U3" s="167">
        <v>41426.0</v>
      </c>
      <c r="V3" s="167">
        <v>41456.0</v>
      </c>
      <c r="W3" s="167">
        <v>41487.0</v>
      </c>
      <c r="X3" s="167">
        <v>41518.0</v>
      </c>
      <c r="Y3" s="167">
        <v>41548.0</v>
      </c>
      <c r="Z3" s="167">
        <v>41579.0</v>
      </c>
      <c r="AA3" s="167">
        <v>41609.0</v>
      </c>
      <c r="AB3" s="167">
        <v>41640.0</v>
      </c>
      <c r="AC3" s="167">
        <v>41671.0</v>
      </c>
      <c r="AD3" s="167">
        <v>41699.0</v>
      </c>
      <c r="AE3" s="167">
        <v>41730.0</v>
      </c>
      <c r="AF3" s="167">
        <v>41760.0</v>
      </c>
      <c r="AG3" s="167">
        <v>41791.0</v>
      </c>
      <c r="AH3" s="167">
        <v>41821.0</v>
      </c>
      <c r="AI3" s="167">
        <v>41852.0</v>
      </c>
      <c r="AJ3" s="167">
        <v>41883.0</v>
      </c>
      <c r="AK3" s="167">
        <v>41913.0</v>
      </c>
      <c r="AL3" s="167">
        <v>41944.0</v>
      </c>
      <c r="AM3" s="167">
        <v>41974.0</v>
      </c>
    </row>
    <row r="4">
      <c r="A4" s="108"/>
      <c r="B4" s="168" t="s">
        <v>219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</row>
    <row r="5" ht="12.75" customHeight="1">
      <c r="A5" s="108"/>
      <c r="B5" s="170" t="s">
        <v>54</v>
      </c>
      <c r="C5" s="171">
        <v>6291.99</v>
      </c>
      <c r="D5" s="171">
        <v>6291.99</v>
      </c>
      <c r="E5" s="171">
        <v>6291.99</v>
      </c>
      <c r="F5" s="172">
        <v>5092.71</v>
      </c>
      <c r="G5" s="172">
        <v>6741.71</v>
      </c>
      <c r="H5" s="172">
        <v>6741.71</v>
      </c>
      <c r="I5" s="172">
        <v>6741.71</v>
      </c>
      <c r="J5" s="172">
        <v>6741.71</v>
      </c>
      <c r="K5" s="172">
        <v>6741.71</v>
      </c>
      <c r="L5" s="172">
        <v>6741.71</v>
      </c>
      <c r="M5" s="172">
        <v>6741.71</v>
      </c>
      <c r="N5" s="172">
        <v>6741.71</v>
      </c>
      <c r="O5" s="172">
        <v>6741.71</v>
      </c>
      <c r="P5" s="172">
        <v>6786.4</v>
      </c>
      <c r="Q5" s="172">
        <v>5836.4</v>
      </c>
      <c r="R5" s="172">
        <v>6786.4</v>
      </c>
      <c r="S5" s="172">
        <v>6786.4</v>
      </c>
      <c r="T5" s="172">
        <v>6786.4</v>
      </c>
      <c r="U5" s="172">
        <v>6786.4</v>
      </c>
      <c r="V5" s="172">
        <v>6786.4</v>
      </c>
      <c r="W5" s="172">
        <v>6786.4</v>
      </c>
      <c r="X5" s="172">
        <v>6786.4</v>
      </c>
      <c r="Y5" s="172">
        <v>6786.4</v>
      </c>
      <c r="Z5" s="172">
        <v>6786.4</v>
      </c>
      <c r="AA5" s="172">
        <v>6786.4</v>
      </c>
      <c r="AB5" s="172">
        <v>6786.4</v>
      </c>
      <c r="AC5" s="172">
        <v>6786.4</v>
      </c>
      <c r="AD5" s="172">
        <v>6786.4</v>
      </c>
      <c r="AE5" s="172">
        <v>6343.26</v>
      </c>
      <c r="AF5" s="172">
        <v>6343.26</v>
      </c>
      <c r="AG5" s="172">
        <v>5422.1</v>
      </c>
      <c r="AH5" s="172">
        <v>5422.1</v>
      </c>
      <c r="AI5" s="172">
        <v>5422.1</v>
      </c>
      <c r="AJ5" s="172">
        <v>5372.1</v>
      </c>
      <c r="AK5" s="172">
        <v>5372.1</v>
      </c>
      <c r="AL5" s="172">
        <v>5372.1</v>
      </c>
      <c r="AM5" s="172">
        <v>5372.1</v>
      </c>
    </row>
    <row r="6" ht="12.75" customHeight="1">
      <c r="A6" s="108"/>
      <c r="B6" s="170" t="s">
        <v>65</v>
      </c>
      <c r="C6" s="171">
        <v>158.0</v>
      </c>
      <c r="D6" s="171">
        <v>158.0</v>
      </c>
      <c r="E6" s="171">
        <v>158.0</v>
      </c>
      <c r="F6" s="172">
        <v>58.0</v>
      </c>
      <c r="G6" s="172">
        <v>58.0</v>
      </c>
      <c r="H6" s="172">
        <v>58.0</v>
      </c>
      <c r="I6" s="172">
        <v>58.0</v>
      </c>
      <c r="J6" s="172">
        <v>58.0</v>
      </c>
      <c r="K6" s="172">
        <v>58.0</v>
      </c>
      <c r="L6" s="172">
        <v>58.0</v>
      </c>
      <c r="M6" s="172">
        <v>58.0</v>
      </c>
      <c r="N6" s="172">
        <v>58.0</v>
      </c>
      <c r="O6" s="172">
        <v>58.0</v>
      </c>
      <c r="P6" s="172">
        <v>58.0</v>
      </c>
      <c r="Q6" s="172">
        <v>58.0</v>
      </c>
      <c r="R6" s="172">
        <v>58.0</v>
      </c>
      <c r="S6" s="172">
        <v>58.0</v>
      </c>
      <c r="T6" s="172">
        <v>58.0</v>
      </c>
      <c r="U6" s="172">
        <v>58.0</v>
      </c>
      <c r="V6" s="172">
        <v>58.0</v>
      </c>
      <c r="W6" s="172">
        <v>58.0</v>
      </c>
      <c r="X6" s="172">
        <v>58.0</v>
      </c>
      <c r="Y6" s="172">
        <v>58.0</v>
      </c>
      <c r="Z6" s="172">
        <v>58.0</v>
      </c>
      <c r="AA6" s="172">
        <v>58.0</v>
      </c>
      <c r="AB6" s="172">
        <v>58.0</v>
      </c>
      <c r="AC6" s="172">
        <v>58.0</v>
      </c>
      <c r="AD6" s="172">
        <v>58.0</v>
      </c>
      <c r="AE6" s="172">
        <v>58.0</v>
      </c>
      <c r="AF6" s="172">
        <v>21.0</v>
      </c>
      <c r="AG6" s="172">
        <v>21.0</v>
      </c>
      <c r="AH6" s="172">
        <v>21.0</v>
      </c>
      <c r="AI6" s="172">
        <v>21.0</v>
      </c>
      <c r="AJ6" s="172">
        <v>21.0</v>
      </c>
      <c r="AK6" s="172">
        <v>21.0</v>
      </c>
      <c r="AL6" s="172">
        <v>21.0</v>
      </c>
      <c r="AM6" s="172">
        <v>21.0</v>
      </c>
    </row>
    <row r="7" ht="12.75" customHeight="1">
      <c r="A7" s="108"/>
      <c r="B7" s="170" t="s">
        <v>220</v>
      </c>
      <c r="C7" s="171">
        <v>915.64</v>
      </c>
      <c r="D7" s="172">
        <v>2451.0</v>
      </c>
      <c r="E7" s="172">
        <v>144.48</v>
      </c>
      <c r="F7" s="172">
        <v>398.56</v>
      </c>
      <c r="G7" s="172">
        <v>0.0</v>
      </c>
      <c r="H7" s="172">
        <v>2249.55</v>
      </c>
      <c r="I7" s="172">
        <v>2076.85</v>
      </c>
      <c r="J7" s="172">
        <v>377.23</v>
      </c>
      <c r="K7" s="172">
        <v>1092.49</v>
      </c>
      <c r="L7" s="172">
        <v>1313.31</v>
      </c>
      <c r="M7" s="172">
        <v>0.0</v>
      </c>
      <c r="N7" s="172">
        <v>0.0</v>
      </c>
      <c r="O7" s="172">
        <v>0.0</v>
      </c>
      <c r="P7" s="172">
        <v>0.0</v>
      </c>
      <c r="Q7" s="172">
        <v>0.0</v>
      </c>
      <c r="R7" s="172">
        <v>0.0</v>
      </c>
      <c r="S7" s="172">
        <v>0.0</v>
      </c>
      <c r="T7" s="172">
        <v>0.0</v>
      </c>
      <c r="U7" s="172">
        <v>0.0</v>
      </c>
      <c r="V7" s="172">
        <v>0.0</v>
      </c>
      <c r="W7" s="172">
        <v>0.0</v>
      </c>
      <c r="X7" s="172">
        <v>0.0</v>
      </c>
      <c r="Y7" s="172">
        <v>0.0</v>
      </c>
      <c r="Z7" s="172">
        <v>0.0</v>
      </c>
      <c r="AA7" s="172">
        <v>0.0</v>
      </c>
      <c r="AB7" s="172">
        <v>0.0</v>
      </c>
      <c r="AC7" s="172">
        <v>0.0</v>
      </c>
      <c r="AD7" s="172">
        <v>0.0</v>
      </c>
      <c r="AE7" s="172">
        <v>0.0</v>
      </c>
      <c r="AF7" s="172">
        <v>0.0</v>
      </c>
      <c r="AG7" s="172">
        <v>0.0</v>
      </c>
      <c r="AH7" s="172">
        <v>0.0</v>
      </c>
      <c r="AI7" s="172">
        <v>0.0</v>
      </c>
      <c r="AJ7" s="172">
        <v>0.0</v>
      </c>
      <c r="AK7" s="172">
        <v>0.0</v>
      </c>
      <c r="AL7" s="172">
        <v>0.0</v>
      </c>
      <c r="AM7" s="172">
        <v>0.0</v>
      </c>
    </row>
    <row r="8" ht="12.75" customHeight="1">
      <c r="A8" s="108"/>
      <c r="B8" s="170" t="s">
        <v>221</v>
      </c>
      <c r="C8" s="173">
        <v>120.0</v>
      </c>
      <c r="D8" s="172">
        <v>838.2</v>
      </c>
      <c r="E8" s="172">
        <v>323.9</v>
      </c>
      <c r="F8" s="172">
        <v>462.2</v>
      </c>
      <c r="G8" s="172">
        <v>0.0</v>
      </c>
      <c r="H8" s="172">
        <v>908.3</v>
      </c>
      <c r="I8" s="172">
        <v>384.05</v>
      </c>
      <c r="J8" s="172">
        <v>365.0</v>
      </c>
      <c r="K8" s="172">
        <v>265.0</v>
      </c>
      <c r="L8" s="172">
        <v>45.1</v>
      </c>
      <c r="M8" s="172">
        <v>0.0</v>
      </c>
      <c r="N8" s="172">
        <v>0.0</v>
      </c>
      <c r="O8" s="172">
        <v>0.0</v>
      </c>
      <c r="P8" s="172">
        <v>0.0</v>
      </c>
      <c r="Q8" s="172">
        <v>0.0</v>
      </c>
      <c r="R8" s="172">
        <v>0.0</v>
      </c>
      <c r="S8" s="172">
        <v>0.0</v>
      </c>
      <c r="T8" s="172">
        <v>178.07</v>
      </c>
      <c r="U8" s="172">
        <v>95.1</v>
      </c>
      <c r="V8" s="172">
        <v>53.21</v>
      </c>
      <c r="W8" s="172">
        <v>0.0</v>
      </c>
      <c r="X8" s="172">
        <v>216.0</v>
      </c>
      <c r="Y8" s="172">
        <v>167.6</v>
      </c>
      <c r="Z8" s="172">
        <v>260.2</v>
      </c>
      <c r="AA8" s="172">
        <v>230.0</v>
      </c>
      <c r="AB8" s="172">
        <v>0.0</v>
      </c>
      <c r="AC8" s="172">
        <v>175.0</v>
      </c>
      <c r="AD8" s="172">
        <v>175.0</v>
      </c>
      <c r="AE8" s="172">
        <v>111.7</v>
      </c>
      <c r="AF8" s="172">
        <v>278.3</v>
      </c>
      <c r="AG8" s="172">
        <v>239.58</v>
      </c>
      <c r="AH8" s="172">
        <v>0.0</v>
      </c>
      <c r="AI8" s="172">
        <v>0.0</v>
      </c>
      <c r="AJ8" s="172">
        <v>0.0</v>
      </c>
      <c r="AK8" s="172">
        <v>0.0</v>
      </c>
      <c r="AL8" s="172">
        <v>198.73</v>
      </c>
      <c r="AM8" s="7">
        <v>214.5</v>
      </c>
    </row>
    <row r="9" ht="12.75" customHeight="1">
      <c r="A9" s="108"/>
      <c r="B9" s="170" t="s">
        <v>56</v>
      </c>
      <c r="C9" s="174">
        <v>1376.74</v>
      </c>
      <c r="D9" s="172">
        <v>911.23</v>
      </c>
      <c r="E9" s="7">
        <v>1183.04</v>
      </c>
      <c r="F9" s="7">
        <v>987.1</v>
      </c>
      <c r="G9" s="7">
        <v>987.0</v>
      </c>
      <c r="H9" s="7">
        <v>758.83</v>
      </c>
      <c r="I9" s="7">
        <v>869.05</v>
      </c>
      <c r="J9" s="7">
        <v>846.22</v>
      </c>
      <c r="K9" s="7">
        <v>876.89</v>
      </c>
      <c r="L9" s="7">
        <v>828.48</v>
      </c>
      <c r="M9" s="7">
        <v>858.91</v>
      </c>
      <c r="N9" s="7">
        <v>1153.4</v>
      </c>
      <c r="O9" s="7">
        <v>1133.95</v>
      </c>
      <c r="P9" s="7">
        <v>1133.95</v>
      </c>
      <c r="Q9" s="7">
        <v>920.61</v>
      </c>
      <c r="R9" s="7">
        <v>1370.18</v>
      </c>
      <c r="S9" s="7">
        <v>678.05</v>
      </c>
      <c r="T9" s="7">
        <v>0.0</v>
      </c>
      <c r="U9" s="7">
        <v>0.0</v>
      </c>
      <c r="V9" s="7">
        <v>1045.55</v>
      </c>
      <c r="W9" s="7">
        <v>939.98</v>
      </c>
      <c r="X9" s="7">
        <v>897.29</v>
      </c>
      <c r="Y9" s="7">
        <v>869.66</v>
      </c>
      <c r="Z9" s="7">
        <v>745.26</v>
      </c>
      <c r="AA9" s="7">
        <v>971.1</v>
      </c>
      <c r="AB9" s="7">
        <v>1114.33</v>
      </c>
      <c r="AC9" s="7">
        <v>1201.45</v>
      </c>
      <c r="AD9" s="7">
        <v>927.65</v>
      </c>
      <c r="AE9" s="7">
        <v>711.98</v>
      </c>
      <c r="AF9" s="7">
        <v>1070.74</v>
      </c>
      <c r="AG9" s="7">
        <v>868.2</v>
      </c>
      <c r="AH9" s="7">
        <v>1013.46</v>
      </c>
      <c r="AI9" s="7">
        <v>998.65</v>
      </c>
      <c r="AJ9" s="7">
        <v>935.37</v>
      </c>
      <c r="AK9" s="7">
        <v>931.24</v>
      </c>
      <c r="AL9" s="7">
        <v>865.71</v>
      </c>
      <c r="AM9" s="172">
        <v>925.23</v>
      </c>
    </row>
    <row r="10" ht="12.75" customHeight="1">
      <c r="A10" s="108"/>
      <c r="B10" s="170" t="s">
        <v>222</v>
      </c>
      <c r="C10" s="171">
        <v>381.1</v>
      </c>
      <c r="D10" s="171">
        <v>381.1</v>
      </c>
      <c r="E10" s="171">
        <v>381.1</v>
      </c>
      <c r="F10" s="171">
        <v>381.1</v>
      </c>
      <c r="G10" s="171">
        <v>381.1</v>
      </c>
      <c r="H10" s="171">
        <v>381.1</v>
      </c>
      <c r="I10" s="171">
        <v>381.1</v>
      </c>
      <c r="J10" s="172">
        <v>520.0</v>
      </c>
      <c r="K10" s="171">
        <v>381.1</v>
      </c>
      <c r="L10" s="171">
        <v>381.1</v>
      </c>
      <c r="M10" s="172">
        <v>370.0</v>
      </c>
      <c r="N10" s="172">
        <v>370.0</v>
      </c>
      <c r="O10" s="172">
        <v>370.0</v>
      </c>
      <c r="P10" s="172">
        <v>370.0</v>
      </c>
      <c r="Q10" s="172">
        <v>370.0</v>
      </c>
      <c r="R10" s="172">
        <v>370.0</v>
      </c>
      <c r="S10" s="172">
        <v>370.0</v>
      </c>
      <c r="T10" s="172">
        <v>370.0</v>
      </c>
      <c r="U10" s="172">
        <v>370.0</v>
      </c>
      <c r="V10" s="172">
        <v>470.0</v>
      </c>
      <c r="W10" s="172">
        <v>370.0</v>
      </c>
      <c r="X10" s="172">
        <v>370.0</v>
      </c>
      <c r="Y10" s="172">
        <v>370.0</v>
      </c>
      <c r="Z10" s="172">
        <v>370.0</v>
      </c>
      <c r="AA10" s="172">
        <v>370.0</v>
      </c>
      <c r="AB10" s="172">
        <v>370.0</v>
      </c>
      <c r="AC10" s="172">
        <v>370.0</v>
      </c>
      <c r="AD10" s="172">
        <v>370.0</v>
      </c>
      <c r="AE10" s="172">
        <v>370.0</v>
      </c>
      <c r="AF10" s="172">
        <v>370.0</v>
      </c>
      <c r="AG10" s="172">
        <v>620.0</v>
      </c>
      <c r="AH10" s="172">
        <v>370.0</v>
      </c>
      <c r="AI10" s="172">
        <v>370.0</v>
      </c>
      <c r="AJ10" s="172">
        <v>370.0</v>
      </c>
      <c r="AK10" s="172">
        <v>370.0</v>
      </c>
      <c r="AL10" s="172">
        <v>370.0</v>
      </c>
      <c r="AM10" s="172">
        <v>370.0</v>
      </c>
    </row>
    <row r="11" ht="12.75" customHeight="1">
      <c r="A11" s="108"/>
      <c r="B11" s="170" t="s">
        <v>60</v>
      </c>
      <c r="C11" s="171">
        <v>180.25</v>
      </c>
      <c r="D11" s="171">
        <v>180.25</v>
      </c>
      <c r="E11" s="171">
        <v>180.25</v>
      </c>
      <c r="F11" s="172">
        <v>180.25</v>
      </c>
      <c r="G11" s="172">
        <v>180.25</v>
      </c>
      <c r="H11" s="172">
        <v>180.25</v>
      </c>
      <c r="I11" s="172">
        <v>180.25</v>
      </c>
      <c r="J11" s="172">
        <v>180.25</v>
      </c>
      <c r="K11" s="172">
        <v>180.25</v>
      </c>
      <c r="L11" s="172">
        <v>180.25</v>
      </c>
      <c r="M11" s="172">
        <v>175.0</v>
      </c>
      <c r="N11" s="172">
        <v>175.0</v>
      </c>
      <c r="O11" s="172">
        <v>175.0</v>
      </c>
      <c r="P11" s="172">
        <v>175.0</v>
      </c>
      <c r="Q11" s="172">
        <v>175.0</v>
      </c>
      <c r="R11" s="172">
        <v>175.0</v>
      </c>
      <c r="S11" s="172">
        <v>175.0</v>
      </c>
      <c r="T11" s="172">
        <v>175.0</v>
      </c>
      <c r="U11" s="172">
        <v>175.0</v>
      </c>
      <c r="V11" s="172">
        <v>175.0</v>
      </c>
      <c r="W11" s="172">
        <v>175.0</v>
      </c>
      <c r="X11" s="172">
        <v>175.0</v>
      </c>
      <c r="Y11" s="172">
        <v>175.0</v>
      </c>
      <c r="Z11" s="172">
        <v>175.0</v>
      </c>
      <c r="AA11" s="172">
        <v>175.0</v>
      </c>
      <c r="AB11" s="172">
        <v>175.0</v>
      </c>
      <c r="AC11" s="172">
        <v>175.0</v>
      </c>
      <c r="AD11" s="172">
        <v>175.0</v>
      </c>
      <c r="AE11" s="172">
        <v>175.0</v>
      </c>
      <c r="AF11" s="172">
        <v>175.0</v>
      </c>
      <c r="AG11" s="172">
        <v>175.0</v>
      </c>
      <c r="AH11" s="172">
        <v>175.0</v>
      </c>
      <c r="AI11" s="172">
        <v>175.0</v>
      </c>
      <c r="AJ11" s="172">
        <v>175.0</v>
      </c>
      <c r="AK11" s="172">
        <v>175.0</v>
      </c>
      <c r="AL11" s="172">
        <v>175.0</v>
      </c>
      <c r="AM11" s="172">
        <v>175.0</v>
      </c>
    </row>
    <row r="12" ht="12.75" customHeight="1">
      <c r="A12" s="108"/>
      <c r="B12" s="170" t="s">
        <v>223</v>
      </c>
      <c r="C12" s="175">
        <v>0.0</v>
      </c>
      <c r="D12" s="176">
        <v>0.0</v>
      </c>
      <c r="E12" s="176">
        <v>0.0</v>
      </c>
      <c r="F12" s="176">
        <v>0.0</v>
      </c>
      <c r="G12" s="176">
        <v>0.0</v>
      </c>
      <c r="H12" s="176">
        <v>0.0</v>
      </c>
      <c r="I12" s="176">
        <v>0.0</v>
      </c>
      <c r="J12" s="176">
        <v>0.0</v>
      </c>
      <c r="K12" s="176">
        <v>0.0</v>
      </c>
      <c r="L12" s="176">
        <v>0.0</v>
      </c>
      <c r="M12" s="176">
        <v>0.0</v>
      </c>
      <c r="N12" s="176">
        <v>0.0</v>
      </c>
      <c r="O12" s="176">
        <v>0.0</v>
      </c>
      <c r="P12" s="176">
        <v>0.0</v>
      </c>
      <c r="Q12" s="176">
        <v>0.0</v>
      </c>
      <c r="R12" s="176">
        <v>0.0</v>
      </c>
      <c r="S12" s="176">
        <v>0.0</v>
      </c>
      <c r="T12" s="176">
        <v>0.0</v>
      </c>
      <c r="U12" s="176">
        <v>0.0</v>
      </c>
      <c r="V12" s="176">
        <v>0.0</v>
      </c>
      <c r="W12" s="176">
        <v>0.0</v>
      </c>
      <c r="X12" s="176">
        <v>0.0</v>
      </c>
      <c r="Y12" s="176">
        <v>0.0</v>
      </c>
      <c r="Z12" s="176">
        <v>0.0</v>
      </c>
      <c r="AA12" s="176">
        <v>0.0</v>
      </c>
      <c r="AB12" s="176">
        <v>0.0</v>
      </c>
      <c r="AC12" s="176">
        <v>0.0</v>
      </c>
      <c r="AD12" s="176">
        <v>0.0</v>
      </c>
      <c r="AE12" s="176">
        <v>0.0</v>
      </c>
      <c r="AF12" s="176">
        <v>0.0</v>
      </c>
      <c r="AG12" s="176">
        <v>0.0</v>
      </c>
      <c r="AH12" s="176">
        <v>0.0</v>
      </c>
      <c r="AI12" s="176">
        <v>0.0</v>
      </c>
      <c r="AJ12" s="176">
        <v>0.0</v>
      </c>
      <c r="AK12" s="176">
        <v>0.0</v>
      </c>
      <c r="AL12" s="176">
        <v>0.0</v>
      </c>
      <c r="AM12" s="176">
        <v>0.0</v>
      </c>
    </row>
    <row r="13" ht="12.75" customHeight="1">
      <c r="A13" s="108"/>
      <c r="B13" s="170" t="s">
        <v>224</v>
      </c>
      <c r="C13" s="175">
        <v>0.0</v>
      </c>
      <c r="D13" s="176">
        <v>0.0</v>
      </c>
      <c r="E13" s="176">
        <v>0.0</v>
      </c>
      <c r="F13" s="176">
        <v>0.0</v>
      </c>
      <c r="G13" s="176">
        <v>0.0</v>
      </c>
      <c r="H13" s="176">
        <v>0.0</v>
      </c>
      <c r="I13" s="176">
        <v>0.0</v>
      </c>
      <c r="J13" s="176">
        <v>0.0</v>
      </c>
      <c r="K13" s="176">
        <v>0.0</v>
      </c>
      <c r="L13" s="176">
        <v>0.0</v>
      </c>
      <c r="M13" s="176">
        <v>0.0</v>
      </c>
      <c r="N13" s="176">
        <v>0.0</v>
      </c>
      <c r="O13" s="176">
        <v>0.0</v>
      </c>
      <c r="P13" s="176">
        <v>0.0</v>
      </c>
      <c r="Q13" s="176">
        <v>0.0</v>
      </c>
      <c r="R13" s="176">
        <v>0.0</v>
      </c>
      <c r="S13" s="176">
        <v>0.0</v>
      </c>
      <c r="T13" s="176">
        <v>0.0</v>
      </c>
      <c r="U13" s="176">
        <v>0.0</v>
      </c>
      <c r="V13" s="176">
        <v>0.0</v>
      </c>
      <c r="W13" s="176">
        <v>0.0</v>
      </c>
      <c r="X13" s="176">
        <v>0.0</v>
      </c>
      <c r="Y13" s="176">
        <v>0.0</v>
      </c>
      <c r="Z13" s="176">
        <v>0.0</v>
      </c>
      <c r="AA13" s="176">
        <v>0.0</v>
      </c>
      <c r="AB13" s="176">
        <v>0.0</v>
      </c>
      <c r="AC13" s="176">
        <v>0.0</v>
      </c>
      <c r="AD13" s="176">
        <v>0.0</v>
      </c>
      <c r="AE13" s="176">
        <v>0.0</v>
      </c>
      <c r="AF13" s="176">
        <v>0.0</v>
      </c>
      <c r="AG13" s="176">
        <v>0.0</v>
      </c>
      <c r="AH13" s="176">
        <v>0.0</v>
      </c>
      <c r="AI13" s="176">
        <v>0.0</v>
      </c>
      <c r="AJ13" s="176">
        <v>0.0</v>
      </c>
      <c r="AK13" s="176">
        <v>0.0</v>
      </c>
      <c r="AL13" s="176">
        <v>0.0</v>
      </c>
      <c r="AM13" s="176">
        <v>0.0</v>
      </c>
    </row>
    <row r="14" ht="12.75" customHeight="1">
      <c r="A14" s="108"/>
      <c r="B14" s="170" t="s">
        <v>63</v>
      </c>
      <c r="C14" s="174">
        <v>10.73</v>
      </c>
      <c r="D14" s="174">
        <v>24.04</v>
      </c>
      <c r="E14" s="174">
        <v>26.21</v>
      </c>
      <c r="F14" s="174">
        <v>12.83</v>
      </c>
      <c r="G14" s="174">
        <v>75.27</v>
      </c>
      <c r="H14" s="174">
        <v>114.9</v>
      </c>
      <c r="I14" s="174">
        <v>21.33</v>
      </c>
      <c r="J14" s="174">
        <v>6.66</v>
      </c>
      <c r="K14" s="174">
        <v>9.49</v>
      </c>
      <c r="L14" s="174">
        <v>18.08</v>
      </c>
      <c r="M14" s="174">
        <v>3.55</v>
      </c>
      <c r="N14" s="174">
        <v>0.0</v>
      </c>
      <c r="O14" s="174">
        <v>0.0</v>
      </c>
      <c r="P14" s="174">
        <v>14.07</v>
      </c>
      <c r="Q14" s="174">
        <v>57.87</v>
      </c>
      <c r="R14" s="174">
        <v>14.28</v>
      </c>
      <c r="S14" s="174">
        <v>26.74</v>
      </c>
      <c r="T14" s="174">
        <v>28.8</v>
      </c>
      <c r="U14" s="174">
        <v>737.64</v>
      </c>
      <c r="V14" s="174">
        <v>14.04</v>
      </c>
      <c r="W14" s="174">
        <v>23.74</v>
      </c>
      <c r="X14" s="174">
        <v>57.17</v>
      </c>
      <c r="Y14" s="174">
        <v>0.0</v>
      </c>
      <c r="Z14" s="174">
        <v>62.03</v>
      </c>
      <c r="AA14" s="174">
        <v>22.09</v>
      </c>
      <c r="AB14" s="174">
        <v>22.09</v>
      </c>
      <c r="AC14" s="174">
        <v>0.0</v>
      </c>
      <c r="AD14" s="174">
        <v>0.0</v>
      </c>
      <c r="AE14" s="174">
        <v>0.0</v>
      </c>
      <c r="AF14" s="174">
        <v>0.0</v>
      </c>
      <c r="AG14" s="174"/>
      <c r="AH14" s="174"/>
      <c r="AI14" s="174">
        <v>189.58</v>
      </c>
      <c r="AJ14" s="174">
        <v>226.71</v>
      </c>
      <c r="AK14" s="174">
        <v>471.5</v>
      </c>
      <c r="AL14" s="174">
        <v>14.28</v>
      </c>
      <c r="AM14" s="174">
        <v>287.75</v>
      </c>
    </row>
    <row r="15" ht="12.75" customHeight="1">
      <c r="A15" s="108"/>
      <c r="B15" s="170" t="s">
        <v>225</v>
      </c>
      <c r="C15" s="174">
        <v>23179.0</v>
      </c>
      <c r="D15" s="174">
        <v>45861.62</v>
      </c>
      <c r="E15" s="174">
        <v>23683.74</v>
      </c>
      <c r="F15" s="174">
        <v>24757.97</v>
      </c>
      <c r="G15" s="174">
        <v>12654.1</v>
      </c>
      <c r="H15" s="174">
        <v>24459.69</v>
      </c>
      <c r="I15" s="174">
        <v>21411.11</v>
      </c>
      <c r="J15" s="174">
        <v>41672.01</v>
      </c>
      <c r="K15" s="174">
        <v>23501.96</v>
      </c>
      <c r="L15" s="174">
        <v>21441.62</v>
      </c>
      <c r="M15" s="174">
        <v>23002.13</v>
      </c>
      <c r="N15" s="174">
        <v>22721.28</v>
      </c>
      <c r="O15" s="174">
        <v>43440.74</v>
      </c>
      <c r="P15" s="174">
        <v>20891.97</v>
      </c>
      <c r="Q15" s="174">
        <v>21849.52</v>
      </c>
      <c r="R15" s="174">
        <v>18875.58</v>
      </c>
      <c r="S15" s="174">
        <v>21089.76</v>
      </c>
      <c r="T15" s="172">
        <v>19813.23</v>
      </c>
      <c r="U15" s="174">
        <v>18178.96</v>
      </c>
      <c r="V15" s="174">
        <v>39936.07</v>
      </c>
      <c r="W15" s="174">
        <v>18891.72</v>
      </c>
      <c r="X15" s="174">
        <v>19015.74</v>
      </c>
      <c r="Y15" s="174">
        <v>30299.45</v>
      </c>
      <c r="Z15" s="174">
        <v>21323.59</v>
      </c>
      <c r="AA15" s="174">
        <v>37511.15</v>
      </c>
      <c r="AB15" s="174">
        <v>20132.67</v>
      </c>
      <c r="AC15" s="174">
        <v>19242.81</v>
      </c>
      <c r="AD15" s="174">
        <v>22003.05</v>
      </c>
      <c r="AE15" s="174">
        <v>22007.52</v>
      </c>
      <c r="AF15" s="174">
        <v>20573.46</v>
      </c>
      <c r="AG15" s="174">
        <v>24285.75</v>
      </c>
      <c r="AH15" s="174">
        <v>43414.62</v>
      </c>
      <c r="AI15" s="174">
        <v>23468.08</v>
      </c>
      <c r="AJ15" s="174">
        <v>21340.59</v>
      </c>
      <c r="AK15" s="174">
        <v>2214.47</v>
      </c>
      <c r="AL15" s="174">
        <v>47032.1</v>
      </c>
      <c r="AM15" s="174">
        <v>17600.17</v>
      </c>
    </row>
    <row r="16" ht="12.75" customHeight="1">
      <c r="A16" s="108"/>
      <c r="B16" s="170" t="s">
        <v>226</v>
      </c>
      <c r="C16" s="174">
        <v>3437.6</v>
      </c>
      <c r="D16" s="174">
        <v>0.0</v>
      </c>
      <c r="E16" s="174">
        <v>4489.76</v>
      </c>
      <c r="F16" s="174">
        <v>3791.61</v>
      </c>
      <c r="G16" s="174">
        <v>3416.17</v>
      </c>
      <c r="H16" s="174">
        <v>3868.65</v>
      </c>
      <c r="I16" s="174">
        <v>3989.71</v>
      </c>
      <c r="J16" s="174">
        <v>3672.02</v>
      </c>
      <c r="K16" s="174">
        <v>0.0</v>
      </c>
      <c r="L16" s="174">
        <v>7543.34</v>
      </c>
      <c r="M16" s="174">
        <v>2020.92</v>
      </c>
      <c r="N16" s="174">
        <v>0.0</v>
      </c>
      <c r="O16" s="174">
        <v>3934.39</v>
      </c>
      <c r="P16" s="174">
        <v>3503.8</v>
      </c>
      <c r="Q16" s="174">
        <v>2763.63</v>
      </c>
      <c r="R16" s="174">
        <v>2992.62</v>
      </c>
      <c r="S16" s="175">
        <v>0.0</v>
      </c>
      <c r="T16" s="175">
        <v>0.0</v>
      </c>
      <c r="U16" s="175">
        <v>0.0</v>
      </c>
      <c r="V16" s="175">
        <v>0.0</v>
      </c>
      <c r="W16" s="175">
        <v>0.0</v>
      </c>
      <c r="X16" s="175">
        <v>0.0</v>
      </c>
      <c r="Y16" s="175">
        <v>0.0</v>
      </c>
      <c r="Z16" s="175">
        <v>0.0</v>
      </c>
      <c r="AA16" s="175">
        <v>0.0</v>
      </c>
      <c r="AB16" s="175">
        <v>0.0</v>
      </c>
      <c r="AC16" s="175">
        <v>0.0</v>
      </c>
      <c r="AD16" s="175">
        <v>0.0</v>
      </c>
      <c r="AE16" s="175">
        <v>0.0</v>
      </c>
      <c r="AF16" s="175">
        <v>0.0</v>
      </c>
      <c r="AG16" s="175">
        <v>0.0</v>
      </c>
      <c r="AH16" s="175">
        <v>0.0</v>
      </c>
      <c r="AI16" s="175">
        <v>0.0</v>
      </c>
      <c r="AJ16" s="175">
        <v>0.0</v>
      </c>
      <c r="AK16" s="175">
        <v>0.0</v>
      </c>
      <c r="AL16" s="175">
        <v>0.0</v>
      </c>
      <c r="AM16" s="175">
        <v>0.0</v>
      </c>
    </row>
    <row r="17" ht="12.75" customHeight="1">
      <c r="A17" s="108"/>
      <c r="B17" s="170" t="s">
        <v>227</v>
      </c>
      <c r="C17" s="174">
        <v>80.42</v>
      </c>
      <c r="D17" s="174">
        <v>80.42</v>
      </c>
      <c r="E17" s="174">
        <v>80.42</v>
      </c>
      <c r="F17" s="174">
        <v>80.42</v>
      </c>
      <c r="G17" s="174">
        <v>80.42</v>
      </c>
      <c r="H17" s="174">
        <v>80.42</v>
      </c>
      <c r="I17" s="174">
        <v>80.42</v>
      </c>
      <c r="J17" s="174">
        <v>80.42</v>
      </c>
      <c r="K17" s="174">
        <v>80.42</v>
      </c>
      <c r="L17" s="174">
        <v>80.42</v>
      </c>
      <c r="M17" s="174">
        <v>80.42</v>
      </c>
      <c r="N17" s="174">
        <v>80.42</v>
      </c>
      <c r="O17" s="174">
        <v>80.42</v>
      </c>
      <c r="P17" s="174">
        <v>80.42</v>
      </c>
      <c r="Q17" s="174">
        <v>80.42</v>
      </c>
      <c r="R17" s="174">
        <v>80.42</v>
      </c>
      <c r="S17" s="174">
        <v>80.42</v>
      </c>
      <c r="T17" s="174">
        <v>80.42</v>
      </c>
      <c r="U17" s="174">
        <v>80.42</v>
      </c>
      <c r="V17" s="174">
        <v>80.42</v>
      </c>
      <c r="W17" s="174">
        <v>80.42</v>
      </c>
      <c r="X17" s="174">
        <v>80.42</v>
      </c>
      <c r="Y17" s="174">
        <v>80.42</v>
      </c>
      <c r="Z17" s="174">
        <v>80.42</v>
      </c>
      <c r="AA17" s="174">
        <v>80.42</v>
      </c>
      <c r="AB17" s="174">
        <v>87.42</v>
      </c>
      <c r="AC17" s="174">
        <v>87.42</v>
      </c>
      <c r="AD17" s="174">
        <v>87.42</v>
      </c>
      <c r="AE17" s="174">
        <v>87.42</v>
      </c>
      <c r="AF17" s="174">
        <v>87.42</v>
      </c>
      <c r="AG17" s="174">
        <v>87.42</v>
      </c>
      <c r="AH17" s="174">
        <v>87.42</v>
      </c>
      <c r="AI17" s="174">
        <v>87.42</v>
      </c>
      <c r="AJ17" s="174">
        <v>87.42</v>
      </c>
      <c r="AK17" s="174">
        <v>87.42</v>
      </c>
      <c r="AL17" s="174">
        <v>48.0</v>
      </c>
      <c r="AM17" s="174">
        <v>48.0</v>
      </c>
    </row>
    <row r="18" ht="12.75" customHeight="1">
      <c r="A18" s="108"/>
      <c r="B18" s="170" t="s">
        <v>64</v>
      </c>
      <c r="C18" s="174">
        <v>87.92</v>
      </c>
      <c r="D18" s="174">
        <v>0.0</v>
      </c>
      <c r="E18" s="174">
        <v>13.17</v>
      </c>
      <c r="F18" s="174">
        <v>266.24</v>
      </c>
      <c r="G18" s="174">
        <v>0.0</v>
      </c>
      <c r="H18" s="174">
        <v>0.0</v>
      </c>
      <c r="I18" s="174">
        <v>42.21</v>
      </c>
      <c r="J18" s="174">
        <v>0.0</v>
      </c>
      <c r="K18" s="174">
        <v>13.17</v>
      </c>
      <c r="L18" s="174">
        <v>34.69</v>
      </c>
      <c r="M18" s="174">
        <v>372.93</v>
      </c>
      <c r="N18" s="174">
        <v>13.41</v>
      </c>
      <c r="O18" s="174">
        <v>37.84</v>
      </c>
      <c r="P18" s="174">
        <v>79.38</v>
      </c>
      <c r="Q18" s="174">
        <v>13.97</v>
      </c>
      <c r="R18" s="174">
        <v>37.85</v>
      </c>
      <c r="S18" s="174">
        <v>120.62</v>
      </c>
      <c r="T18" s="174">
        <v>13.77</v>
      </c>
      <c r="U18" s="174">
        <v>32.69</v>
      </c>
      <c r="V18" s="174">
        <v>120.9</v>
      </c>
      <c r="W18" s="174">
        <v>13.67</v>
      </c>
      <c r="X18" s="174">
        <v>42.71</v>
      </c>
      <c r="Y18" s="174">
        <v>0.0</v>
      </c>
      <c r="Z18" s="174">
        <v>13.77</v>
      </c>
      <c r="AA18" s="174">
        <v>29.27</v>
      </c>
      <c r="AB18" s="174">
        <v>121.22</v>
      </c>
      <c r="AC18" s="174">
        <v>17.16</v>
      </c>
      <c r="AD18" s="174">
        <v>43.44</v>
      </c>
      <c r="AE18" s="174">
        <v>12.4</v>
      </c>
      <c r="AF18" s="174">
        <v>15.57</v>
      </c>
      <c r="AG18" s="174">
        <v>35.34</v>
      </c>
      <c r="AH18" s="174">
        <v>143.56</v>
      </c>
      <c r="AI18" s="174">
        <v>15.57</v>
      </c>
      <c r="AJ18" s="174">
        <v>35.33</v>
      </c>
      <c r="AK18" s="174">
        <v>170.68</v>
      </c>
      <c r="AL18" s="174">
        <v>19.76</v>
      </c>
      <c r="AM18" s="174">
        <v>35.31</v>
      </c>
    </row>
    <row r="19" ht="12.75" customHeight="1">
      <c r="A19" s="108"/>
      <c r="B19" s="170" t="s">
        <v>55</v>
      </c>
      <c r="C19" s="174">
        <v>1389.96</v>
      </c>
      <c r="D19" s="174">
        <v>171.11</v>
      </c>
      <c r="E19" s="174">
        <v>1463.78</v>
      </c>
      <c r="F19" s="174">
        <v>532.99</v>
      </c>
      <c r="G19" s="174">
        <v>1255.42</v>
      </c>
      <c r="H19" s="174">
        <v>180.18</v>
      </c>
      <c r="I19" s="174">
        <v>1142.08</v>
      </c>
      <c r="J19" s="174">
        <v>653.35</v>
      </c>
      <c r="K19" s="174">
        <v>2445.35</v>
      </c>
      <c r="L19" s="174">
        <v>437.65</v>
      </c>
      <c r="M19" s="174">
        <v>1765.91</v>
      </c>
      <c r="N19" s="174">
        <v>969.48</v>
      </c>
      <c r="O19" s="174">
        <v>1831.96</v>
      </c>
      <c r="P19" s="174">
        <v>217.88</v>
      </c>
      <c r="Q19" s="174">
        <v>2032.63</v>
      </c>
      <c r="R19" s="174">
        <v>337.87</v>
      </c>
      <c r="S19" s="174">
        <v>1936.94</v>
      </c>
      <c r="T19" s="174">
        <v>225.45</v>
      </c>
      <c r="U19" s="174">
        <v>1196.06</v>
      </c>
      <c r="V19" s="174">
        <v>854.81</v>
      </c>
      <c r="W19" s="174">
        <v>1613.97</v>
      </c>
      <c r="X19" s="174">
        <v>382.52</v>
      </c>
      <c r="Y19" s="174">
        <v>1363.54</v>
      </c>
      <c r="Z19" s="174">
        <v>215.97</v>
      </c>
      <c r="AA19" s="174">
        <v>1184.37</v>
      </c>
      <c r="AB19" s="174">
        <v>240.97</v>
      </c>
      <c r="AC19" s="174">
        <v>1070.32</v>
      </c>
      <c r="AD19" s="174">
        <v>1001.27</v>
      </c>
      <c r="AE19" s="174">
        <v>681.13</v>
      </c>
      <c r="AF19" s="174">
        <v>702.77</v>
      </c>
      <c r="AG19" s="174">
        <v>695.52</v>
      </c>
      <c r="AH19" s="174">
        <v>1171.58</v>
      </c>
      <c r="AI19" s="174">
        <v>725.74</v>
      </c>
      <c r="AJ19" s="174">
        <v>270.22</v>
      </c>
      <c r="AK19" s="174">
        <v>1114.52</v>
      </c>
      <c r="AL19" s="174">
        <v>240.33</v>
      </c>
      <c r="AM19" s="174">
        <v>1057.0</v>
      </c>
    </row>
    <row r="20" ht="12.75" customHeight="1">
      <c r="A20" s="108"/>
      <c r="B20" s="170" t="s">
        <v>228</v>
      </c>
      <c r="C20" s="174">
        <v>330.5</v>
      </c>
      <c r="D20" s="174">
        <v>467.46</v>
      </c>
      <c r="E20" s="174">
        <v>384.51</v>
      </c>
      <c r="F20" s="174">
        <v>304.72</v>
      </c>
      <c r="G20" s="174">
        <v>374.26</v>
      </c>
      <c r="H20" s="174">
        <v>355.1</v>
      </c>
      <c r="I20" s="174">
        <v>368.58</v>
      </c>
      <c r="J20" s="174">
        <v>404.06</v>
      </c>
      <c r="K20" s="174">
        <v>317.87</v>
      </c>
      <c r="L20" s="174">
        <v>364.24</v>
      </c>
      <c r="M20" s="174">
        <v>465.19</v>
      </c>
      <c r="N20" s="174">
        <v>437.21</v>
      </c>
      <c r="O20" s="174">
        <v>587.8</v>
      </c>
      <c r="P20" s="174">
        <v>590.51</v>
      </c>
      <c r="Q20" s="174">
        <v>636.1</v>
      </c>
      <c r="R20" s="174">
        <v>528.95</v>
      </c>
      <c r="S20" s="174">
        <v>455.57</v>
      </c>
      <c r="T20" s="174">
        <v>548.84</v>
      </c>
      <c r="U20" s="174">
        <v>475.51</v>
      </c>
      <c r="V20" s="174">
        <v>586.43</v>
      </c>
      <c r="W20" s="174">
        <v>731.3</v>
      </c>
      <c r="X20" s="174">
        <v>582.87</v>
      </c>
      <c r="Y20" s="174">
        <v>602.58</v>
      </c>
      <c r="Z20" s="174">
        <v>545.64</v>
      </c>
      <c r="AA20" s="174">
        <v>547.4</v>
      </c>
      <c r="AB20" s="174">
        <v>543.63</v>
      </c>
      <c r="AC20" s="174">
        <v>572.49</v>
      </c>
      <c r="AD20" s="174">
        <v>571.46</v>
      </c>
      <c r="AE20" s="174">
        <v>493.13</v>
      </c>
      <c r="AF20" s="174">
        <v>340.07</v>
      </c>
      <c r="AG20" s="174">
        <v>379.75</v>
      </c>
      <c r="AH20" s="174">
        <v>515.81</v>
      </c>
      <c r="AI20" s="174">
        <v>440.43</v>
      </c>
      <c r="AJ20" s="174">
        <v>522.34</v>
      </c>
      <c r="AK20" s="174">
        <v>489.47</v>
      </c>
      <c r="AL20" s="174">
        <v>596.17</v>
      </c>
      <c r="AM20" s="174">
        <v>383.65</v>
      </c>
    </row>
    <row r="21" ht="12.75" customHeight="1">
      <c r="A21" s="108"/>
      <c r="B21" s="170" t="s">
        <v>229</v>
      </c>
      <c r="C21" s="174">
        <v>553.11</v>
      </c>
      <c r="D21" s="174">
        <v>481.86</v>
      </c>
      <c r="E21" s="174">
        <v>309.95</v>
      </c>
      <c r="F21" s="174">
        <v>493.71</v>
      </c>
      <c r="G21" s="174">
        <v>460.81</v>
      </c>
      <c r="H21" s="174">
        <v>436.71</v>
      </c>
      <c r="I21" s="174">
        <v>420.82</v>
      </c>
      <c r="J21" s="174">
        <v>420.34</v>
      </c>
      <c r="K21" s="174">
        <v>446.73</v>
      </c>
      <c r="L21" s="174">
        <v>452.39</v>
      </c>
      <c r="M21" s="174">
        <v>448.79</v>
      </c>
      <c r="N21" s="174">
        <v>440.89</v>
      </c>
      <c r="O21" s="174">
        <v>434.26</v>
      </c>
      <c r="P21" s="174">
        <v>421.95</v>
      </c>
      <c r="Q21" s="174">
        <v>443.53</v>
      </c>
      <c r="R21" s="174">
        <v>454.98</v>
      </c>
      <c r="S21" s="174">
        <v>403.26</v>
      </c>
      <c r="T21" s="174">
        <v>399.43</v>
      </c>
      <c r="U21" s="174">
        <v>423.63</v>
      </c>
      <c r="V21" s="174">
        <v>542.21</v>
      </c>
      <c r="W21" s="174">
        <v>792.12</v>
      </c>
      <c r="X21" s="174">
        <v>569.86</v>
      </c>
      <c r="Y21" s="174">
        <v>592.31</v>
      </c>
      <c r="Z21" s="174">
        <v>629.45</v>
      </c>
      <c r="AA21" s="174">
        <v>500.35</v>
      </c>
      <c r="AB21" s="174" t="s">
        <v>230</v>
      </c>
      <c r="AC21" s="174">
        <v>382.33</v>
      </c>
      <c r="AD21" s="174">
        <v>330.87</v>
      </c>
      <c r="AE21" s="174">
        <v>370.91</v>
      </c>
      <c r="AF21" s="174">
        <v>415.52</v>
      </c>
      <c r="AG21" s="174">
        <v>392.66</v>
      </c>
      <c r="AH21" s="174">
        <v>413.13</v>
      </c>
      <c r="AI21" s="174">
        <v>333.79</v>
      </c>
      <c r="AJ21" s="174">
        <v>330.01</v>
      </c>
      <c r="AK21" s="174">
        <v>344.2</v>
      </c>
      <c r="AL21" s="174">
        <v>335.44</v>
      </c>
      <c r="AM21" s="174">
        <v>354.22</v>
      </c>
    </row>
    <row r="22" ht="12.75" customHeight="1">
      <c r="A22" s="108"/>
      <c r="B22" s="170" t="s">
        <v>53</v>
      </c>
      <c r="C22" s="174">
        <v>8860.97</v>
      </c>
      <c r="D22" s="174">
        <v>9162.82</v>
      </c>
      <c r="E22" s="174">
        <v>10139.89</v>
      </c>
      <c r="F22" s="174">
        <v>10457.65</v>
      </c>
      <c r="G22" s="174">
        <v>9765.03</v>
      </c>
      <c r="H22" s="174">
        <v>9731.16</v>
      </c>
      <c r="I22" s="174">
        <v>10070.99</v>
      </c>
      <c r="J22" s="174">
        <v>10126.22</v>
      </c>
      <c r="K22" s="174">
        <v>9532.82</v>
      </c>
      <c r="L22" s="174">
        <v>10624.03</v>
      </c>
      <c r="M22" s="174">
        <v>11011.15</v>
      </c>
      <c r="N22" s="174">
        <v>11160.54</v>
      </c>
      <c r="O22" s="174">
        <v>10425.09</v>
      </c>
      <c r="P22" s="174">
        <v>10623.6</v>
      </c>
      <c r="Q22" s="174">
        <v>10646.81</v>
      </c>
      <c r="R22" s="174">
        <v>10918.81</v>
      </c>
      <c r="S22" s="174">
        <v>10382.75</v>
      </c>
      <c r="T22" s="174">
        <v>9861.18</v>
      </c>
      <c r="U22" s="174">
        <v>10243.47</v>
      </c>
      <c r="V22" s="174">
        <v>9989.2</v>
      </c>
      <c r="W22" s="174">
        <v>9736.84</v>
      </c>
      <c r="X22" s="174">
        <v>9736.84</v>
      </c>
      <c r="Y22" s="174">
        <v>9887.74</v>
      </c>
      <c r="Z22" s="174">
        <v>9584.18</v>
      </c>
      <c r="AA22" s="174">
        <v>10292.38</v>
      </c>
      <c r="AB22" s="174">
        <v>9488.04</v>
      </c>
      <c r="AC22" s="174">
        <v>9343.47</v>
      </c>
      <c r="AD22" s="174">
        <v>9888.48</v>
      </c>
      <c r="AE22" s="174">
        <v>10294.41</v>
      </c>
      <c r="AF22" s="174">
        <v>10421.46</v>
      </c>
      <c r="AG22" s="174">
        <v>10374.88</v>
      </c>
      <c r="AH22" s="174">
        <v>12015.23</v>
      </c>
      <c r="AI22" s="174">
        <v>11459.37</v>
      </c>
      <c r="AJ22" s="174">
        <v>11144.97</v>
      </c>
      <c r="AK22" s="174">
        <v>10941.87</v>
      </c>
      <c r="AL22" s="174">
        <v>10643.65</v>
      </c>
      <c r="AM22" s="174">
        <v>9936.85</v>
      </c>
    </row>
    <row r="23" ht="12.75" customHeight="1">
      <c r="A23" s="108"/>
      <c r="B23" s="170" t="s">
        <v>231</v>
      </c>
      <c r="C23" s="174">
        <v>254.21</v>
      </c>
      <c r="D23" s="174">
        <v>254.21</v>
      </c>
      <c r="E23" s="174">
        <v>254.21</v>
      </c>
      <c r="F23" s="174">
        <v>254.21</v>
      </c>
      <c r="G23" s="174">
        <v>254.21</v>
      </c>
      <c r="H23" s="174">
        <v>254.21</v>
      </c>
      <c r="I23" s="174">
        <v>254.21</v>
      </c>
      <c r="J23" s="174">
        <v>254.21</v>
      </c>
      <c r="K23" s="174">
        <v>254.21</v>
      </c>
      <c r="L23" s="174">
        <v>254.21</v>
      </c>
      <c r="M23" s="174">
        <v>254.21</v>
      </c>
      <c r="N23" s="174">
        <v>254.21</v>
      </c>
      <c r="O23" s="174">
        <v>254.21</v>
      </c>
      <c r="P23" s="174">
        <v>256.72</v>
      </c>
      <c r="Q23" s="174">
        <v>256.72</v>
      </c>
      <c r="R23" s="174">
        <v>256.72</v>
      </c>
      <c r="S23" s="174">
        <v>256.72</v>
      </c>
      <c r="T23" s="174">
        <v>256.72</v>
      </c>
      <c r="U23" s="174">
        <v>256.72</v>
      </c>
      <c r="V23" s="174">
        <v>256.72</v>
      </c>
      <c r="W23" s="174">
        <v>256.72</v>
      </c>
      <c r="X23" s="174">
        <v>256.72</v>
      </c>
      <c r="Y23" s="174">
        <v>256.72</v>
      </c>
      <c r="Z23" s="174">
        <v>256.72</v>
      </c>
      <c r="AA23" s="174">
        <v>256.72</v>
      </c>
      <c r="AB23" s="174">
        <v>261.84</v>
      </c>
      <c r="AC23" s="174">
        <v>261.84</v>
      </c>
      <c r="AD23" s="174">
        <v>261.84</v>
      </c>
      <c r="AE23" s="174">
        <v>261.84</v>
      </c>
      <c r="AF23" s="174">
        <v>261.84</v>
      </c>
      <c r="AG23" s="174">
        <v>261.84</v>
      </c>
      <c r="AH23" s="174">
        <v>314.0</v>
      </c>
      <c r="AI23" s="174">
        <v>314.0</v>
      </c>
      <c r="AJ23" s="174">
        <v>314.0</v>
      </c>
      <c r="AK23" s="174">
        <v>314.0</v>
      </c>
      <c r="AL23" s="174">
        <v>314.0</v>
      </c>
      <c r="AM23" s="174">
        <v>314.0</v>
      </c>
    </row>
    <row r="24" ht="12.75" customHeight="1">
      <c r="A24" s="108"/>
      <c r="B24" s="170" t="s">
        <v>232</v>
      </c>
      <c r="C24" s="174">
        <v>260.7</v>
      </c>
      <c r="D24" s="174">
        <v>336.25</v>
      </c>
      <c r="E24" s="174">
        <v>336.25</v>
      </c>
      <c r="F24" s="174">
        <v>330.0</v>
      </c>
      <c r="G24" s="174">
        <v>330.0</v>
      </c>
      <c r="H24" s="174">
        <v>330.0</v>
      </c>
      <c r="I24" s="174">
        <v>330.0</v>
      </c>
      <c r="J24" s="174">
        <v>330.0</v>
      </c>
      <c r="K24" s="174">
        <v>330.0</v>
      </c>
      <c r="L24" s="174">
        <v>330.0</v>
      </c>
      <c r="M24" s="174">
        <v>330.0</v>
      </c>
      <c r="N24" s="174">
        <v>330.0</v>
      </c>
      <c r="O24" s="174">
        <v>330.0</v>
      </c>
      <c r="P24" s="174">
        <v>344.65</v>
      </c>
      <c r="Q24" s="174">
        <v>338.55</v>
      </c>
      <c r="R24" s="174">
        <v>338.55</v>
      </c>
      <c r="S24" s="174">
        <v>338.55</v>
      </c>
      <c r="T24" s="174">
        <v>338.55</v>
      </c>
      <c r="U24" s="174">
        <v>338.55</v>
      </c>
      <c r="V24" s="174">
        <v>338.55</v>
      </c>
      <c r="W24" s="174">
        <v>338.55</v>
      </c>
      <c r="X24" s="174">
        <v>338.55</v>
      </c>
      <c r="Y24" s="174">
        <v>338.55</v>
      </c>
      <c r="Z24" s="174">
        <v>338.55</v>
      </c>
      <c r="AA24" s="174">
        <v>338.55</v>
      </c>
      <c r="AB24" s="174">
        <v>73.85</v>
      </c>
      <c r="AC24" s="174">
        <v>261.84</v>
      </c>
      <c r="AD24" s="174">
        <v>289.87</v>
      </c>
      <c r="AE24" s="174">
        <v>172.33</v>
      </c>
      <c r="AF24" s="174">
        <v>173.33</v>
      </c>
      <c r="AG24" s="174">
        <v>173.33</v>
      </c>
      <c r="AH24" s="174">
        <v>173.33</v>
      </c>
      <c r="AI24" s="174">
        <v>173.33</v>
      </c>
      <c r="AJ24" s="174">
        <v>173.33</v>
      </c>
      <c r="AK24" s="174">
        <v>173.33</v>
      </c>
      <c r="AL24" s="174">
        <v>173.33</v>
      </c>
      <c r="AM24" s="174">
        <v>173.33</v>
      </c>
    </row>
    <row r="25" ht="12.75" customHeight="1">
      <c r="A25" s="108"/>
      <c r="B25" s="177" t="s">
        <v>233</v>
      </c>
      <c r="C25" s="178">
        <f t="shared" ref="C25:AM25" si="1">SUM(C5:C24)</f>
        <v>47868.84</v>
      </c>
      <c r="D25" s="178">
        <f t="shared" si="1"/>
        <v>68051.56</v>
      </c>
      <c r="E25" s="178">
        <f t="shared" si="1"/>
        <v>49844.65</v>
      </c>
      <c r="F25" s="178">
        <f t="shared" si="1"/>
        <v>48842.27</v>
      </c>
      <c r="G25" s="178">
        <f t="shared" si="1"/>
        <v>37013.75</v>
      </c>
      <c r="H25" s="178">
        <f t="shared" si="1"/>
        <v>51088.76</v>
      </c>
      <c r="I25" s="178">
        <f t="shared" si="1"/>
        <v>48822.47</v>
      </c>
      <c r="J25" s="178">
        <f t="shared" si="1"/>
        <v>66707.7</v>
      </c>
      <c r="K25" s="178">
        <f t="shared" si="1"/>
        <v>46527.46</v>
      </c>
      <c r="L25" s="178">
        <f t="shared" si="1"/>
        <v>51128.62</v>
      </c>
      <c r="M25" s="178">
        <f t="shared" si="1"/>
        <v>47958.82</v>
      </c>
      <c r="N25" s="178">
        <f t="shared" si="1"/>
        <v>44905.55</v>
      </c>
      <c r="O25" s="178">
        <f t="shared" si="1"/>
        <v>69835.37</v>
      </c>
      <c r="P25" s="178">
        <f t="shared" si="1"/>
        <v>45548.3</v>
      </c>
      <c r="Q25" s="178">
        <f t="shared" si="1"/>
        <v>46479.76</v>
      </c>
      <c r="R25" s="178">
        <f t="shared" si="1"/>
        <v>43596.21</v>
      </c>
      <c r="S25" s="178">
        <f t="shared" si="1"/>
        <v>43158.78</v>
      </c>
      <c r="T25" s="178">
        <f t="shared" si="1"/>
        <v>39133.86</v>
      </c>
      <c r="U25" s="178">
        <f t="shared" si="1"/>
        <v>39448.15</v>
      </c>
      <c r="V25" s="178">
        <f t="shared" si="1"/>
        <v>61307.51</v>
      </c>
      <c r="W25" s="178">
        <f t="shared" si="1"/>
        <v>40808.43</v>
      </c>
      <c r="X25" s="178">
        <f t="shared" si="1"/>
        <v>39566.09</v>
      </c>
      <c r="Y25" s="178">
        <f t="shared" si="1"/>
        <v>51847.97</v>
      </c>
      <c r="Z25" s="178">
        <f t="shared" si="1"/>
        <v>41445.18</v>
      </c>
      <c r="AA25" s="178">
        <f t="shared" si="1"/>
        <v>59353.2</v>
      </c>
      <c r="AB25" s="178">
        <f t="shared" si="1"/>
        <v>39475.46</v>
      </c>
      <c r="AC25" s="178">
        <f t="shared" si="1"/>
        <v>40005.53</v>
      </c>
      <c r="AD25" s="178">
        <f t="shared" si="1"/>
        <v>42969.75</v>
      </c>
      <c r="AE25" s="178">
        <f t="shared" si="1"/>
        <v>42151.03</v>
      </c>
      <c r="AF25" s="178">
        <f t="shared" si="1"/>
        <v>41249.74</v>
      </c>
      <c r="AG25" s="178">
        <f t="shared" si="1"/>
        <v>44032.37</v>
      </c>
      <c r="AH25" s="178">
        <f t="shared" si="1"/>
        <v>65250.24</v>
      </c>
      <c r="AI25" s="178">
        <f t="shared" si="1"/>
        <v>44194.06</v>
      </c>
      <c r="AJ25" s="178">
        <f t="shared" si="1"/>
        <v>41318.39</v>
      </c>
      <c r="AK25" s="178">
        <f t="shared" si="1"/>
        <v>23190.8</v>
      </c>
      <c r="AL25" s="178">
        <f t="shared" si="1"/>
        <v>66419.6</v>
      </c>
      <c r="AM25" s="178">
        <f t="shared" si="1"/>
        <v>37268.11</v>
      </c>
    </row>
    <row r="26">
      <c r="A26" s="108"/>
      <c r="B26" s="168" t="s">
        <v>234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</row>
    <row r="27" ht="12.75" customHeight="1">
      <c r="A27" s="108"/>
      <c r="B27" s="170" t="s">
        <v>235</v>
      </c>
      <c r="C27" s="174"/>
      <c r="D27" s="7">
        <v>0.0</v>
      </c>
      <c r="E27" s="7">
        <v>0.0</v>
      </c>
      <c r="F27" s="7">
        <v>0.0</v>
      </c>
      <c r="G27" s="7">
        <v>0.0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300.0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200.0</v>
      </c>
      <c r="AG27" s="174">
        <v>200.0</v>
      </c>
      <c r="AH27" s="174">
        <v>0.0</v>
      </c>
      <c r="AI27" s="174">
        <v>0.0</v>
      </c>
      <c r="AJ27" s="174">
        <v>0.0</v>
      </c>
      <c r="AK27" s="174">
        <v>0.0</v>
      </c>
      <c r="AL27" s="174">
        <v>0.0</v>
      </c>
      <c r="AM27" s="174">
        <v>0.0</v>
      </c>
    </row>
    <row r="28" ht="12.75" customHeight="1">
      <c r="A28" s="108"/>
      <c r="B28" s="170" t="s">
        <v>236</v>
      </c>
      <c r="C28" s="173">
        <v>294.41</v>
      </c>
      <c r="D28" s="179">
        <v>668.86</v>
      </c>
      <c r="E28" s="179">
        <v>303.85</v>
      </c>
      <c r="F28" s="179">
        <v>315.65</v>
      </c>
      <c r="G28" s="179">
        <v>306.8</v>
      </c>
      <c r="H28" s="179">
        <v>259.6</v>
      </c>
      <c r="I28" s="179">
        <v>309.16</v>
      </c>
      <c r="J28" s="179">
        <v>320.96</v>
      </c>
      <c r="K28" s="179">
        <v>320.96</v>
      </c>
      <c r="L28" s="179">
        <v>282.54</v>
      </c>
      <c r="M28" s="179">
        <v>323.68</v>
      </c>
      <c r="N28" s="179">
        <v>326.7</v>
      </c>
      <c r="O28" s="179">
        <v>332.75</v>
      </c>
      <c r="P28" s="179">
        <v>727.02</v>
      </c>
      <c r="Q28" s="179">
        <v>318.23</v>
      </c>
      <c r="R28" s="179">
        <v>347.27</v>
      </c>
      <c r="S28" s="179">
        <v>283.14</v>
      </c>
      <c r="T28" s="179">
        <v>0.0</v>
      </c>
      <c r="U28" s="179">
        <v>1144.65</v>
      </c>
      <c r="V28" s="179">
        <v>144.23</v>
      </c>
      <c r="W28" s="179">
        <v>58.08</v>
      </c>
      <c r="X28" s="179">
        <v>784.08</v>
      </c>
      <c r="Y28" s="179">
        <v>58.08</v>
      </c>
      <c r="Z28" s="179">
        <v>58.08</v>
      </c>
      <c r="AA28" s="179">
        <v>541.02</v>
      </c>
      <c r="AB28" s="179">
        <v>520.0</v>
      </c>
      <c r="AC28" s="179">
        <v>128.05</v>
      </c>
      <c r="AD28" s="179">
        <v>485.83</v>
      </c>
      <c r="AE28" s="179">
        <v>157.09</v>
      </c>
      <c r="AF28" s="179">
        <v>636.25</v>
      </c>
      <c r="AG28" s="174">
        <v>180.25</v>
      </c>
      <c r="AH28" s="174">
        <v>180.25</v>
      </c>
      <c r="AI28" s="174">
        <v>180.25</v>
      </c>
      <c r="AJ28" s="174">
        <v>180.25</v>
      </c>
      <c r="AK28" s="174">
        <v>180.25</v>
      </c>
      <c r="AL28" s="174">
        <v>180.25</v>
      </c>
      <c r="AM28" s="174">
        <v>180.25</v>
      </c>
    </row>
    <row r="29" ht="12.75" customHeight="1">
      <c r="A29" s="108"/>
      <c r="B29" s="170" t="s">
        <v>237</v>
      </c>
      <c r="C29" s="174"/>
      <c r="D29" s="7">
        <v>76.75</v>
      </c>
      <c r="E29" s="7">
        <v>0.0</v>
      </c>
      <c r="F29" s="7">
        <v>165.79</v>
      </c>
      <c r="G29" s="7">
        <v>69.15</v>
      </c>
      <c r="H29" s="7">
        <v>331.25</v>
      </c>
      <c r="I29" s="7">
        <v>602.96</v>
      </c>
      <c r="J29" s="7">
        <v>35.34</v>
      </c>
      <c r="K29" s="7">
        <v>0.0</v>
      </c>
      <c r="L29" s="7">
        <v>79.15</v>
      </c>
      <c r="M29" s="7">
        <v>233.09</v>
      </c>
      <c r="N29" s="7">
        <v>453.73</v>
      </c>
      <c r="O29" s="7">
        <v>29.73</v>
      </c>
      <c r="P29" s="7">
        <v>0.0</v>
      </c>
      <c r="Q29" s="7">
        <v>169.8</v>
      </c>
      <c r="R29" s="7">
        <v>0.0</v>
      </c>
      <c r="S29" s="7">
        <v>146.46</v>
      </c>
      <c r="T29" s="7">
        <v>898.68</v>
      </c>
      <c r="U29" s="7">
        <v>33.03</v>
      </c>
      <c r="V29" s="7">
        <v>198.83</v>
      </c>
      <c r="W29" s="7">
        <v>56.22</v>
      </c>
      <c r="X29" s="7">
        <v>34.73</v>
      </c>
      <c r="Y29" s="7">
        <v>57.91</v>
      </c>
      <c r="Z29" s="7">
        <v>23.18</v>
      </c>
      <c r="AA29" s="7">
        <v>0.0</v>
      </c>
      <c r="AB29" s="7">
        <v>400.0</v>
      </c>
      <c r="AC29" s="7">
        <v>0.0</v>
      </c>
      <c r="AD29" s="7">
        <v>463.41</v>
      </c>
      <c r="AE29" s="7">
        <v>33.03</v>
      </c>
      <c r="AF29" s="7">
        <v>0.0</v>
      </c>
      <c r="AG29" s="174">
        <v>285.45</v>
      </c>
      <c r="AH29" s="174">
        <v>99.73</v>
      </c>
      <c r="AI29" s="174">
        <v>566.05</v>
      </c>
      <c r="AJ29" s="174">
        <v>0.0</v>
      </c>
      <c r="AK29" s="174">
        <v>740.28</v>
      </c>
      <c r="AL29" s="174" t="s">
        <v>238</v>
      </c>
      <c r="AM29" s="174">
        <v>212.36</v>
      </c>
    </row>
    <row r="30" ht="12.75" customHeight="1">
      <c r="A30" s="108"/>
      <c r="B30" s="170" t="s">
        <v>239</v>
      </c>
      <c r="C30" s="171">
        <v>1093.5</v>
      </c>
      <c r="D30" s="172">
        <v>0.0</v>
      </c>
      <c r="E30" s="172">
        <v>0.0</v>
      </c>
      <c r="F30" s="172">
        <v>0.0</v>
      </c>
      <c r="G30" s="172">
        <v>0.0</v>
      </c>
      <c r="H30" s="172">
        <v>0.0</v>
      </c>
      <c r="I30" s="172">
        <v>0.0</v>
      </c>
      <c r="J30" s="172">
        <v>0.0</v>
      </c>
      <c r="K30" s="172">
        <v>0.0</v>
      </c>
      <c r="L30" s="172">
        <v>0.0</v>
      </c>
      <c r="M30" s="172">
        <v>0.0</v>
      </c>
      <c r="N30" s="172">
        <v>0.0</v>
      </c>
      <c r="O30" s="172">
        <v>929.95</v>
      </c>
      <c r="P30" s="172">
        <v>0.0</v>
      </c>
      <c r="Q30" s="172">
        <v>0.0</v>
      </c>
      <c r="R30" s="172">
        <v>0.0</v>
      </c>
      <c r="S30" s="172">
        <v>0.0</v>
      </c>
      <c r="T30" s="172">
        <v>0.0</v>
      </c>
      <c r="U30" s="172" t="s">
        <v>240</v>
      </c>
      <c r="V30" s="172">
        <v>765.1</v>
      </c>
      <c r="W30" s="172">
        <v>0.0</v>
      </c>
      <c r="X30" s="172">
        <v>0.0</v>
      </c>
      <c r="Y30" s="172">
        <v>0.0</v>
      </c>
      <c r="Z30" s="172">
        <v>0.0</v>
      </c>
      <c r="AA30" s="172">
        <v>628.95</v>
      </c>
      <c r="AB30" s="172">
        <v>0.0</v>
      </c>
      <c r="AC30" s="172">
        <v>0.0</v>
      </c>
      <c r="AD30" s="172">
        <v>0.0</v>
      </c>
      <c r="AE30" s="172">
        <v>0.0</v>
      </c>
      <c r="AF30" s="172">
        <v>0.0</v>
      </c>
      <c r="AG30" s="174">
        <v>0.0</v>
      </c>
      <c r="AH30" s="174">
        <v>0.0</v>
      </c>
      <c r="AI30" s="174">
        <v>0.0</v>
      </c>
      <c r="AJ30" s="174">
        <v>0.0</v>
      </c>
      <c r="AK30" s="174">
        <v>0.0</v>
      </c>
      <c r="AL30" s="174">
        <v>0.0</v>
      </c>
      <c r="AM30" s="174">
        <v>0.0</v>
      </c>
    </row>
    <row r="31" ht="12.75" customHeight="1">
      <c r="A31" s="108"/>
      <c r="B31" s="170" t="s">
        <v>241</v>
      </c>
      <c r="C31" s="174"/>
      <c r="D31" s="7">
        <v>63.76</v>
      </c>
      <c r="E31" s="7">
        <v>115.81</v>
      </c>
      <c r="F31" s="7">
        <v>0.0</v>
      </c>
      <c r="G31" s="7">
        <v>0.0</v>
      </c>
      <c r="H31" s="7">
        <v>0.0</v>
      </c>
      <c r="I31" s="7">
        <v>528.82</v>
      </c>
      <c r="J31" s="7">
        <v>0.0</v>
      </c>
      <c r="K31" s="7">
        <v>773.75</v>
      </c>
      <c r="L31" s="7">
        <v>0.0</v>
      </c>
      <c r="M31" s="7">
        <v>110.88</v>
      </c>
      <c r="N31" s="7">
        <v>168.77</v>
      </c>
      <c r="O31" s="7">
        <v>0.0</v>
      </c>
      <c r="P31" s="7">
        <v>172.11</v>
      </c>
      <c r="Q31" s="7">
        <v>161.4</v>
      </c>
      <c r="R31" s="7">
        <v>18.82</v>
      </c>
      <c r="S31" s="7">
        <v>0.0</v>
      </c>
      <c r="T31" s="7">
        <v>388.2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1419.78</v>
      </c>
      <c r="AA31" s="7">
        <v>0.0</v>
      </c>
      <c r="AB31" s="7">
        <v>0.0</v>
      </c>
      <c r="AC31" s="7">
        <v>0.0</v>
      </c>
      <c r="AD31" s="7">
        <v>0.0</v>
      </c>
      <c r="AE31" s="7">
        <v>93.1</v>
      </c>
      <c r="AF31" s="7">
        <v>98.28</v>
      </c>
      <c r="AG31" s="174">
        <v>0.0</v>
      </c>
      <c r="AH31" s="174">
        <v>0.0</v>
      </c>
      <c r="AI31" s="174">
        <v>0.0</v>
      </c>
      <c r="AJ31" s="174">
        <v>0.0</v>
      </c>
      <c r="AK31" s="174">
        <v>388.57</v>
      </c>
      <c r="AL31" s="174">
        <v>0.0</v>
      </c>
      <c r="AM31" s="174">
        <v>113.98</v>
      </c>
    </row>
    <row r="32" ht="12.75" customHeight="1">
      <c r="A32" s="108"/>
      <c r="B32" s="170" t="s">
        <v>242</v>
      </c>
      <c r="C32" s="171"/>
      <c r="D32" s="172">
        <v>0.0</v>
      </c>
      <c r="E32" s="172">
        <v>0.0</v>
      </c>
      <c r="F32" s="172">
        <v>0.0</v>
      </c>
      <c r="G32" s="172">
        <v>0.0</v>
      </c>
      <c r="H32" s="172">
        <v>0.0</v>
      </c>
      <c r="I32" s="172">
        <v>0.0</v>
      </c>
      <c r="J32" s="172">
        <v>0.0</v>
      </c>
      <c r="K32" s="172">
        <v>0.0</v>
      </c>
      <c r="L32" s="172">
        <v>0.0</v>
      </c>
      <c r="M32" s="172">
        <v>0.0</v>
      </c>
      <c r="N32" s="172">
        <v>0.0</v>
      </c>
      <c r="O32" s="172">
        <v>0.0</v>
      </c>
      <c r="P32" s="172">
        <v>0.0</v>
      </c>
      <c r="Q32" s="172">
        <v>0.0</v>
      </c>
      <c r="R32" s="172">
        <v>0.0</v>
      </c>
      <c r="S32" s="172">
        <v>0.0</v>
      </c>
      <c r="T32" s="172">
        <v>0.0</v>
      </c>
      <c r="U32" s="172">
        <v>0.0</v>
      </c>
      <c r="V32" s="172">
        <v>0.0</v>
      </c>
      <c r="W32" s="172">
        <v>0.0</v>
      </c>
      <c r="X32" s="172">
        <v>0.0</v>
      </c>
      <c r="Y32" s="172">
        <v>0.0</v>
      </c>
      <c r="Z32" s="172">
        <v>0.0</v>
      </c>
      <c r="AA32" s="172">
        <v>0.0</v>
      </c>
      <c r="AB32" s="172">
        <v>0.0</v>
      </c>
      <c r="AC32" s="172">
        <v>0.0</v>
      </c>
      <c r="AD32" s="172">
        <v>0.0</v>
      </c>
      <c r="AE32" s="172">
        <v>0.0</v>
      </c>
      <c r="AF32" s="172">
        <v>0.0</v>
      </c>
      <c r="AG32" s="174">
        <v>0.0</v>
      </c>
      <c r="AH32" s="174">
        <v>0.0</v>
      </c>
      <c r="AI32" s="174">
        <v>0.0</v>
      </c>
      <c r="AJ32" s="174">
        <v>0.0</v>
      </c>
      <c r="AK32" s="174">
        <v>0.0</v>
      </c>
      <c r="AL32" s="174">
        <v>0.0</v>
      </c>
      <c r="AM32" s="174">
        <v>0.0</v>
      </c>
    </row>
    <row r="33" ht="12.75" customHeight="1">
      <c r="A33" s="108"/>
      <c r="B33" s="170" t="s">
        <v>76</v>
      </c>
      <c r="C33" s="174">
        <v>118.68</v>
      </c>
      <c r="D33" s="7">
        <v>213.13</v>
      </c>
      <c r="E33" s="7">
        <v>81.36</v>
      </c>
      <c r="F33" s="7">
        <v>62.69</v>
      </c>
      <c r="G33" s="7">
        <v>874.75</v>
      </c>
      <c r="H33" s="7">
        <v>68.34</v>
      </c>
      <c r="I33" s="7">
        <v>0.0</v>
      </c>
      <c r="J33" s="7">
        <v>0.0</v>
      </c>
      <c r="K33" s="7">
        <v>55.01</v>
      </c>
      <c r="L33" s="7">
        <v>0.0</v>
      </c>
      <c r="M33" s="7">
        <v>238.13</v>
      </c>
      <c r="N33" s="7">
        <v>97.94</v>
      </c>
      <c r="O33" s="7">
        <v>0.0</v>
      </c>
      <c r="P33" s="7">
        <v>0.0</v>
      </c>
      <c r="Q33" s="7"/>
      <c r="R33" s="7">
        <v>0.0</v>
      </c>
      <c r="S33" s="7">
        <v>0.0</v>
      </c>
      <c r="T33" s="7">
        <v>0.0</v>
      </c>
      <c r="U33" s="7">
        <v>149.08</v>
      </c>
      <c r="V33" s="7">
        <v>365.0</v>
      </c>
      <c r="W33" s="7">
        <v>0.0</v>
      </c>
      <c r="X33" s="7">
        <v>197.53</v>
      </c>
      <c r="Y33" s="7">
        <v>340.69</v>
      </c>
      <c r="Z33" s="7">
        <v>220.32</v>
      </c>
      <c r="AA33" s="7">
        <v>439.6</v>
      </c>
      <c r="AB33" s="7">
        <v>264.89</v>
      </c>
      <c r="AC33" s="7">
        <v>130.93</v>
      </c>
      <c r="AD33" s="7">
        <v>320.32</v>
      </c>
      <c r="AE33" s="7">
        <v>765.09</v>
      </c>
      <c r="AF33" s="7">
        <v>157.91</v>
      </c>
      <c r="AG33" s="174">
        <v>125.69</v>
      </c>
      <c r="AH33" s="174">
        <v>268.0</v>
      </c>
      <c r="AI33" s="174">
        <v>190.29</v>
      </c>
      <c r="AJ33" s="174">
        <v>175.61</v>
      </c>
      <c r="AK33" s="174">
        <v>273.88</v>
      </c>
      <c r="AL33" s="174">
        <v>170.0</v>
      </c>
      <c r="AM33" s="174">
        <v>191.73</v>
      </c>
    </row>
    <row r="34" ht="12.75" customHeight="1">
      <c r="A34" s="108"/>
      <c r="B34" s="170" t="s">
        <v>243</v>
      </c>
      <c r="C34" s="174">
        <v>648.88</v>
      </c>
      <c r="D34" s="7">
        <v>648.88</v>
      </c>
      <c r="E34" s="7">
        <v>648.88</v>
      </c>
      <c r="F34" s="7">
        <v>0.0</v>
      </c>
      <c r="G34" s="7">
        <v>0.0</v>
      </c>
      <c r="H34" s="7">
        <v>574.0</v>
      </c>
      <c r="I34" s="7">
        <v>0.0</v>
      </c>
      <c r="J34" s="7">
        <v>429.0</v>
      </c>
      <c r="K34" s="7">
        <v>96.0</v>
      </c>
      <c r="L34" s="7">
        <v>95.0</v>
      </c>
      <c r="M34" s="7">
        <v>95.0</v>
      </c>
      <c r="N34" s="7">
        <v>95.0</v>
      </c>
      <c r="O34" s="7">
        <v>0.0</v>
      </c>
      <c r="P34" s="7">
        <v>0.0</v>
      </c>
      <c r="Q34" s="7">
        <v>15133.1</v>
      </c>
      <c r="R34" s="7">
        <v>95.0</v>
      </c>
      <c r="S34" s="7">
        <v>1003.18</v>
      </c>
      <c r="T34" s="7">
        <v>0.0</v>
      </c>
      <c r="U34" s="7">
        <v>0.0</v>
      </c>
      <c r="V34" s="7">
        <v>0.0</v>
      </c>
      <c r="W34" s="7">
        <v>0.0</v>
      </c>
      <c r="X34" s="7">
        <v>392.5</v>
      </c>
      <c r="Y34" s="7">
        <v>661.32</v>
      </c>
      <c r="Z34" s="7">
        <v>588.0</v>
      </c>
      <c r="AA34" s="7">
        <v>0.0</v>
      </c>
      <c r="AB34" s="7">
        <v>121.5</v>
      </c>
      <c r="AC34" s="7">
        <v>121.5</v>
      </c>
      <c r="AD34" s="7">
        <v>121.5</v>
      </c>
      <c r="AE34" s="7">
        <v>121.5</v>
      </c>
      <c r="AF34" s="7">
        <v>121.5</v>
      </c>
      <c r="AG34" s="174">
        <v>121.5</v>
      </c>
      <c r="AH34" s="174">
        <v>121.5</v>
      </c>
      <c r="AI34" s="174">
        <v>121.5</v>
      </c>
      <c r="AJ34" s="174">
        <v>311.5</v>
      </c>
      <c r="AK34" s="174">
        <v>121.5</v>
      </c>
      <c r="AL34" s="174">
        <v>121.5</v>
      </c>
      <c r="AM34" s="174">
        <v>121.5</v>
      </c>
    </row>
    <row r="35" ht="12.75" customHeight="1">
      <c r="A35" s="108"/>
      <c r="B35" s="170" t="s">
        <v>85</v>
      </c>
      <c r="C35" s="174">
        <v>9900.0</v>
      </c>
      <c r="D35" s="7">
        <v>7300.0</v>
      </c>
      <c r="E35" s="7">
        <v>2700.0</v>
      </c>
      <c r="F35" s="7">
        <v>13040.0</v>
      </c>
      <c r="G35" s="7">
        <v>12450.0</v>
      </c>
      <c r="H35" s="7">
        <v>10854.63</v>
      </c>
      <c r="I35" s="7">
        <v>12152.48</v>
      </c>
      <c r="J35" s="7">
        <v>20439.0</v>
      </c>
      <c r="K35" s="7">
        <v>20785.71</v>
      </c>
      <c r="L35" s="7">
        <v>7243.49</v>
      </c>
      <c r="M35" s="7">
        <v>18702.0</v>
      </c>
      <c r="N35" s="7">
        <v>17069.0</v>
      </c>
      <c r="O35" s="7">
        <v>0.0</v>
      </c>
      <c r="P35" s="7">
        <v>8584.0</v>
      </c>
      <c r="Q35" s="7">
        <v>0.0</v>
      </c>
      <c r="R35" s="7">
        <v>0.0</v>
      </c>
      <c r="S35" s="7">
        <v>5689.05</v>
      </c>
      <c r="T35" s="7">
        <v>12461.52</v>
      </c>
      <c r="U35" s="7">
        <v>10090.25</v>
      </c>
      <c r="V35" s="7">
        <v>1602.08</v>
      </c>
      <c r="W35" s="7">
        <v>4870.0</v>
      </c>
      <c r="X35" s="7">
        <v>4571.0</v>
      </c>
      <c r="Y35" s="7">
        <v>7994.66</v>
      </c>
      <c r="Z35" s="7">
        <v>1848.14</v>
      </c>
      <c r="AA35" s="7">
        <v>2457.66</v>
      </c>
      <c r="AB35" s="7">
        <v>5631.41</v>
      </c>
      <c r="AC35" s="7">
        <v>8499.46</v>
      </c>
      <c r="AD35" s="7">
        <v>5916.0</v>
      </c>
      <c r="AE35" s="7">
        <v>3104.19</v>
      </c>
      <c r="AF35" s="7">
        <v>3571.57</v>
      </c>
      <c r="AG35" s="174">
        <v>4600.0</v>
      </c>
      <c r="AH35" s="174">
        <v>5850.0</v>
      </c>
      <c r="AI35" s="174">
        <v>4157.0</v>
      </c>
      <c r="AJ35" s="174">
        <v>4250.0</v>
      </c>
      <c r="AK35" s="174">
        <v>0.0</v>
      </c>
      <c r="AL35" s="174">
        <v>0.0</v>
      </c>
      <c r="AM35" s="174">
        <v>8431.0</v>
      </c>
    </row>
    <row r="36" ht="12.75" customHeight="1">
      <c r="A36" s="108"/>
      <c r="B36" s="170" t="s">
        <v>244</v>
      </c>
      <c r="C36" s="180">
        <v>3904.94</v>
      </c>
      <c r="D36" s="172">
        <v>39042.36</v>
      </c>
      <c r="E36" s="172">
        <v>0.0</v>
      </c>
      <c r="F36" s="172">
        <v>2818.43</v>
      </c>
      <c r="G36" s="172">
        <v>40656.49</v>
      </c>
      <c r="H36" s="172">
        <v>1477.46</v>
      </c>
      <c r="I36" s="172">
        <v>1483.63</v>
      </c>
      <c r="J36" s="172">
        <v>57498.73</v>
      </c>
      <c r="K36" s="172">
        <v>1495.78</v>
      </c>
      <c r="L36" s="172">
        <v>1501.96</v>
      </c>
      <c r="M36" s="181">
        <v>54660.05</v>
      </c>
      <c r="N36" s="172">
        <v>1514.11</v>
      </c>
      <c r="O36" s="172">
        <v>0.0</v>
      </c>
      <c r="P36" s="172">
        <v>17401.56</v>
      </c>
      <c r="Q36" s="172">
        <v>1643.68</v>
      </c>
      <c r="R36" s="172">
        <v>1538.1</v>
      </c>
      <c r="S36" s="172">
        <v>43101.45</v>
      </c>
      <c r="T36" s="172">
        <v>843.43</v>
      </c>
      <c r="U36" s="172">
        <v>846.95</v>
      </c>
      <c r="V36" s="172">
        <v>32673.89</v>
      </c>
      <c r="W36" s="172">
        <v>1530.18</v>
      </c>
      <c r="X36" s="172">
        <v>1536.54</v>
      </c>
      <c r="Y36" s="172">
        <v>31764.42</v>
      </c>
      <c r="Z36" s="181">
        <v>1549.05</v>
      </c>
      <c r="AA36" s="181">
        <v>4134.47</v>
      </c>
      <c r="AB36" s="181">
        <v>27433.72</v>
      </c>
      <c r="AC36" s="181">
        <v>1681.3</v>
      </c>
      <c r="AD36" s="181">
        <v>2557.37</v>
      </c>
      <c r="AE36" s="181">
        <v>29070.01</v>
      </c>
      <c r="AF36" s="181">
        <v>1377.93</v>
      </c>
      <c r="AG36" s="174">
        <v>679.74</v>
      </c>
      <c r="AH36" s="174">
        <v>29822.0</v>
      </c>
      <c r="AI36" s="174">
        <v>1090.92</v>
      </c>
      <c r="AJ36" s="174">
        <v>1090.92</v>
      </c>
      <c r="AK36" s="174"/>
      <c r="AL36" s="174">
        <v>1654.15</v>
      </c>
      <c r="AM36" s="174">
        <v>2378.52</v>
      </c>
    </row>
    <row r="37" ht="12.75" customHeight="1">
      <c r="A37" s="108"/>
      <c r="B37" s="170" t="s">
        <v>245</v>
      </c>
      <c r="C37" s="174">
        <v>102.22</v>
      </c>
      <c r="D37" s="7">
        <v>0.0</v>
      </c>
      <c r="E37" s="7">
        <v>2884.68</v>
      </c>
      <c r="F37" s="7">
        <v>105.0</v>
      </c>
      <c r="G37" s="7">
        <v>975.09</v>
      </c>
      <c r="H37" s="7">
        <v>516.57</v>
      </c>
      <c r="I37" s="7">
        <v>0.0</v>
      </c>
      <c r="J37" s="7">
        <v>0.0</v>
      </c>
      <c r="K37" s="7">
        <v>46.66</v>
      </c>
      <c r="L37" s="7">
        <v>0.0</v>
      </c>
      <c r="M37" s="172">
        <v>626.95</v>
      </c>
      <c r="N37" s="7">
        <v>523.05</v>
      </c>
      <c r="O37" s="7">
        <v>0.0</v>
      </c>
      <c r="P37" s="7">
        <v>1692.39</v>
      </c>
      <c r="Q37" s="7">
        <v>0.0</v>
      </c>
      <c r="R37" s="7">
        <v>0.0</v>
      </c>
      <c r="S37" s="7">
        <v>1006.0</v>
      </c>
      <c r="T37" s="172">
        <v>222.4</v>
      </c>
      <c r="U37" s="7">
        <v>0.0</v>
      </c>
      <c r="V37" s="7">
        <v>0.0</v>
      </c>
      <c r="W37" s="7">
        <v>53.6</v>
      </c>
      <c r="X37" s="7">
        <v>111.2</v>
      </c>
      <c r="Y37" s="7">
        <v>0.0</v>
      </c>
      <c r="Z37" s="172">
        <v>111.2</v>
      </c>
      <c r="AA37" s="172">
        <v>523.05</v>
      </c>
      <c r="AB37" s="172">
        <v>0.0</v>
      </c>
      <c r="AC37" s="172">
        <v>0.0</v>
      </c>
      <c r="AD37" s="172">
        <v>983.63</v>
      </c>
      <c r="AE37" s="172">
        <v>429.03</v>
      </c>
      <c r="AF37" s="172">
        <v>450.78</v>
      </c>
      <c r="AG37" s="174">
        <v>426.36</v>
      </c>
      <c r="AH37" s="174">
        <v>0.0</v>
      </c>
      <c r="AI37" s="174">
        <v>250.0</v>
      </c>
      <c r="AJ37" s="174">
        <v>113.1</v>
      </c>
      <c r="AK37" s="174">
        <v>544.95</v>
      </c>
      <c r="AL37" s="174">
        <v>0.0</v>
      </c>
      <c r="AM37" s="174">
        <v>523.05</v>
      </c>
    </row>
    <row r="38" ht="12.75" customHeight="1">
      <c r="A38" s="108"/>
      <c r="B38" s="170" t="s">
        <v>246</v>
      </c>
      <c r="C38" s="171">
        <v>88.5</v>
      </c>
      <c r="D38" s="172">
        <v>224.46</v>
      </c>
      <c r="E38" s="172">
        <v>172.88</v>
      </c>
      <c r="F38" s="172">
        <v>174.23</v>
      </c>
      <c r="G38" s="172">
        <v>88.5</v>
      </c>
      <c r="H38" s="172">
        <v>159.3</v>
      </c>
      <c r="I38" s="172">
        <v>0.0</v>
      </c>
      <c r="J38" s="172">
        <v>0.0</v>
      </c>
      <c r="K38" s="172">
        <v>247.82</v>
      </c>
      <c r="L38" s="172">
        <v>0.0</v>
      </c>
      <c r="M38" s="172">
        <v>0.0</v>
      </c>
      <c r="N38" s="172">
        <v>251.87</v>
      </c>
      <c r="O38" s="172">
        <v>91.53</v>
      </c>
      <c r="P38" s="172">
        <v>0.0</v>
      </c>
      <c r="Q38" s="172">
        <v>168.09</v>
      </c>
      <c r="R38" s="172">
        <v>0.0</v>
      </c>
      <c r="S38" s="172">
        <v>91.53</v>
      </c>
      <c r="T38" s="172">
        <v>374.01</v>
      </c>
      <c r="U38" s="172">
        <v>0.0</v>
      </c>
      <c r="V38" s="172">
        <v>0.0</v>
      </c>
      <c r="W38" s="172">
        <v>259.62</v>
      </c>
      <c r="X38" s="172">
        <v>0.0</v>
      </c>
      <c r="Y38" s="172">
        <v>0.0</v>
      </c>
      <c r="Z38" s="172">
        <v>259.62</v>
      </c>
      <c r="AA38" s="172">
        <v>0.0</v>
      </c>
      <c r="AB38" s="172">
        <v>0.0</v>
      </c>
      <c r="AC38" s="172">
        <v>0.0</v>
      </c>
      <c r="AD38" s="172">
        <v>0.0</v>
      </c>
      <c r="AE38" s="172">
        <v>91.8</v>
      </c>
      <c r="AF38" s="172">
        <v>168.42</v>
      </c>
      <c r="AG38" s="174">
        <v>0.0</v>
      </c>
      <c r="AH38" s="174">
        <v>0.0</v>
      </c>
      <c r="AI38" s="174">
        <v>260.22</v>
      </c>
      <c r="AJ38" s="174">
        <v>0.0</v>
      </c>
      <c r="AK38" s="174">
        <v>0.0</v>
      </c>
      <c r="AL38" s="174">
        <v>260.22</v>
      </c>
      <c r="AM38" s="174">
        <v>0.0</v>
      </c>
    </row>
    <row r="39" ht="12.75" customHeight="1">
      <c r="A39" s="108"/>
      <c r="B39" s="170" t="s">
        <v>247</v>
      </c>
      <c r="C39" s="174"/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174">
        <v>0.0</v>
      </c>
      <c r="AH39" s="174">
        <v>0.0</v>
      </c>
      <c r="AI39" s="174">
        <v>0.0</v>
      </c>
      <c r="AJ39" s="174">
        <v>0.0</v>
      </c>
      <c r="AK39" s="174">
        <v>0.0</v>
      </c>
      <c r="AL39" s="174">
        <v>0.0</v>
      </c>
      <c r="AM39" s="174">
        <v>0.0</v>
      </c>
    </row>
    <row r="40" ht="12.75" customHeight="1">
      <c r="A40" s="108"/>
      <c r="B40" s="170" t="s">
        <v>248</v>
      </c>
      <c r="C40" s="171"/>
      <c r="D40" s="172">
        <v>0.0</v>
      </c>
      <c r="E40" s="172">
        <v>0.0</v>
      </c>
      <c r="F40" s="172">
        <v>0.0</v>
      </c>
      <c r="G40" s="172">
        <v>0.0</v>
      </c>
      <c r="H40" s="172">
        <v>0.0</v>
      </c>
      <c r="I40" s="172">
        <v>0.0</v>
      </c>
      <c r="J40" s="172">
        <v>0.0</v>
      </c>
      <c r="K40" s="172">
        <v>0.0</v>
      </c>
      <c r="L40" s="172">
        <v>0.0</v>
      </c>
      <c r="M40" s="172">
        <v>0.0</v>
      </c>
      <c r="N40" s="172">
        <v>0.0</v>
      </c>
      <c r="O40" s="172">
        <v>0.0</v>
      </c>
      <c r="P40" s="172">
        <v>0.0</v>
      </c>
      <c r="Q40" s="172">
        <v>0.0</v>
      </c>
      <c r="R40" s="172">
        <v>0.0</v>
      </c>
      <c r="S40" s="172">
        <v>0.0</v>
      </c>
      <c r="T40" s="172">
        <v>0.0</v>
      </c>
      <c r="U40" s="172">
        <v>0.0</v>
      </c>
      <c r="V40" s="172">
        <v>0.0</v>
      </c>
      <c r="W40" s="172">
        <v>0.0</v>
      </c>
      <c r="X40" s="172">
        <v>0.0</v>
      </c>
      <c r="Y40" s="172">
        <v>0.0</v>
      </c>
      <c r="Z40" s="172">
        <v>0.0</v>
      </c>
      <c r="AA40" s="172">
        <v>0.0</v>
      </c>
      <c r="AB40" s="172">
        <v>0.0</v>
      </c>
      <c r="AC40" s="172">
        <v>0.0</v>
      </c>
      <c r="AD40" s="172">
        <v>0.0</v>
      </c>
      <c r="AE40" s="172">
        <v>0.0</v>
      </c>
      <c r="AF40" s="172">
        <v>0.0</v>
      </c>
      <c r="AG40" s="174">
        <v>0.0</v>
      </c>
      <c r="AH40" s="174">
        <v>0.0</v>
      </c>
      <c r="AI40" s="174">
        <v>0.0</v>
      </c>
      <c r="AJ40" s="174">
        <v>0.0</v>
      </c>
      <c r="AK40" s="174">
        <v>0.0</v>
      </c>
      <c r="AL40" s="174">
        <v>0.0</v>
      </c>
      <c r="AM40" s="174">
        <v>0.0</v>
      </c>
    </row>
    <row r="41" ht="12.75" customHeight="1">
      <c r="A41" s="108"/>
      <c r="B41" s="170" t="s">
        <v>249</v>
      </c>
      <c r="C41" s="174"/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102.5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174">
        <v>0.0</v>
      </c>
      <c r="AH41" s="174">
        <v>0.0</v>
      </c>
      <c r="AI41" s="174">
        <v>0.0</v>
      </c>
      <c r="AJ41" s="174">
        <v>0.0</v>
      </c>
      <c r="AK41" s="174">
        <v>0.0</v>
      </c>
      <c r="AL41" s="174">
        <v>0.0</v>
      </c>
      <c r="AM41" s="174">
        <v>0.0</v>
      </c>
    </row>
    <row r="42" ht="12.75" customHeight="1">
      <c r="A42" s="108"/>
      <c r="B42" s="170" t="s">
        <v>250</v>
      </c>
      <c r="C42" s="174"/>
      <c r="D42" s="7">
        <v>96.64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535.72</v>
      </c>
      <c r="K42" s="7">
        <v>24.14</v>
      </c>
      <c r="L42" s="7">
        <v>0.0</v>
      </c>
      <c r="M42" s="7">
        <v>450.0</v>
      </c>
      <c r="N42" s="7">
        <v>0.0</v>
      </c>
      <c r="O42" s="7">
        <v>1397.93</v>
      </c>
      <c r="P42" s="7">
        <v>20.63</v>
      </c>
      <c r="Q42" s="7">
        <v>227.48</v>
      </c>
      <c r="R42" s="7">
        <v>2567.81</v>
      </c>
      <c r="S42" s="7">
        <v>607.42</v>
      </c>
      <c r="T42" s="7">
        <v>350.0</v>
      </c>
      <c r="U42" s="7">
        <v>30.96</v>
      </c>
      <c r="V42" s="7">
        <v>0.0</v>
      </c>
      <c r="W42" s="7">
        <v>0.0</v>
      </c>
      <c r="X42" s="7">
        <v>307.9</v>
      </c>
      <c r="Y42" s="7">
        <v>0.0</v>
      </c>
      <c r="Z42" s="7">
        <v>0.0</v>
      </c>
      <c r="AA42" s="7">
        <v>2921.12</v>
      </c>
      <c r="AB42" s="7">
        <v>0.0</v>
      </c>
      <c r="AC42" s="7">
        <v>0.0</v>
      </c>
      <c r="AD42" s="7">
        <v>1170.01</v>
      </c>
      <c r="AE42" s="7">
        <v>192.35</v>
      </c>
      <c r="AF42" s="7">
        <v>363.0</v>
      </c>
      <c r="AG42" s="174">
        <v>0.0</v>
      </c>
      <c r="AH42" s="174">
        <v>0.0</v>
      </c>
      <c r="AI42" s="174">
        <v>626.93</v>
      </c>
      <c r="AJ42" s="174">
        <v>0.0</v>
      </c>
      <c r="AK42" s="174">
        <v>448.31</v>
      </c>
      <c r="AL42" s="174">
        <v>0.0</v>
      </c>
      <c r="AM42" s="174">
        <v>0.0</v>
      </c>
    </row>
    <row r="43" ht="12.75" customHeight="1">
      <c r="A43" s="108"/>
      <c r="B43" s="170" t="s">
        <v>251</v>
      </c>
      <c r="C43" s="174"/>
      <c r="D43" s="7">
        <v>0.0</v>
      </c>
      <c r="E43" s="7">
        <v>0.0</v>
      </c>
      <c r="F43" s="7">
        <v>0.0</v>
      </c>
      <c r="G43" s="7">
        <v>854.99</v>
      </c>
      <c r="H43" s="7">
        <v>0.0</v>
      </c>
      <c r="I43" s="7">
        <v>0.0</v>
      </c>
      <c r="J43" s="7">
        <v>0.0</v>
      </c>
      <c r="K43" s="7">
        <v>562.28</v>
      </c>
      <c r="L43" s="7">
        <v>0.0</v>
      </c>
      <c r="M43" s="7">
        <v>0.0</v>
      </c>
      <c r="N43" s="7">
        <v>0.0</v>
      </c>
      <c r="O43" s="7">
        <v>937.5</v>
      </c>
      <c r="P43" s="7">
        <v>0.0</v>
      </c>
      <c r="Q43" s="7">
        <v>0.0</v>
      </c>
      <c r="R43" s="7">
        <v>825.03</v>
      </c>
      <c r="S43" s="7">
        <v>0.0</v>
      </c>
      <c r="T43" s="7">
        <v>0.0</v>
      </c>
      <c r="U43" s="7">
        <v>0.0</v>
      </c>
      <c r="V43" s="7">
        <v>0.0</v>
      </c>
      <c r="W43" s="7">
        <v>313.25</v>
      </c>
      <c r="X43" s="7">
        <v>0.0</v>
      </c>
      <c r="Y43" s="7">
        <v>0.0</v>
      </c>
      <c r="Z43" s="7">
        <v>0.0</v>
      </c>
      <c r="AA43" s="7">
        <v>940.2</v>
      </c>
      <c r="AB43" s="7">
        <v>0.0</v>
      </c>
      <c r="AC43" s="7">
        <v>0.0</v>
      </c>
      <c r="AD43" s="7">
        <v>1324.71</v>
      </c>
      <c r="AE43" s="7">
        <v>1599.06</v>
      </c>
      <c r="AF43" s="7">
        <v>0.0</v>
      </c>
      <c r="AG43" s="174">
        <v>1134.0</v>
      </c>
      <c r="AH43" s="174">
        <v>0.0</v>
      </c>
      <c r="AI43" s="174">
        <v>293.69</v>
      </c>
      <c r="AJ43" s="174">
        <v>0.0</v>
      </c>
      <c r="AK43" s="174">
        <v>588.55</v>
      </c>
      <c r="AL43" s="174">
        <v>0.0</v>
      </c>
      <c r="AM43" s="174">
        <v>581.1</v>
      </c>
    </row>
    <row r="44" ht="12.75" customHeight="1">
      <c r="A44" s="108"/>
      <c r="B44" s="170" t="s">
        <v>252</v>
      </c>
      <c r="C44" s="182"/>
      <c r="D44" s="172">
        <v>0.0</v>
      </c>
      <c r="E44" s="172">
        <v>0.0</v>
      </c>
      <c r="F44" s="172">
        <v>0.0</v>
      </c>
      <c r="G44" s="172">
        <v>0.0</v>
      </c>
      <c r="H44" s="172">
        <v>204.64</v>
      </c>
      <c r="I44" s="172">
        <v>0.0</v>
      </c>
      <c r="J44" s="172">
        <v>0.0</v>
      </c>
      <c r="K44" s="172">
        <v>0.0</v>
      </c>
      <c r="L44" s="172">
        <v>0.0</v>
      </c>
      <c r="M44" s="172">
        <v>644.13</v>
      </c>
      <c r="N44" s="172">
        <v>0.0</v>
      </c>
      <c r="O44" s="172">
        <v>0.0</v>
      </c>
      <c r="P44" s="172">
        <v>0.0</v>
      </c>
      <c r="Q44" s="172">
        <v>0.0</v>
      </c>
      <c r="R44" s="172">
        <v>0.0</v>
      </c>
      <c r="S44" s="172">
        <v>1587.88</v>
      </c>
      <c r="T44" s="172">
        <v>209.71</v>
      </c>
      <c r="U44" s="172">
        <v>285.98</v>
      </c>
      <c r="V44" s="172">
        <v>0.0</v>
      </c>
      <c r="W44" s="172">
        <v>0.0</v>
      </c>
      <c r="X44" s="172">
        <v>0.0</v>
      </c>
      <c r="Y44" s="172">
        <v>0.0</v>
      </c>
      <c r="Z44" s="172">
        <v>0.0</v>
      </c>
      <c r="AA44" s="172">
        <v>0.0</v>
      </c>
      <c r="AB44" s="172">
        <v>0.0</v>
      </c>
      <c r="AC44" s="172">
        <v>0.0</v>
      </c>
      <c r="AD44" s="172">
        <v>0.0</v>
      </c>
      <c r="AE44" s="172">
        <v>0.0</v>
      </c>
      <c r="AF44" s="172">
        <v>214.91</v>
      </c>
      <c r="AG44" s="174">
        <v>131.22</v>
      </c>
      <c r="AH44" s="174">
        <v>279.86</v>
      </c>
      <c r="AI44" s="174">
        <v>0.0</v>
      </c>
      <c r="AJ44" s="174">
        <v>0.0</v>
      </c>
      <c r="AK44" s="174">
        <v>0.0</v>
      </c>
      <c r="AL44" s="174">
        <v>0.0</v>
      </c>
      <c r="AM44" s="174">
        <v>116.0</v>
      </c>
    </row>
    <row r="45" ht="12.75" customHeight="1">
      <c r="A45" s="108"/>
      <c r="B45" s="170" t="s">
        <v>253</v>
      </c>
      <c r="C45" s="171"/>
      <c r="D45" s="172">
        <v>0.0</v>
      </c>
      <c r="E45" s="172">
        <v>0.0</v>
      </c>
      <c r="F45" s="172">
        <v>0.0</v>
      </c>
      <c r="G45" s="172">
        <v>0.0</v>
      </c>
      <c r="H45" s="172">
        <v>0.0</v>
      </c>
      <c r="I45" s="172">
        <v>36.58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2">
        <v>0.0</v>
      </c>
      <c r="Q45" s="172">
        <v>0.0</v>
      </c>
      <c r="R45" s="172">
        <v>0.0</v>
      </c>
      <c r="S45" s="172">
        <v>0.0</v>
      </c>
      <c r="T45" s="172">
        <v>0.0</v>
      </c>
      <c r="U45" s="172">
        <v>0.0</v>
      </c>
      <c r="V45" s="172">
        <v>0.0</v>
      </c>
      <c r="W45" s="172">
        <v>0.0</v>
      </c>
      <c r="X45" s="172">
        <v>0.0</v>
      </c>
      <c r="Y45" s="172">
        <v>0.0</v>
      </c>
      <c r="Z45" s="172">
        <v>0.0</v>
      </c>
      <c r="AA45" s="172">
        <v>0.0</v>
      </c>
      <c r="AB45" s="172">
        <v>0.0</v>
      </c>
      <c r="AC45" s="172">
        <v>0.0</v>
      </c>
      <c r="AD45" s="172">
        <v>0.0</v>
      </c>
      <c r="AE45" s="172">
        <v>0.0</v>
      </c>
      <c r="AF45" s="172">
        <v>0.0</v>
      </c>
      <c r="AG45" s="174">
        <v>0.0</v>
      </c>
      <c r="AH45" s="174">
        <v>0.0</v>
      </c>
      <c r="AI45" s="174">
        <v>0.0</v>
      </c>
      <c r="AJ45" s="174">
        <v>0.0</v>
      </c>
      <c r="AK45" s="174">
        <v>0.0</v>
      </c>
      <c r="AL45" s="174">
        <v>0.0</v>
      </c>
      <c r="AM45" s="174">
        <v>0.0</v>
      </c>
    </row>
    <row r="46" ht="12.75" customHeight="1">
      <c r="A46" s="108"/>
      <c r="B46" s="170" t="s">
        <v>254</v>
      </c>
      <c r="C46" s="174">
        <v>141.6</v>
      </c>
      <c r="D46" s="7">
        <v>141.6</v>
      </c>
      <c r="E46" s="7">
        <v>0.0</v>
      </c>
      <c r="F46" s="7">
        <v>120.0</v>
      </c>
      <c r="G46" s="7">
        <v>0.0</v>
      </c>
      <c r="H46" s="7">
        <v>0.0</v>
      </c>
      <c r="I46" s="7">
        <v>0.0</v>
      </c>
      <c r="J46" s="7">
        <v>520.0</v>
      </c>
      <c r="K46" s="7">
        <v>0.0</v>
      </c>
      <c r="L46" s="7">
        <v>0.0</v>
      </c>
      <c r="M46" s="7">
        <v>120.0</v>
      </c>
      <c r="N46" s="7">
        <v>0.0</v>
      </c>
      <c r="O46" s="7">
        <v>600.0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174">
        <v>0.0</v>
      </c>
      <c r="AH46" s="174">
        <v>0.0</v>
      </c>
      <c r="AI46" s="174">
        <v>0.0</v>
      </c>
      <c r="AJ46" s="174">
        <v>0.0</v>
      </c>
      <c r="AK46" s="174">
        <v>0.0</v>
      </c>
      <c r="AL46" s="174">
        <v>0.0</v>
      </c>
      <c r="AM46" s="174">
        <v>0.0</v>
      </c>
    </row>
    <row r="47" ht="12.75" customHeight="1">
      <c r="A47" s="108"/>
      <c r="B47" s="170" t="s">
        <v>255</v>
      </c>
      <c r="C47" s="171"/>
      <c r="D47" s="172">
        <v>0.0</v>
      </c>
      <c r="E47" s="172">
        <v>0.0</v>
      </c>
      <c r="F47" s="172">
        <v>0.0</v>
      </c>
      <c r="G47" s="172">
        <v>0.0</v>
      </c>
      <c r="H47" s="172">
        <v>0.0</v>
      </c>
      <c r="I47" s="172">
        <v>0.0</v>
      </c>
      <c r="J47" s="172">
        <v>0.0</v>
      </c>
      <c r="K47" s="172">
        <v>0.0</v>
      </c>
      <c r="L47" s="172">
        <v>0.0</v>
      </c>
      <c r="M47" s="172">
        <v>0.0</v>
      </c>
      <c r="N47" s="172">
        <v>0.0</v>
      </c>
      <c r="O47" s="172">
        <v>0.0</v>
      </c>
      <c r="P47" s="172">
        <v>0.0</v>
      </c>
      <c r="Q47" s="172">
        <v>0.0</v>
      </c>
      <c r="R47" s="172">
        <v>0.0</v>
      </c>
      <c r="S47" s="172">
        <v>0.0</v>
      </c>
      <c r="T47" s="172">
        <v>0.0</v>
      </c>
      <c r="U47" s="172">
        <v>0.0</v>
      </c>
      <c r="V47" s="172">
        <v>0.0</v>
      </c>
      <c r="W47" s="172">
        <v>0.0</v>
      </c>
      <c r="X47" s="172">
        <v>0.0</v>
      </c>
      <c r="Y47" s="172">
        <v>0.0</v>
      </c>
      <c r="Z47" s="172">
        <v>0.0</v>
      </c>
      <c r="AA47" s="172">
        <v>0.0</v>
      </c>
      <c r="AB47" s="172">
        <v>0.0</v>
      </c>
      <c r="AC47" s="172">
        <v>0.0</v>
      </c>
      <c r="AD47" s="172">
        <v>0.0</v>
      </c>
      <c r="AE47" s="172">
        <v>0.0</v>
      </c>
      <c r="AF47" s="172">
        <v>0.0</v>
      </c>
      <c r="AG47" s="174">
        <v>0.0</v>
      </c>
      <c r="AH47" s="174">
        <v>0.0</v>
      </c>
      <c r="AI47" s="174">
        <v>0.0</v>
      </c>
      <c r="AJ47" s="174">
        <v>0.0</v>
      </c>
      <c r="AK47" s="174">
        <v>0.0</v>
      </c>
      <c r="AL47" s="174">
        <v>0.0</v>
      </c>
      <c r="AM47" s="174">
        <v>0.0</v>
      </c>
    </row>
    <row r="48" ht="12.75" customHeight="1">
      <c r="A48" s="108"/>
      <c r="B48" s="170" t="s">
        <v>256</v>
      </c>
      <c r="C48" s="174"/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219.22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174">
        <v>0.0</v>
      </c>
      <c r="AH48" s="174">
        <v>1133.31</v>
      </c>
      <c r="AI48" s="174">
        <v>612.15</v>
      </c>
      <c r="AJ48" s="174">
        <v>0.0</v>
      </c>
      <c r="AK48" s="174">
        <v>0.0</v>
      </c>
      <c r="AL48" s="174">
        <v>0.0</v>
      </c>
      <c r="AM48" s="174">
        <v>0.0</v>
      </c>
    </row>
    <row r="49" ht="12.75" customHeight="1">
      <c r="A49" s="108"/>
      <c r="B49" s="170" t="s">
        <v>257</v>
      </c>
      <c r="C49" s="174"/>
      <c r="D49" s="7">
        <v>0.0</v>
      </c>
      <c r="E49" s="7">
        <v>6541.0</v>
      </c>
      <c r="F49" s="7">
        <v>9122.31</v>
      </c>
      <c r="G49" s="7">
        <v>9145.0</v>
      </c>
      <c r="H49" s="7">
        <v>2714.63</v>
      </c>
      <c r="I49" s="7">
        <v>1163.48</v>
      </c>
      <c r="J49" s="7">
        <v>0.0</v>
      </c>
      <c r="K49" s="7">
        <v>0.0</v>
      </c>
      <c r="L49" s="7">
        <v>0.0</v>
      </c>
      <c r="M49" s="7">
        <v>0.0</v>
      </c>
      <c r="N49" s="7">
        <v>0.0</v>
      </c>
      <c r="O49" s="7">
        <v>2430.0</v>
      </c>
      <c r="P49" s="7">
        <v>11093.1</v>
      </c>
      <c r="Q49" s="7">
        <v>9092.8</v>
      </c>
      <c r="R49" s="7">
        <v>5372.5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1622.04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3500.0</v>
      </c>
      <c r="AG49" s="174">
        <v>7025.78</v>
      </c>
      <c r="AH49" s="174">
        <v>0.0</v>
      </c>
      <c r="AI49" s="174">
        <v>234.0</v>
      </c>
      <c r="AJ49" s="174">
        <v>0.0</v>
      </c>
      <c r="AK49" s="174">
        <v>0.0</v>
      </c>
      <c r="AL49" s="174">
        <v>0.0</v>
      </c>
      <c r="AM49" s="174">
        <v>0.0</v>
      </c>
    </row>
    <row r="50" ht="12.75" customHeight="1">
      <c r="A50" s="108"/>
      <c r="B50" s="170" t="s">
        <v>258</v>
      </c>
      <c r="C50" s="174"/>
      <c r="D50" s="7">
        <v>0.0</v>
      </c>
      <c r="E50" s="7">
        <v>0.0</v>
      </c>
      <c r="F50" s="7">
        <v>0.0</v>
      </c>
      <c r="G50" s="7">
        <v>0.0</v>
      </c>
      <c r="H50" s="7">
        <v>0.0</v>
      </c>
      <c r="I50" s="7">
        <v>0.0</v>
      </c>
      <c r="J50" s="7">
        <v>0.0</v>
      </c>
      <c r="K50" s="7">
        <v>0.0</v>
      </c>
      <c r="L50" s="7">
        <v>0.0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174">
        <v>0.0</v>
      </c>
      <c r="AH50" s="174">
        <v>0.0</v>
      </c>
      <c r="AI50" s="174">
        <v>0.0</v>
      </c>
      <c r="AJ50" s="174">
        <v>0.0</v>
      </c>
      <c r="AK50" s="174">
        <v>0.0</v>
      </c>
      <c r="AL50" s="174">
        <v>0.0</v>
      </c>
      <c r="AM50" s="174">
        <v>0.0</v>
      </c>
    </row>
    <row r="51" ht="12.75" customHeight="1">
      <c r="A51" s="108"/>
      <c r="B51" s="170" t="s">
        <v>259</v>
      </c>
      <c r="C51" s="174"/>
      <c r="D51" s="7">
        <v>0.0</v>
      </c>
      <c r="E51" s="7">
        <v>0.0</v>
      </c>
      <c r="F51" s="7">
        <v>0.0</v>
      </c>
      <c r="G51" s="7">
        <v>0.0</v>
      </c>
      <c r="H51" s="7">
        <v>0.0</v>
      </c>
      <c r="I51" s="7">
        <v>0.0</v>
      </c>
      <c r="J51" s="7">
        <v>0.0</v>
      </c>
      <c r="K51" s="7">
        <v>0.0</v>
      </c>
      <c r="L51" s="7">
        <v>0.0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174">
        <v>0.0</v>
      </c>
      <c r="AH51" s="174">
        <v>0.0</v>
      </c>
      <c r="AI51" s="174">
        <v>0.0</v>
      </c>
      <c r="AJ51" s="174">
        <v>0.0</v>
      </c>
      <c r="AK51" s="174">
        <v>0.0</v>
      </c>
      <c r="AL51" s="174">
        <v>0.0</v>
      </c>
      <c r="AM51" s="174">
        <v>0.0</v>
      </c>
    </row>
    <row r="52" ht="12.75" customHeight="1">
      <c r="A52" s="108"/>
      <c r="B52" s="170" t="s">
        <v>260</v>
      </c>
      <c r="C52" s="174"/>
      <c r="D52" s="7">
        <v>0.0</v>
      </c>
      <c r="E52" s="7">
        <v>0.0</v>
      </c>
      <c r="F52" s="7">
        <v>0.0</v>
      </c>
      <c r="G52" s="7">
        <v>0.0</v>
      </c>
      <c r="H52" s="7">
        <v>0.0</v>
      </c>
      <c r="I52" s="7">
        <v>0.0</v>
      </c>
      <c r="J52" s="7">
        <v>0.0</v>
      </c>
      <c r="K52" s="7">
        <v>0.0</v>
      </c>
      <c r="L52" s="7">
        <v>0.0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150.0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174">
        <v>0.0</v>
      </c>
      <c r="AH52" s="174">
        <v>0.0</v>
      </c>
      <c r="AI52" s="174">
        <v>0.0</v>
      </c>
      <c r="AJ52" s="174">
        <v>0.0</v>
      </c>
      <c r="AK52" s="174">
        <v>0.0</v>
      </c>
      <c r="AL52" s="174">
        <v>0.0</v>
      </c>
      <c r="AM52" s="174">
        <v>0.0</v>
      </c>
    </row>
    <row r="53" ht="12.75" customHeight="1">
      <c r="A53" s="108"/>
      <c r="B53" s="170" t="s">
        <v>261</v>
      </c>
      <c r="C53" s="182"/>
      <c r="D53" s="172">
        <v>0.0</v>
      </c>
      <c r="E53" s="172">
        <v>0.0</v>
      </c>
      <c r="F53" s="172">
        <v>0.0</v>
      </c>
      <c r="G53" s="172">
        <v>0.0</v>
      </c>
      <c r="H53" s="172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2">
        <v>0.0</v>
      </c>
      <c r="S53" s="172">
        <v>0.0</v>
      </c>
      <c r="T53" s="172">
        <v>0.0</v>
      </c>
      <c r="U53" s="172">
        <v>0.0</v>
      </c>
      <c r="V53" s="172">
        <v>0.0</v>
      </c>
      <c r="W53" s="172">
        <v>0.0</v>
      </c>
      <c r="X53" s="172">
        <v>0.0</v>
      </c>
      <c r="Y53" s="172">
        <v>0.0</v>
      </c>
      <c r="Z53" s="172">
        <v>0.0</v>
      </c>
      <c r="AA53" s="172">
        <v>0.0</v>
      </c>
      <c r="AB53" s="172">
        <v>0.0</v>
      </c>
      <c r="AC53" s="172">
        <v>0.0</v>
      </c>
      <c r="AD53" s="172">
        <v>0.0</v>
      </c>
      <c r="AE53" s="172">
        <v>235.37</v>
      </c>
      <c r="AF53" s="172">
        <v>0.0</v>
      </c>
      <c r="AG53" s="174">
        <v>0.0</v>
      </c>
      <c r="AH53" s="174">
        <v>0.0</v>
      </c>
      <c r="AI53" s="174">
        <v>0.0</v>
      </c>
      <c r="AJ53" s="174">
        <v>0.0</v>
      </c>
      <c r="AK53" s="174">
        <v>0.0</v>
      </c>
      <c r="AL53" s="174">
        <v>0.0</v>
      </c>
      <c r="AM53" s="174">
        <v>0.0</v>
      </c>
    </row>
    <row r="54" ht="12.75" customHeight="1">
      <c r="A54" s="108"/>
      <c r="B54" s="170" t="s">
        <v>262</v>
      </c>
      <c r="C54" s="174"/>
      <c r="D54" s="7">
        <v>0.0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174">
        <v>0.0</v>
      </c>
      <c r="AH54" s="174">
        <v>0.0</v>
      </c>
      <c r="AI54" s="174">
        <v>0.0</v>
      </c>
      <c r="AJ54" s="174">
        <v>0.0</v>
      </c>
      <c r="AK54" s="174">
        <v>0.0</v>
      </c>
      <c r="AL54" s="174">
        <v>0.0</v>
      </c>
      <c r="AM54" s="174">
        <v>0.0</v>
      </c>
    </row>
    <row r="55" ht="12.75" customHeight="1">
      <c r="A55" s="108"/>
      <c r="B55" s="170" t="s">
        <v>263</v>
      </c>
      <c r="C55" s="174">
        <v>95.0</v>
      </c>
      <c r="D55" s="174">
        <v>95.0</v>
      </c>
      <c r="E55" s="7">
        <v>75.0</v>
      </c>
      <c r="F55" s="7">
        <v>75.0</v>
      </c>
      <c r="G55" s="7">
        <v>75.0</v>
      </c>
      <c r="H55" s="7">
        <v>75.0</v>
      </c>
      <c r="I55" s="7">
        <v>75.0</v>
      </c>
      <c r="J55" s="7">
        <v>75.0</v>
      </c>
      <c r="K55" s="7">
        <v>75.0</v>
      </c>
      <c r="L55" s="7">
        <v>75.0</v>
      </c>
      <c r="M55" s="7">
        <v>75.0</v>
      </c>
      <c r="N55" s="7">
        <v>75.0</v>
      </c>
      <c r="O55" s="7">
        <v>75.0</v>
      </c>
      <c r="P55" s="7">
        <v>75.0</v>
      </c>
      <c r="Q55" s="7">
        <v>75.0</v>
      </c>
      <c r="R55" s="7">
        <v>75.0</v>
      </c>
      <c r="S55" s="7">
        <v>75.0</v>
      </c>
      <c r="T55" s="7">
        <v>75.0</v>
      </c>
      <c r="U55" s="7">
        <v>75.0</v>
      </c>
      <c r="V55" s="7">
        <v>75.0</v>
      </c>
      <c r="W55" s="7">
        <v>75.0</v>
      </c>
      <c r="X55" s="7">
        <v>75.0</v>
      </c>
      <c r="Y55" s="7">
        <v>75.0</v>
      </c>
      <c r="Z55" s="7">
        <v>75.0</v>
      </c>
      <c r="AA55" s="7">
        <v>75.0</v>
      </c>
      <c r="AB55" s="7">
        <v>75.0</v>
      </c>
      <c r="AC55" s="7">
        <v>75.0</v>
      </c>
      <c r="AD55" s="7">
        <v>75.0</v>
      </c>
      <c r="AE55" s="7">
        <v>75.0</v>
      </c>
      <c r="AF55" s="7">
        <v>75.0</v>
      </c>
      <c r="AG55" s="174">
        <v>0.0</v>
      </c>
      <c r="AH55" s="174">
        <v>0.0</v>
      </c>
      <c r="AI55" s="174">
        <v>0.0</v>
      </c>
      <c r="AJ55" s="174">
        <v>0.0</v>
      </c>
      <c r="AK55" s="174">
        <v>0.0</v>
      </c>
      <c r="AL55" s="174">
        <v>0.0</v>
      </c>
      <c r="AM55" s="174">
        <v>0.0</v>
      </c>
    </row>
    <row r="56" ht="12.75" customHeight="1">
      <c r="A56" s="108"/>
      <c r="B56" s="170" t="s">
        <v>173</v>
      </c>
      <c r="C56" s="174"/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9932.73</v>
      </c>
      <c r="J56" s="7">
        <v>0.0</v>
      </c>
      <c r="K56" s="7">
        <v>0.0</v>
      </c>
      <c r="L56" s="7">
        <v>0.0</v>
      </c>
      <c r="M56" s="7">
        <v>0.0</v>
      </c>
      <c r="N56" s="7">
        <v>0.0</v>
      </c>
      <c r="O56" s="7">
        <v>0.0</v>
      </c>
      <c r="P56" s="7">
        <v>0.0</v>
      </c>
      <c r="Q56" s="7">
        <v>0.0</v>
      </c>
      <c r="R56" s="7">
        <v>0.0</v>
      </c>
      <c r="S56" s="7">
        <v>973.0</v>
      </c>
      <c r="T56" s="7">
        <v>0.0</v>
      </c>
      <c r="U56" s="7">
        <v>0.0</v>
      </c>
      <c r="V56" s="7">
        <v>0.0</v>
      </c>
      <c r="W56" s="7">
        <v>0.0</v>
      </c>
      <c r="X56" s="7">
        <v>556.97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174">
        <v>150.25</v>
      </c>
      <c r="AH56" s="174">
        <v>0.0</v>
      </c>
      <c r="AI56" s="174">
        <v>64.32</v>
      </c>
      <c r="AJ56" s="174">
        <v>0.0</v>
      </c>
      <c r="AK56" s="174">
        <v>0.0</v>
      </c>
      <c r="AL56" s="174">
        <v>0.0</v>
      </c>
      <c r="AM56" s="174">
        <v>0.0</v>
      </c>
    </row>
    <row r="57" ht="12.75" customHeight="1">
      <c r="A57" s="108"/>
      <c r="B57" s="177" t="s">
        <v>264</v>
      </c>
      <c r="C57" s="178">
        <f t="shared" ref="C57:AM57" si="2">SUM(C27:C56)</f>
        <v>16387.73</v>
      </c>
      <c r="D57" s="183">
        <f t="shared" si="2"/>
        <v>48571.44</v>
      </c>
      <c r="E57" s="183">
        <f t="shared" si="2"/>
        <v>13523.46</v>
      </c>
      <c r="F57" s="183">
        <f t="shared" si="2"/>
        <v>25999.1</v>
      </c>
      <c r="G57" s="183">
        <f t="shared" si="2"/>
        <v>65495.77</v>
      </c>
      <c r="H57" s="183">
        <f t="shared" si="2"/>
        <v>17235.42</v>
      </c>
      <c r="I57" s="183">
        <f t="shared" si="2"/>
        <v>26284.84</v>
      </c>
      <c r="J57" s="183">
        <f t="shared" si="2"/>
        <v>79853.75</v>
      </c>
      <c r="K57" s="183">
        <f t="shared" si="2"/>
        <v>24483.11</v>
      </c>
      <c r="L57" s="183">
        <f t="shared" si="2"/>
        <v>9379.64</v>
      </c>
      <c r="M57" s="183">
        <f t="shared" si="2"/>
        <v>76278.91</v>
      </c>
      <c r="N57" s="183">
        <f t="shared" si="2"/>
        <v>20575.17</v>
      </c>
      <c r="O57" s="183">
        <f t="shared" si="2"/>
        <v>6824.39</v>
      </c>
      <c r="P57" s="183">
        <f t="shared" si="2"/>
        <v>39765.81</v>
      </c>
      <c r="Q57" s="183">
        <f t="shared" si="2"/>
        <v>26989.58</v>
      </c>
      <c r="R57" s="183">
        <f t="shared" si="2"/>
        <v>10839.53</v>
      </c>
      <c r="S57" s="183">
        <f t="shared" si="2"/>
        <v>54714.11</v>
      </c>
      <c r="T57" s="183">
        <f t="shared" si="2"/>
        <v>15822.95</v>
      </c>
      <c r="U57" s="183">
        <f t="shared" si="2"/>
        <v>12655.9</v>
      </c>
      <c r="V57" s="183">
        <f t="shared" si="2"/>
        <v>35824.13</v>
      </c>
      <c r="W57" s="183">
        <f t="shared" si="2"/>
        <v>7435.17</v>
      </c>
      <c r="X57" s="183">
        <f t="shared" si="2"/>
        <v>8867.45</v>
      </c>
      <c r="Y57" s="183">
        <f t="shared" si="2"/>
        <v>42574.12</v>
      </c>
      <c r="Z57" s="183">
        <f t="shared" si="2"/>
        <v>6152.37</v>
      </c>
      <c r="AA57" s="183">
        <f t="shared" si="2"/>
        <v>12661.07</v>
      </c>
      <c r="AB57" s="183">
        <f t="shared" si="2"/>
        <v>34446.52</v>
      </c>
      <c r="AC57" s="183">
        <f t="shared" si="2"/>
        <v>10636.24</v>
      </c>
      <c r="AD57" s="183">
        <f t="shared" si="2"/>
        <v>13417.78</v>
      </c>
      <c r="AE57" s="183">
        <f t="shared" si="2"/>
        <v>35966.62</v>
      </c>
      <c r="AF57" s="183">
        <f t="shared" si="2"/>
        <v>10935.55</v>
      </c>
      <c r="AG57" s="183">
        <f t="shared" si="2"/>
        <v>15060.24</v>
      </c>
      <c r="AH57" s="183">
        <f t="shared" si="2"/>
        <v>37754.65</v>
      </c>
      <c r="AI57" s="183">
        <f t="shared" si="2"/>
        <v>8647.32</v>
      </c>
      <c r="AJ57" s="183">
        <f t="shared" si="2"/>
        <v>6121.38</v>
      </c>
      <c r="AK57" s="183">
        <f t="shared" si="2"/>
        <v>3286.29</v>
      </c>
      <c r="AL57" s="183">
        <f t="shared" si="2"/>
        <v>2386.12</v>
      </c>
      <c r="AM57" s="183">
        <f t="shared" si="2"/>
        <v>12849.49</v>
      </c>
    </row>
    <row r="58" ht="12.75" customHeight="1">
      <c r="A58" s="108"/>
      <c r="B58" s="177" t="s">
        <v>265</v>
      </c>
      <c r="C58" s="178">
        <f t="shared" ref="C58:AM58" si="3">C25+C57</f>
        <v>64256.57</v>
      </c>
      <c r="D58" s="183">
        <f t="shared" si="3"/>
        <v>116623</v>
      </c>
      <c r="E58" s="183">
        <f t="shared" si="3"/>
        <v>63368.11</v>
      </c>
      <c r="F58" s="183">
        <f t="shared" si="3"/>
        <v>74841.37</v>
      </c>
      <c r="G58" s="183">
        <f t="shared" si="3"/>
        <v>102509.52</v>
      </c>
      <c r="H58" s="183">
        <f t="shared" si="3"/>
        <v>68324.18</v>
      </c>
      <c r="I58" s="183">
        <f t="shared" si="3"/>
        <v>75107.31</v>
      </c>
      <c r="J58" s="183">
        <f t="shared" si="3"/>
        <v>146561.45</v>
      </c>
      <c r="K58" s="183">
        <f t="shared" si="3"/>
        <v>71010.57</v>
      </c>
      <c r="L58" s="183">
        <f t="shared" si="3"/>
        <v>60508.26</v>
      </c>
      <c r="M58" s="183">
        <f t="shared" si="3"/>
        <v>124237.73</v>
      </c>
      <c r="N58" s="183">
        <f t="shared" si="3"/>
        <v>65480.72</v>
      </c>
      <c r="O58" s="183">
        <f t="shared" si="3"/>
        <v>76659.76</v>
      </c>
      <c r="P58" s="183">
        <f t="shared" si="3"/>
        <v>85314.11</v>
      </c>
      <c r="Q58" s="183">
        <f t="shared" si="3"/>
        <v>73469.34</v>
      </c>
      <c r="R58" s="183">
        <f t="shared" si="3"/>
        <v>54435.74</v>
      </c>
      <c r="S58" s="183">
        <f t="shared" si="3"/>
        <v>97872.89</v>
      </c>
      <c r="T58" s="183">
        <f t="shared" si="3"/>
        <v>54956.81</v>
      </c>
      <c r="U58" s="183">
        <f t="shared" si="3"/>
        <v>52104.05</v>
      </c>
      <c r="V58" s="183">
        <f t="shared" si="3"/>
        <v>97131.64</v>
      </c>
      <c r="W58" s="183">
        <f t="shared" si="3"/>
        <v>48243.6</v>
      </c>
      <c r="X58" s="183">
        <f t="shared" si="3"/>
        <v>48433.54</v>
      </c>
      <c r="Y58" s="183">
        <f t="shared" si="3"/>
        <v>94422.09</v>
      </c>
      <c r="Z58" s="183">
        <f t="shared" si="3"/>
        <v>47597.55</v>
      </c>
      <c r="AA58" s="183">
        <f t="shared" si="3"/>
        <v>72014.27</v>
      </c>
      <c r="AB58" s="183">
        <f t="shared" si="3"/>
        <v>73921.98</v>
      </c>
      <c r="AC58" s="183">
        <f t="shared" si="3"/>
        <v>50641.77</v>
      </c>
      <c r="AD58" s="183">
        <f t="shared" si="3"/>
        <v>56387.53</v>
      </c>
      <c r="AE58" s="183">
        <f t="shared" si="3"/>
        <v>78117.65</v>
      </c>
      <c r="AF58" s="183">
        <f t="shared" si="3"/>
        <v>52185.29</v>
      </c>
      <c r="AG58" s="183">
        <f t="shared" si="3"/>
        <v>59092.61</v>
      </c>
      <c r="AH58" s="183">
        <f t="shared" si="3"/>
        <v>103004.89</v>
      </c>
      <c r="AI58" s="183">
        <f t="shared" si="3"/>
        <v>52841.38</v>
      </c>
      <c r="AJ58" s="183">
        <f t="shared" si="3"/>
        <v>47439.77</v>
      </c>
      <c r="AK58" s="183">
        <f t="shared" si="3"/>
        <v>26477.09</v>
      </c>
      <c r="AL58" s="183">
        <f t="shared" si="3"/>
        <v>68805.72</v>
      </c>
      <c r="AM58" s="183">
        <f t="shared" si="3"/>
        <v>50117.6</v>
      </c>
    </row>
    <row r="59">
      <c r="A59" s="108"/>
      <c r="B59" s="168" t="s">
        <v>266</v>
      </c>
      <c r="C59" s="169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</row>
    <row r="60" ht="12.75" customHeight="1">
      <c r="A60" s="108"/>
      <c r="B60" s="177" t="s">
        <v>267</v>
      </c>
      <c r="C60" s="178">
        <v>4673.85</v>
      </c>
      <c r="D60" s="183">
        <v>5659.35</v>
      </c>
      <c r="E60" s="183">
        <v>4168.05</v>
      </c>
      <c r="F60" s="183">
        <v>4273.35</v>
      </c>
      <c r="G60" s="183">
        <v>5437.35</v>
      </c>
      <c r="H60" s="183">
        <v>5315.25</v>
      </c>
      <c r="I60" s="183">
        <v>3287.55</v>
      </c>
      <c r="J60" s="183">
        <v>7556.85</v>
      </c>
      <c r="K60" s="183">
        <v>8179.35</v>
      </c>
      <c r="L60" s="183">
        <v>67449.31</v>
      </c>
      <c r="M60" s="183">
        <v>68467.66</v>
      </c>
      <c r="N60" s="183">
        <v>4743.0</v>
      </c>
      <c r="O60" s="183">
        <v>4016.25</v>
      </c>
      <c r="P60" s="183">
        <v>8555.21</v>
      </c>
      <c r="Q60" s="183">
        <v>4971.15</v>
      </c>
      <c r="R60" s="183">
        <v>4384.95</v>
      </c>
      <c r="S60" s="183">
        <v>6078.0</v>
      </c>
      <c r="T60" s="183">
        <v>5137.63</v>
      </c>
      <c r="U60" s="183">
        <v>6078.15</v>
      </c>
      <c r="V60" s="183">
        <v>5161.8</v>
      </c>
      <c r="W60" s="183">
        <v>7556.25</v>
      </c>
      <c r="X60" s="183">
        <v>7816.75</v>
      </c>
      <c r="Y60" s="183">
        <v>4673.25</v>
      </c>
      <c r="Z60" s="183">
        <v>3668.85</v>
      </c>
      <c r="AA60" s="183">
        <v>6867.71</v>
      </c>
      <c r="AB60" s="183">
        <v>6829.14</v>
      </c>
      <c r="AC60" s="183">
        <v>5072.1</v>
      </c>
      <c r="AD60" s="183">
        <v>5448.03</v>
      </c>
      <c r="AE60" s="183">
        <v>4533.75</v>
      </c>
      <c r="AF60" s="183">
        <v>6888.52</v>
      </c>
      <c r="AG60" s="183">
        <v>7331.71</v>
      </c>
      <c r="AH60" s="183">
        <v>5320.35</v>
      </c>
      <c r="AI60" s="183">
        <v>7745.6</v>
      </c>
      <c r="AJ60" s="183">
        <v>8968.96</v>
      </c>
      <c r="AK60" s="183">
        <v>7768.9</v>
      </c>
      <c r="AL60" s="183">
        <v>0.0</v>
      </c>
      <c r="AM60" s="183">
        <v>2458.1</v>
      </c>
    </row>
    <row r="61" ht="12.75" customHeight="1">
      <c r="A61" s="108"/>
      <c r="B61" s="177" t="s">
        <v>268</v>
      </c>
      <c r="C61" s="178">
        <v>235271.63</v>
      </c>
      <c r="D61" s="183">
        <v>202095.77</v>
      </c>
      <c r="E61" s="183">
        <v>156788.16</v>
      </c>
      <c r="F61" s="183">
        <v>170461.69</v>
      </c>
      <c r="G61" s="183">
        <v>103826.28</v>
      </c>
      <c r="H61" s="183">
        <v>135330.36</v>
      </c>
      <c r="I61" s="183">
        <v>142569.05</v>
      </c>
      <c r="J61" s="183">
        <v>89618.57</v>
      </c>
      <c r="K61" s="183">
        <v>134699.68</v>
      </c>
      <c r="L61" s="183">
        <v>62543.6</v>
      </c>
      <c r="M61" s="183">
        <v>6137.23</v>
      </c>
      <c r="N61" s="183">
        <v>118487.54</v>
      </c>
      <c r="O61" s="183">
        <v>121907.06</v>
      </c>
      <c r="P61" s="183">
        <v>145642.78</v>
      </c>
      <c r="Q61" s="183">
        <v>71566.3</v>
      </c>
      <c r="R61" s="183">
        <v>56441.63</v>
      </c>
      <c r="S61" s="183">
        <v>65087.82</v>
      </c>
      <c r="T61" s="183">
        <v>73974.14</v>
      </c>
      <c r="U61" s="183">
        <v>68869.5</v>
      </c>
      <c r="V61" s="183">
        <v>84367.07</v>
      </c>
      <c r="W61" s="183">
        <v>52128.42</v>
      </c>
      <c r="X61" s="183">
        <v>87433.03</v>
      </c>
      <c r="Y61" s="183">
        <v>91215.0</v>
      </c>
      <c r="Z61" s="183">
        <v>82355.62</v>
      </c>
      <c r="AA61" s="183">
        <v>106197.69</v>
      </c>
      <c r="AB61" s="183">
        <v>120064.44</v>
      </c>
      <c r="AC61" s="183">
        <v>59570.88</v>
      </c>
      <c r="AD61" s="183">
        <v>106146.23</v>
      </c>
      <c r="AE61" s="183">
        <v>72075.81</v>
      </c>
      <c r="AF61" s="183">
        <v>85607.53</v>
      </c>
      <c r="AG61" s="183">
        <v>112317.64</v>
      </c>
      <c r="AH61" s="183">
        <v>79898.16</v>
      </c>
      <c r="AI61" s="183">
        <v>76095.0</v>
      </c>
      <c r="AJ61" s="183">
        <v>117483.59</v>
      </c>
      <c r="AK61" s="183">
        <v>70418.3</v>
      </c>
      <c r="AL61" s="183">
        <v>47692.77</v>
      </c>
      <c r="AM61" s="183">
        <v>155642.3</v>
      </c>
    </row>
    <row r="62" ht="12.75" customHeight="1">
      <c r="A62" s="108"/>
      <c r="B62" s="185" t="s">
        <v>269</v>
      </c>
      <c r="C62" s="186">
        <f t="shared" ref="C62:AM62" si="4">C58+C60+C61</f>
        <v>304202.05</v>
      </c>
      <c r="D62" s="186">
        <f t="shared" si="4"/>
        <v>324378.12</v>
      </c>
      <c r="E62" s="186">
        <f t="shared" si="4"/>
        <v>224324.32</v>
      </c>
      <c r="F62" s="186">
        <f t="shared" si="4"/>
        <v>249576.41</v>
      </c>
      <c r="G62" s="186">
        <f t="shared" si="4"/>
        <v>211773.15</v>
      </c>
      <c r="H62" s="186">
        <f t="shared" si="4"/>
        <v>208969.79</v>
      </c>
      <c r="I62" s="186">
        <f t="shared" si="4"/>
        <v>220963.91</v>
      </c>
      <c r="J62" s="186">
        <f t="shared" si="4"/>
        <v>243736.87</v>
      </c>
      <c r="K62" s="186">
        <f t="shared" si="4"/>
        <v>213889.6</v>
      </c>
      <c r="L62" s="186">
        <f t="shared" si="4"/>
        <v>190501.17</v>
      </c>
      <c r="M62" s="186">
        <f t="shared" si="4"/>
        <v>198842.62</v>
      </c>
      <c r="N62" s="186">
        <f t="shared" si="4"/>
        <v>188711.26</v>
      </c>
      <c r="O62" s="186">
        <f t="shared" si="4"/>
        <v>202583.07</v>
      </c>
      <c r="P62" s="186">
        <f t="shared" si="4"/>
        <v>239512.1</v>
      </c>
      <c r="Q62" s="186">
        <f t="shared" si="4"/>
        <v>150006.79</v>
      </c>
      <c r="R62" s="186">
        <f t="shared" si="4"/>
        <v>115262.32</v>
      </c>
      <c r="S62" s="186">
        <f t="shared" si="4"/>
        <v>169038.71</v>
      </c>
      <c r="T62" s="186">
        <f t="shared" si="4"/>
        <v>134068.58</v>
      </c>
      <c r="U62" s="186">
        <f t="shared" si="4"/>
        <v>127051.7</v>
      </c>
      <c r="V62" s="186">
        <f t="shared" si="4"/>
        <v>186660.51</v>
      </c>
      <c r="W62" s="186">
        <f t="shared" si="4"/>
        <v>107928.27</v>
      </c>
      <c r="X62" s="186">
        <f t="shared" si="4"/>
        <v>143683.32</v>
      </c>
      <c r="Y62" s="186">
        <f t="shared" si="4"/>
        <v>190310.34</v>
      </c>
      <c r="Z62" s="186">
        <f t="shared" si="4"/>
        <v>133622.02</v>
      </c>
      <c r="AA62" s="186">
        <f t="shared" si="4"/>
        <v>185079.67</v>
      </c>
      <c r="AB62" s="186">
        <f t="shared" si="4"/>
        <v>200815.56</v>
      </c>
      <c r="AC62" s="186">
        <f t="shared" si="4"/>
        <v>115284.75</v>
      </c>
      <c r="AD62" s="186">
        <f t="shared" si="4"/>
        <v>167981.79</v>
      </c>
      <c r="AE62" s="186">
        <f t="shared" si="4"/>
        <v>154727.21</v>
      </c>
      <c r="AF62" s="186">
        <f t="shared" si="4"/>
        <v>144681.34</v>
      </c>
      <c r="AG62" s="186">
        <f t="shared" si="4"/>
        <v>178741.96</v>
      </c>
      <c r="AH62" s="186">
        <f t="shared" si="4"/>
        <v>188223.4</v>
      </c>
      <c r="AI62" s="186">
        <f t="shared" si="4"/>
        <v>136681.98</v>
      </c>
      <c r="AJ62" s="186">
        <f t="shared" si="4"/>
        <v>173892.32</v>
      </c>
      <c r="AK62" s="186">
        <f t="shared" si="4"/>
        <v>104664.29</v>
      </c>
      <c r="AL62" s="186">
        <f t="shared" si="4"/>
        <v>116498.49</v>
      </c>
      <c r="AM62" s="186">
        <f t="shared" si="4"/>
        <v>208218</v>
      </c>
    </row>
    <row r="63">
      <c r="A63" s="108"/>
      <c r="B63" s="187" t="s">
        <v>270</v>
      </c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</row>
    <row r="64" ht="12.75" customHeight="1">
      <c r="A64" s="108"/>
      <c r="B64" s="188" t="s">
        <v>271</v>
      </c>
      <c r="C64" s="180">
        <v>246408.55</v>
      </c>
      <c r="D64" s="172">
        <v>266407.49</v>
      </c>
      <c r="E64" s="172">
        <v>302632.3</v>
      </c>
      <c r="F64" s="172">
        <v>285519.34</v>
      </c>
      <c r="G64" s="172">
        <v>202673.11</v>
      </c>
      <c r="H64" s="172">
        <v>210448.96</v>
      </c>
      <c r="I64" s="172">
        <v>212183.08</v>
      </c>
      <c r="J64" s="172">
        <v>220910.66</v>
      </c>
      <c r="K64" s="172">
        <v>187749.01</v>
      </c>
      <c r="L64" s="172">
        <v>182951.99</v>
      </c>
      <c r="M64" s="172">
        <v>136243.02</v>
      </c>
      <c r="N64" s="172">
        <v>115790.17</v>
      </c>
      <c r="O64" s="172">
        <v>131024.71</v>
      </c>
      <c r="P64" s="172">
        <v>103434.77</v>
      </c>
      <c r="Q64" s="172">
        <v>106259.89</v>
      </c>
      <c r="R64" s="172">
        <v>131569.41</v>
      </c>
      <c r="S64" s="172">
        <v>89647.91</v>
      </c>
      <c r="T64" s="172">
        <v>85028.63</v>
      </c>
      <c r="U64" s="172">
        <v>78400.4</v>
      </c>
      <c r="V64" s="172">
        <v>100835.83</v>
      </c>
      <c r="W64" s="172">
        <v>94618.52</v>
      </c>
      <c r="X64" s="172">
        <v>71884.66</v>
      </c>
      <c r="Y64" s="172">
        <v>67002.56</v>
      </c>
      <c r="Z64" s="172">
        <v>110868.49</v>
      </c>
      <c r="AA64" s="172">
        <v>78160.51</v>
      </c>
      <c r="AB64" s="172">
        <v>88976.17</v>
      </c>
      <c r="AC64" s="172">
        <v>91594.75</v>
      </c>
      <c r="AD64" s="172">
        <v>132971.56</v>
      </c>
      <c r="AE64" s="172">
        <v>149744.77</v>
      </c>
      <c r="AF64" s="172">
        <v>98910.43</v>
      </c>
      <c r="AG64" s="172">
        <v>189351.81</v>
      </c>
      <c r="AH64" s="172">
        <v>69202.53</v>
      </c>
      <c r="AI64" s="172">
        <v>132613.0</v>
      </c>
      <c r="AJ64" s="172">
        <v>98555.52</v>
      </c>
      <c r="AK64" s="172">
        <v>90311.27</v>
      </c>
      <c r="AL64" s="172">
        <v>103188.38</v>
      </c>
      <c r="AM64" s="172">
        <v>120548.81</v>
      </c>
    </row>
    <row r="65" ht="12.75" customHeight="1">
      <c r="A65" s="108"/>
      <c r="B65" s="188" t="s">
        <v>272</v>
      </c>
      <c r="C65" s="171">
        <v>17973.0</v>
      </c>
      <c r="D65" s="172">
        <v>0.0</v>
      </c>
      <c r="E65" s="172">
        <v>0.0</v>
      </c>
      <c r="F65" s="172">
        <v>49372.78</v>
      </c>
      <c r="G65" s="172">
        <v>22670.8</v>
      </c>
      <c r="H65" s="172">
        <v>21304.0</v>
      </c>
      <c r="I65" s="172">
        <v>21997.56</v>
      </c>
      <c r="J65" s="172">
        <v>34477.29</v>
      </c>
      <c r="K65" s="172">
        <v>19162.89</v>
      </c>
      <c r="L65" s="172">
        <v>22713.0</v>
      </c>
      <c r="M65" s="172">
        <v>44833.0</v>
      </c>
      <c r="N65" s="172">
        <v>59726.0</v>
      </c>
      <c r="O65" s="172">
        <v>90391.0</v>
      </c>
      <c r="P65" s="172">
        <v>74359.0</v>
      </c>
      <c r="Q65" s="172">
        <v>61892.0</v>
      </c>
      <c r="R65" s="172">
        <v>57953.0</v>
      </c>
      <c r="S65" s="172">
        <v>58586.97</v>
      </c>
      <c r="T65" s="172">
        <v>67190.0</v>
      </c>
      <c r="U65" s="172">
        <v>69332.0</v>
      </c>
      <c r="V65" s="172">
        <v>58225.77</v>
      </c>
      <c r="W65" s="172">
        <v>66196.0</v>
      </c>
      <c r="X65" s="172">
        <v>71540.0</v>
      </c>
      <c r="Y65" s="172">
        <v>77324.0</v>
      </c>
      <c r="Z65" s="172">
        <v>59737.38</v>
      </c>
      <c r="AA65" s="172">
        <v>78202.3</v>
      </c>
      <c r="AB65" s="172">
        <v>76266.05</v>
      </c>
      <c r="AC65" s="172">
        <v>73428.9</v>
      </c>
      <c r="AD65" s="172">
        <v>60000.0</v>
      </c>
      <c r="AE65" s="172">
        <v>72840.0</v>
      </c>
      <c r="AF65" s="172">
        <v>71320.0</v>
      </c>
      <c r="AG65" s="172">
        <v>65000.0</v>
      </c>
      <c r="AH65" s="172">
        <v>65000.0</v>
      </c>
      <c r="AI65" s="172">
        <v>75000.0</v>
      </c>
      <c r="AJ65" s="172">
        <v>75000.0</v>
      </c>
      <c r="AK65" s="172">
        <v>65000.0</v>
      </c>
      <c r="AL65" s="172">
        <v>59435.0</v>
      </c>
      <c r="AM65" s="172">
        <v>70000.0</v>
      </c>
    </row>
    <row r="66" ht="12.75" customHeight="1">
      <c r="A66" s="108"/>
      <c r="B66" s="188" t="s">
        <v>273</v>
      </c>
      <c r="C66" s="171"/>
      <c r="D66" s="172">
        <v>0.0</v>
      </c>
      <c r="E66" s="172">
        <v>0.0</v>
      </c>
      <c r="F66" s="172">
        <v>0.0</v>
      </c>
      <c r="G66" s="172">
        <v>1056.32</v>
      </c>
      <c r="H66" s="172">
        <v>0.0</v>
      </c>
      <c r="I66" s="172">
        <v>0.0</v>
      </c>
      <c r="J66" s="172">
        <v>0.0</v>
      </c>
      <c r="K66" s="172">
        <v>0.0</v>
      </c>
      <c r="L66" s="172">
        <v>0.0</v>
      </c>
      <c r="M66" s="172">
        <v>3710.49</v>
      </c>
      <c r="N66" s="172">
        <v>253.53</v>
      </c>
      <c r="O66" s="172">
        <v>0.0</v>
      </c>
      <c r="P66" s="172">
        <v>0.0</v>
      </c>
      <c r="Q66" s="172">
        <v>0.0</v>
      </c>
      <c r="R66" s="172">
        <v>0.0</v>
      </c>
      <c r="S66" s="172">
        <v>0.0</v>
      </c>
      <c r="T66" s="172">
        <v>0.0</v>
      </c>
      <c r="U66" s="172">
        <v>0.0</v>
      </c>
      <c r="V66" s="172">
        <v>0.0</v>
      </c>
      <c r="W66" s="172">
        <v>0.0</v>
      </c>
      <c r="X66" s="172">
        <v>0.0</v>
      </c>
      <c r="Y66" s="172">
        <v>0.0</v>
      </c>
      <c r="Z66" s="172">
        <v>0.0</v>
      </c>
      <c r="AA66" s="172">
        <v>0.0</v>
      </c>
      <c r="AB66" s="172">
        <v>0.0</v>
      </c>
      <c r="AC66" s="172">
        <v>0.0</v>
      </c>
      <c r="AD66" s="172">
        <v>0.0</v>
      </c>
      <c r="AE66" s="172">
        <v>0.0</v>
      </c>
      <c r="AF66" s="172">
        <v>0.0</v>
      </c>
      <c r="AG66" s="172">
        <v>0.0</v>
      </c>
      <c r="AH66" s="172">
        <v>0.0</v>
      </c>
      <c r="AI66" s="172">
        <v>0.0</v>
      </c>
      <c r="AJ66" s="172">
        <v>0.0</v>
      </c>
      <c r="AK66" s="172">
        <v>0.0</v>
      </c>
      <c r="AL66" s="172">
        <v>0.0</v>
      </c>
      <c r="AM66" s="172">
        <v>0.0</v>
      </c>
    </row>
    <row r="67" ht="12.75" customHeight="1">
      <c r="A67" s="108"/>
      <c r="B67" s="188"/>
      <c r="C67" s="171">
        <v>0.0</v>
      </c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</row>
    <row r="68" ht="12.75" customHeight="1">
      <c r="A68" s="108"/>
      <c r="B68" s="188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</row>
    <row r="69" ht="12.75" customHeight="1">
      <c r="A69" s="108"/>
      <c r="B69" s="189" t="s">
        <v>274</v>
      </c>
      <c r="C69" s="178">
        <f t="shared" ref="C69:AM69" si="5">SUM(C64:C68)</f>
        <v>264381.55</v>
      </c>
      <c r="D69" s="178">
        <f t="shared" si="5"/>
        <v>266407.49</v>
      </c>
      <c r="E69" s="178">
        <f t="shared" si="5"/>
        <v>302632.3</v>
      </c>
      <c r="F69" s="178">
        <f t="shared" si="5"/>
        <v>334892.12</v>
      </c>
      <c r="G69" s="178">
        <f t="shared" si="5"/>
        <v>226400.23</v>
      </c>
      <c r="H69" s="178">
        <f t="shared" si="5"/>
        <v>231752.96</v>
      </c>
      <c r="I69" s="178">
        <f t="shared" si="5"/>
        <v>234180.64</v>
      </c>
      <c r="J69" s="178">
        <f t="shared" si="5"/>
        <v>255387.95</v>
      </c>
      <c r="K69" s="178">
        <f t="shared" si="5"/>
        <v>206911.9</v>
      </c>
      <c r="L69" s="178">
        <f t="shared" si="5"/>
        <v>205664.99</v>
      </c>
      <c r="M69" s="178">
        <f t="shared" si="5"/>
        <v>184786.51</v>
      </c>
      <c r="N69" s="178">
        <f t="shared" si="5"/>
        <v>175769.7</v>
      </c>
      <c r="O69" s="178">
        <f t="shared" si="5"/>
        <v>221415.71</v>
      </c>
      <c r="P69" s="178">
        <f t="shared" si="5"/>
        <v>177793.77</v>
      </c>
      <c r="Q69" s="178">
        <f t="shared" si="5"/>
        <v>168151.89</v>
      </c>
      <c r="R69" s="178">
        <f t="shared" si="5"/>
        <v>189522.41</v>
      </c>
      <c r="S69" s="178">
        <f t="shared" si="5"/>
        <v>148234.88</v>
      </c>
      <c r="T69" s="178">
        <f t="shared" si="5"/>
        <v>152218.63</v>
      </c>
      <c r="U69" s="178">
        <f t="shared" si="5"/>
        <v>147732.4</v>
      </c>
      <c r="V69" s="178">
        <f t="shared" si="5"/>
        <v>159061.6</v>
      </c>
      <c r="W69" s="178">
        <f t="shared" si="5"/>
        <v>160814.52</v>
      </c>
      <c r="X69" s="178">
        <f t="shared" si="5"/>
        <v>143424.66</v>
      </c>
      <c r="Y69" s="178">
        <f t="shared" si="5"/>
        <v>144326.56</v>
      </c>
      <c r="Z69" s="178">
        <f t="shared" si="5"/>
        <v>170605.87</v>
      </c>
      <c r="AA69" s="178">
        <f t="shared" si="5"/>
        <v>156362.81</v>
      </c>
      <c r="AB69" s="178">
        <f t="shared" si="5"/>
        <v>165242.22</v>
      </c>
      <c r="AC69" s="178">
        <f t="shared" si="5"/>
        <v>165023.65</v>
      </c>
      <c r="AD69" s="178">
        <f t="shared" si="5"/>
        <v>192971.56</v>
      </c>
      <c r="AE69" s="178">
        <f t="shared" si="5"/>
        <v>222584.77</v>
      </c>
      <c r="AF69" s="178">
        <f t="shared" si="5"/>
        <v>170230.43</v>
      </c>
      <c r="AG69" s="178">
        <f t="shared" si="5"/>
        <v>254351.81</v>
      </c>
      <c r="AH69" s="178">
        <f t="shared" si="5"/>
        <v>134202.53</v>
      </c>
      <c r="AI69" s="178">
        <f t="shared" si="5"/>
        <v>207613</v>
      </c>
      <c r="AJ69" s="178">
        <f t="shared" si="5"/>
        <v>173555.52</v>
      </c>
      <c r="AK69" s="178">
        <f t="shared" si="5"/>
        <v>155311.27</v>
      </c>
      <c r="AL69" s="178">
        <f t="shared" si="5"/>
        <v>162623.38</v>
      </c>
      <c r="AM69" s="178">
        <f t="shared" si="5"/>
        <v>190548.81</v>
      </c>
    </row>
    <row r="70" ht="12.75" customHeight="1">
      <c r="A70" s="108"/>
      <c r="B70" s="190" t="s">
        <v>275</v>
      </c>
      <c r="C70" s="186">
        <f t="shared" ref="C70:AM70" si="6">-C62+C69</f>
        <v>-39820.5</v>
      </c>
      <c r="D70" s="186">
        <f t="shared" si="6"/>
        <v>-57970.63</v>
      </c>
      <c r="E70" s="186">
        <f t="shared" si="6"/>
        <v>78307.98</v>
      </c>
      <c r="F70" s="186">
        <f t="shared" si="6"/>
        <v>85315.71</v>
      </c>
      <c r="G70" s="186">
        <f t="shared" si="6"/>
        <v>14627.08</v>
      </c>
      <c r="H70" s="186">
        <f t="shared" si="6"/>
        <v>22783.17</v>
      </c>
      <c r="I70" s="186">
        <f t="shared" si="6"/>
        <v>13216.73</v>
      </c>
      <c r="J70" s="186">
        <f t="shared" si="6"/>
        <v>11651.08</v>
      </c>
      <c r="K70" s="186">
        <f t="shared" si="6"/>
        <v>-6977.7</v>
      </c>
      <c r="L70" s="186">
        <f t="shared" si="6"/>
        <v>15163.82</v>
      </c>
      <c r="M70" s="186">
        <f t="shared" si="6"/>
        <v>-14056.11</v>
      </c>
      <c r="N70" s="186">
        <f t="shared" si="6"/>
        <v>-12941.56</v>
      </c>
      <c r="O70" s="186">
        <f t="shared" si="6"/>
        <v>18832.64</v>
      </c>
      <c r="P70" s="186">
        <f t="shared" si="6"/>
        <v>-61718.33</v>
      </c>
      <c r="Q70" s="186">
        <f t="shared" si="6"/>
        <v>18145.1</v>
      </c>
      <c r="R70" s="186">
        <f t="shared" si="6"/>
        <v>74260.09</v>
      </c>
      <c r="S70" s="186">
        <f t="shared" si="6"/>
        <v>-20803.83</v>
      </c>
      <c r="T70" s="186">
        <f t="shared" si="6"/>
        <v>18150.05</v>
      </c>
      <c r="U70" s="186">
        <f t="shared" si="6"/>
        <v>20680.7</v>
      </c>
      <c r="V70" s="186">
        <f t="shared" si="6"/>
        <v>-27598.91</v>
      </c>
      <c r="W70" s="186">
        <f t="shared" si="6"/>
        <v>52886.25</v>
      </c>
      <c r="X70" s="186">
        <f t="shared" si="6"/>
        <v>-258.66</v>
      </c>
      <c r="Y70" s="186">
        <f t="shared" si="6"/>
        <v>-45983.78</v>
      </c>
      <c r="Z70" s="186">
        <f t="shared" si="6"/>
        <v>36983.85</v>
      </c>
      <c r="AA70" s="186">
        <f t="shared" si="6"/>
        <v>-28716.86</v>
      </c>
      <c r="AB70" s="186">
        <f t="shared" si="6"/>
        <v>-35573.34</v>
      </c>
      <c r="AC70" s="186">
        <f t="shared" si="6"/>
        <v>49738.9</v>
      </c>
      <c r="AD70" s="186">
        <f t="shared" si="6"/>
        <v>24989.77</v>
      </c>
      <c r="AE70" s="186">
        <f t="shared" si="6"/>
        <v>67857.56</v>
      </c>
      <c r="AF70" s="186">
        <f t="shared" si="6"/>
        <v>25549.09</v>
      </c>
      <c r="AG70" s="186">
        <f t="shared" si="6"/>
        <v>75609.85</v>
      </c>
      <c r="AH70" s="186">
        <f t="shared" si="6"/>
        <v>-54020.87</v>
      </c>
      <c r="AI70" s="186">
        <f t="shared" si="6"/>
        <v>70931.02</v>
      </c>
      <c r="AJ70" s="186">
        <f t="shared" si="6"/>
        <v>-336.8</v>
      </c>
      <c r="AK70" s="186">
        <f t="shared" si="6"/>
        <v>50646.98</v>
      </c>
      <c r="AL70" s="186">
        <f t="shared" si="6"/>
        <v>46124.89</v>
      </c>
      <c r="AM70" s="186">
        <f t="shared" si="6"/>
        <v>-17669.19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5.13" defaultRowHeight="15.0"/>
  <cols>
    <col customWidth="1" min="1" max="1" width="1.88"/>
    <col customWidth="1" min="2" max="2" width="28.38"/>
    <col customWidth="1" min="3" max="3" width="9.88"/>
    <col customWidth="1" min="4" max="5" width="8.75"/>
    <col customWidth="1" min="6" max="9" width="10.25"/>
    <col customWidth="1" min="10" max="14" width="11.5"/>
    <col customWidth="1" min="15" max="22" width="8.75"/>
    <col customWidth="1" min="23" max="23" width="12.5"/>
    <col customWidth="1" min="24" max="24" width="8.75"/>
    <col customWidth="1" min="25" max="25" width="11.38"/>
    <col customWidth="1" min="26" max="26" width="8.75"/>
  </cols>
  <sheetData>
    <row r="1" ht="12.75" customHeight="1">
      <c r="A1" s="108"/>
      <c r="B1" s="108"/>
      <c r="C1" s="108"/>
      <c r="F1" s="108"/>
      <c r="G1" s="108"/>
      <c r="H1" s="108"/>
      <c r="I1" s="108"/>
      <c r="J1" s="108"/>
      <c r="K1" s="108"/>
      <c r="L1" s="108"/>
      <c r="M1" s="108"/>
      <c r="N1" s="108"/>
      <c r="W1" s="108"/>
      <c r="Y1" s="108"/>
    </row>
    <row r="2" ht="20.25" customHeight="1">
      <c r="A2" s="108"/>
      <c r="B2" s="191" t="s">
        <v>276</v>
      </c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</row>
    <row r="3">
      <c r="A3" s="108"/>
      <c r="B3" s="166" t="s">
        <v>183</v>
      </c>
      <c r="C3" s="167">
        <v>40909.0</v>
      </c>
      <c r="D3" s="167">
        <v>40940.0</v>
      </c>
      <c r="E3" s="167">
        <v>40969.0</v>
      </c>
      <c r="F3" s="167">
        <v>41000.0</v>
      </c>
      <c r="G3" s="167">
        <v>41030.0</v>
      </c>
      <c r="H3" s="167">
        <v>41061.0</v>
      </c>
      <c r="I3" s="167">
        <v>41091.0</v>
      </c>
      <c r="J3" s="167">
        <v>41122.0</v>
      </c>
      <c r="K3" s="167">
        <v>41153.0</v>
      </c>
      <c r="L3" s="167">
        <v>41183.0</v>
      </c>
      <c r="M3" s="167">
        <v>41214.0</v>
      </c>
      <c r="N3" s="167">
        <v>41244.0</v>
      </c>
      <c r="O3" s="167">
        <v>41288.0</v>
      </c>
      <c r="P3" s="167">
        <v>41306.0</v>
      </c>
      <c r="Q3" s="167">
        <v>41334.0</v>
      </c>
      <c r="R3" s="167">
        <v>41365.0</v>
      </c>
      <c r="S3" s="167">
        <v>41395.0</v>
      </c>
      <c r="T3" s="167">
        <v>41426.0</v>
      </c>
      <c r="U3" s="167">
        <v>41456.0</v>
      </c>
      <c r="V3" s="167">
        <v>41487.0</v>
      </c>
      <c r="W3" s="167">
        <v>41518.0</v>
      </c>
      <c r="X3" s="167">
        <v>41548.0</v>
      </c>
      <c r="Y3" s="167">
        <v>41579.0</v>
      </c>
      <c r="Z3" s="167">
        <v>41609.0</v>
      </c>
    </row>
    <row r="4">
      <c r="A4" s="108"/>
      <c r="B4" s="188" t="s">
        <v>277</v>
      </c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>
      <c r="A5" s="108"/>
      <c r="B5" s="188" t="s">
        <v>278</v>
      </c>
      <c r="C5" s="180">
        <v>116626.0</v>
      </c>
      <c r="D5" s="180">
        <v>123194.0</v>
      </c>
      <c r="E5" s="108">
        <v>109350.0</v>
      </c>
      <c r="F5" s="180">
        <v>102498.1</v>
      </c>
      <c r="G5" s="180">
        <v>102732.94</v>
      </c>
      <c r="H5" s="180">
        <v>91059.0</v>
      </c>
      <c r="I5" s="180">
        <v>82418.0</v>
      </c>
      <c r="J5" s="180">
        <v>80492.0</v>
      </c>
      <c r="K5" s="180">
        <v>73090.79</v>
      </c>
      <c r="L5" s="180">
        <v>73317.0</v>
      </c>
      <c r="M5" s="180">
        <v>112082.0</v>
      </c>
      <c r="N5" s="180">
        <v>109575.0</v>
      </c>
      <c r="O5" s="180">
        <v>94247.0</v>
      </c>
      <c r="P5" s="180">
        <v>73046.4</v>
      </c>
      <c r="Q5" s="180">
        <v>72795.0</v>
      </c>
      <c r="R5" s="180">
        <v>72804.0</v>
      </c>
      <c r="S5" s="180">
        <v>90966.0</v>
      </c>
      <c r="T5" s="180">
        <v>94710.0</v>
      </c>
      <c r="U5" s="180">
        <v>103923.93</v>
      </c>
      <c r="V5" s="180">
        <v>95165.0</v>
      </c>
      <c r="W5" s="180">
        <v>99856.0</v>
      </c>
      <c r="X5" s="180">
        <v>105474.56</v>
      </c>
      <c r="Y5" s="180">
        <v>123758.23</v>
      </c>
      <c r="Z5" s="180">
        <v>121094.0</v>
      </c>
    </row>
    <row r="6">
      <c r="A6" s="108"/>
      <c r="B6" s="188" t="s">
        <v>188</v>
      </c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>
      <c r="A7" s="108"/>
      <c r="B7" s="188" t="s">
        <v>189</v>
      </c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>
      <c r="A8" s="108"/>
      <c r="B8" s="188" t="s">
        <v>190</v>
      </c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>
      <c r="A9" s="108"/>
      <c r="B9" s="194" t="s">
        <v>191</v>
      </c>
      <c r="C9" s="178">
        <f t="shared" ref="C9:Z9" si="1">SUM(C4:C8)</f>
        <v>116626</v>
      </c>
      <c r="D9" s="178">
        <f t="shared" si="1"/>
        <v>123194</v>
      </c>
      <c r="E9" s="178">
        <f t="shared" si="1"/>
        <v>109350</v>
      </c>
      <c r="F9" s="178">
        <f t="shared" si="1"/>
        <v>102498.1</v>
      </c>
      <c r="G9" s="178">
        <f t="shared" si="1"/>
        <v>102732.94</v>
      </c>
      <c r="H9" s="178">
        <f t="shared" si="1"/>
        <v>91059</v>
      </c>
      <c r="I9" s="178">
        <f t="shared" si="1"/>
        <v>82418</v>
      </c>
      <c r="J9" s="178">
        <f t="shared" si="1"/>
        <v>80492</v>
      </c>
      <c r="K9" s="178">
        <f t="shared" si="1"/>
        <v>73090.79</v>
      </c>
      <c r="L9" s="178">
        <f t="shared" si="1"/>
        <v>73317</v>
      </c>
      <c r="M9" s="178">
        <f t="shared" si="1"/>
        <v>112082</v>
      </c>
      <c r="N9" s="178">
        <f t="shared" si="1"/>
        <v>109575</v>
      </c>
      <c r="O9" s="178">
        <f t="shared" si="1"/>
        <v>94247</v>
      </c>
      <c r="P9" s="178">
        <f t="shared" si="1"/>
        <v>73046.4</v>
      </c>
      <c r="Q9" s="178">
        <f t="shared" si="1"/>
        <v>72795</v>
      </c>
      <c r="R9" s="178">
        <f t="shared" si="1"/>
        <v>72804</v>
      </c>
      <c r="S9" s="178">
        <f t="shared" si="1"/>
        <v>90966</v>
      </c>
      <c r="T9" s="178">
        <f t="shared" si="1"/>
        <v>94710</v>
      </c>
      <c r="U9" s="178">
        <f t="shared" si="1"/>
        <v>103923.93</v>
      </c>
      <c r="V9" s="178">
        <f t="shared" si="1"/>
        <v>95165</v>
      </c>
      <c r="W9" s="178">
        <f t="shared" si="1"/>
        <v>99856</v>
      </c>
      <c r="X9" s="178">
        <f t="shared" si="1"/>
        <v>105474.56</v>
      </c>
      <c r="Y9" s="178">
        <f t="shared" si="1"/>
        <v>123758.23</v>
      </c>
      <c r="Z9" s="178">
        <f t="shared" si="1"/>
        <v>121094</v>
      </c>
    </row>
    <row r="10">
      <c r="A10" s="108"/>
      <c r="B10" s="195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>
      <c r="A11" s="108"/>
      <c r="B11" s="188" t="s">
        <v>193</v>
      </c>
      <c r="C11" s="180">
        <v>137307.0</v>
      </c>
      <c r="D11" s="180">
        <v>108000.0</v>
      </c>
      <c r="E11" s="180">
        <v>77000.0</v>
      </c>
      <c r="F11" s="180">
        <v>110705.36</v>
      </c>
      <c r="G11" s="180">
        <v>150253.0</v>
      </c>
      <c r="H11" s="180">
        <v>92304.0</v>
      </c>
      <c r="I11" s="180">
        <v>140557.83</v>
      </c>
      <c r="J11" s="180">
        <v>67800.0</v>
      </c>
      <c r="K11" s="180">
        <v>70447.0</v>
      </c>
      <c r="L11" s="180">
        <v>90911.0</v>
      </c>
      <c r="M11" s="180">
        <v>61335.0</v>
      </c>
      <c r="N11" s="180">
        <v>84000.0</v>
      </c>
      <c r="O11" s="180">
        <v>70238.0</v>
      </c>
      <c r="P11" s="180">
        <v>79021.0</v>
      </c>
      <c r="Q11" s="180">
        <v>77489.03</v>
      </c>
      <c r="R11" s="180">
        <v>67890.0</v>
      </c>
      <c r="S11" s="180">
        <v>50148.0</v>
      </c>
      <c r="T11" s="180">
        <v>65396.41</v>
      </c>
      <c r="U11" s="180">
        <v>59300.48</v>
      </c>
      <c r="V11" s="180">
        <v>67477.0</v>
      </c>
      <c r="W11" s="180">
        <v>77583.0</v>
      </c>
      <c r="X11" s="180">
        <v>75977.0</v>
      </c>
      <c r="Y11" s="180">
        <v>80895.0</v>
      </c>
      <c r="Z11" s="180">
        <v>87524.0</v>
      </c>
    </row>
    <row r="12">
      <c r="A12" s="108"/>
      <c r="B12" s="188" t="s">
        <v>194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>
        <v>2773.0</v>
      </c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>
      <c r="A13" s="108"/>
      <c r="B13" s="188" t="s">
        <v>195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>
      <c r="A14" s="108"/>
      <c r="B14" s="188" t="s">
        <v>279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>
      <c r="A15" s="108"/>
      <c r="B15" s="188" t="s">
        <v>197</v>
      </c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>
        <v>11894.78</v>
      </c>
      <c r="P15" s="180"/>
      <c r="Q15" s="180"/>
      <c r="R15" s="180">
        <v>5856.9</v>
      </c>
      <c r="S15" s="180">
        <v>1785.0</v>
      </c>
      <c r="T15" s="180"/>
      <c r="U15" s="180">
        <v>7575.01</v>
      </c>
      <c r="V15" s="180">
        <v>6661.0</v>
      </c>
      <c r="W15" s="180">
        <v>4500.0</v>
      </c>
      <c r="X15" s="180">
        <v>2500.0</v>
      </c>
      <c r="Y15" s="180">
        <v>3500.0</v>
      </c>
      <c r="Z15" s="180">
        <v>2000.0</v>
      </c>
    </row>
    <row r="16">
      <c r="A16" s="108"/>
      <c r="B16" s="194" t="s">
        <v>198</v>
      </c>
      <c r="C16" s="178">
        <f t="shared" ref="C16:Z16" si="2">SUM(C11:C15)</f>
        <v>137307</v>
      </c>
      <c r="D16" s="178">
        <f t="shared" si="2"/>
        <v>108000</v>
      </c>
      <c r="E16" s="178">
        <f t="shared" si="2"/>
        <v>77000</v>
      </c>
      <c r="F16" s="178">
        <f t="shared" si="2"/>
        <v>110705.36</v>
      </c>
      <c r="G16" s="178">
        <f t="shared" si="2"/>
        <v>150253</v>
      </c>
      <c r="H16" s="178">
        <f t="shared" si="2"/>
        <v>92304</v>
      </c>
      <c r="I16" s="178">
        <f t="shared" si="2"/>
        <v>140557.83</v>
      </c>
      <c r="J16" s="178">
        <f t="shared" si="2"/>
        <v>67800</v>
      </c>
      <c r="K16" s="178">
        <f t="shared" si="2"/>
        <v>70447</v>
      </c>
      <c r="L16" s="178">
        <f t="shared" si="2"/>
        <v>90911</v>
      </c>
      <c r="M16" s="178">
        <f t="shared" si="2"/>
        <v>61335</v>
      </c>
      <c r="N16" s="178">
        <f t="shared" si="2"/>
        <v>86773</v>
      </c>
      <c r="O16" s="178">
        <f t="shared" si="2"/>
        <v>82132.78</v>
      </c>
      <c r="P16" s="178">
        <f t="shared" si="2"/>
        <v>79021</v>
      </c>
      <c r="Q16" s="178">
        <f t="shared" si="2"/>
        <v>77489.03</v>
      </c>
      <c r="R16" s="178">
        <f t="shared" si="2"/>
        <v>73746.9</v>
      </c>
      <c r="S16" s="178">
        <f t="shared" si="2"/>
        <v>51933</v>
      </c>
      <c r="T16" s="178">
        <f t="shared" si="2"/>
        <v>65396.41</v>
      </c>
      <c r="U16" s="178">
        <f t="shared" si="2"/>
        <v>66875.49</v>
      </c>
      <c r="V16" s="178">
        <f t="shared" si="2"/>
        <v>74138</v>
      </c>
      <c r="W16" s="178">
        <f t="shared" si="2"/>
        <v>82083</v>
      </c>
      <c r="X16" s="178">
        <f t="shared" si="2"/>
        <v>78477</v>
      </c>
      <c r="Y16" s="178">
        <f t="shared" si="2"/>
        <v>84395</v>
      </c>
      <c r="Z16" s="178">
        <f t="shared" si="2"/>
        <v>89524</v>
      </c>
    </row>
    <row r="17">
      <c r="A17" s="108"/>
      <c r="B17" s="196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>
      <c r="A18" s="108"/>
      <c r="B18" s="194" t="s">
        <v>280</v>
      </c>
      <c r="C18" s="197"/>
      <c r="D18" s="198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>
        <v>-20000.0</v>
      </c>
      <c r="Z18" s="197"/>
    </row>
    <row r="19">
      <c r="A19" s="108"/>
      <c r="B19" s="194" t="s">
        <v>202</v>
      </c>
      <c r="C19" s="197">
        <v>94656.0</v>
      </c>
      <c r="D19" s="197">
        <v>74964.0</v>
      </c>
      <c r="E19" s="197">
        <v>65185.0</v>
      </c>
      <c r="F19" s="197">
        <v>58885.1</v>
      </c>
      <c r="G19" s="197">
        <v>87767.73</v>
      </c>
      <c r="H19" s="197">
        <v>151000.0</v>
      </c>
      <c r="I19" s="197">
        <v>76700.67</v>
      </c>
      <c r="J19" s="197">
        <v>108253.0</v>
      </c>
      <c r="K19" s="197">
        <v>138696.0</v>
      </c>
      <c r="L19" s="197">
        <v>91559.0</v>
      </c>
      <c r="M19" s="197">
        <v>107000.0</v>
      </c>
      <c r="N19" s="197">
        <v>26551.0</v>
      </c>
      <c r="O19" s="197">
        <v>16194.0</v>
      </c>
      <c r="P19" s="197">
        <v>11295.0</v>
      </c>
      <c r="Q19" s="197">
        <v>58923.95</v>
      </c>
      <c r="R19" s="197">
        <v>38357.0</v>
      </c>
      <c r="S19" s="197">
        <v>32048.0</v>
      </c>
      <c r="T19" s="197">
        <v>48645.0</v>
      </c>
      <c r="U19" s="197">
        <v>33637.0</v>
      </c>
      <c r="V19" s="197">
        <v>33637.0</v>
      </c>
      <c r="W19" s="197">
        <v>16818.71</v>
      </c>
      <c r="X19" s="197">
        <v>17273.0</v>
      </c>
      <c r="Y19" s="197">
        <v>21885.06</v>
      </c>
      <c r="Z19" s="180">
        <v>5559.0</v>
      </c>
    </row>
    <row r="20">
      <c r="A20" s="108"/>
      <c r="B20" s="194" t="s">
        <v>203</v>
      </c>
      <c r="C20" s="178">
        <f t="shared" ref="C20:Z20" si="3">SUM(C18:C19)</f>
        <v>94656</v>
      </c>
      <c r="D20" s="178">
        <f t="shared" si="3"/>
        <v>74964</v>
      </c>
      <c r="E20" s="178">
        <f t="shared" si="3"/>
        <v>65185</v>
      </c>
      <c r="F20" s="178">
        <f t="shared" si="3"/>
        <v>58885.1</v>
      </c>
      <c r="G20" s="178">
        <f t="shared" si="3"/>
        <v>87767.73</v>
      </c>
      <c r="H20" s="178">
        <f t="shared" si="3"/>
        <v>151000</v>
      </c>
      <c r="I20" s="178">
        <f t="shared" si="3"/>
        <v>76700.67</v>
      </c>
      <c r="J20" s="178">
        <f t="shared" si="3"/>
        <v>108253</v>
      </c>
      <c r="K20" s="178">
        <f t="shared" si="3"/>
        <v>138696</v>
      </c>
      <c r="L20" s="178">
        <f t="shared" si="3"/>
        <v>91559</v>
      </c>
      <c r="M20" s="178">
        <f t="shared" si="3"/>
        <v>107000</v>
      </c>
      <c r="N20" s="178">
        <f t="shared" si="3"/>
        <v>26551</v>
      </c>
      <c r="O20" s="178">
        <f t="shared" si="3"/>
        <v>16194</v>
      </c>
      <c r="P20" s="178">
        <f t="shared" si="3"/>
        <v>11295</v>
      </c>
      <c r="Q20" s="178">
        <f t="shared" si="3"/>
        <v>58923.95</v>
      </c>
      <c r="R20" s="178">
        <f t="shared" si="3"/>
        <v>38357</v>
      </c>
      <c r="S20" s="178">
        <f t="shared" si="3"/>
        <v>32048</v>
      </c>
      <c r="T20" s="178">
        <f t="shared" si="3"/>
        <v>48645</v>
      </c>
      <c r="U20" s="178">
        <f t="shared" si="3"/>
        <v>33637</v>
      </c>
      <c r="V20" s="178">
        <f t="shared" si="3"/>
        <v>33637</v>
      </c>
      <c r="W20" s="178">
        <f t="shared" si="3"/>
        <v>16818.71</v>
      </c>
      <c r="X20" s="178">
        <f t="shared" si="3"/>
        <v>17273</v>
      </c>
      <c r="Y20" s="178">
        <f t="shared" si="3"/>
        <v>1885.06</v>
      </c>
      <c r="Z20" s="178">
        <f t="shared" si="3"/>
        <v>5559</v>
      </c>
    </row>
    <row r="21">
      <c r="A21" s="108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</row>
    <row r="22">
      <c r="A22" s="108"/>
      <c r="B22" s="188" t="s">
        <v>205</v>
      </c>
      <c r="C22" s="180">
        <v>195453.21</v>
      </c>
      <c r="D22" s="180">
        <v>148924.77</v>
      </c>
      <c r="E22" s="180">
        <v>74710.0</v>
      </c>
      <c r="F22" s="180">
        <v>94079.43</v>
      </c>
      <c r="G22" s="180">
        <v>120899.36</v>
      </c>
      <c r="H22" s="180">
        <v>118210.56</v>
      </c>
      <c r="I22" s="180">
        <v>99955.51</v>
      </c>
      <c r="J22" s="180">
        <v>70014.5</v>
      </c>
      <c r="K22" s="180">
        <v>77598.93</v>
      </c>
      <c r="L22" s="180">
        <v>97907.76</v>
      </c>
      <c r="M22" s="180">
        <v>100074.0</v>
      </c>
      <c r="N22" s="180">
        <v>80752.0</v>
      </c>
      <c r="O22" s="180">
        <v>66402.66</v>
      </c>
      <c r="P22" s="180">
        <v>23351.87</v>
      </c>
      <c r="Q22" s="180">
        <v>40804.99</v>
      </c>
      <c r="R22" s="180">
        <v>44677.72</v>
      </c>
      <c r="S22" s="180">
        <v>40229.28</v>
      </c>
      <c r="T22" s="180">
        <v>33837.37</v>
      </c>
      <c r="U22" s="180">
        <v>56152.62</v>
      </c>
      <c r="V22" s="180">
        <v>62105.14</v>
      </c>
      <c r="W22" s="180">
        <v>52723.42</v>
      </c>
      <c r="X22" s="180">
        <v>65762.0</v>
      </c>
      <c r="Y22" s="180">
        <v>94218.02</v>
      </c>
      <c r="Z22" s="180">
        <v>85901.77</v>
      </c>
    </row>
    <row r="23">
      <c r="A23" s="108"/>
      <c r="B23" s="188" t="s">
        <v>206</v>
      </c>
      <c r="C23" s="180"/>
      <c r="D23" s="180"/>
      <c r="E23" s="180"/>
      <c r="F23" s="180"/>
      <c r="G23" s="180"/>
      <c r="H23" s="180"/>
      <c r="I23" s="180">
        <v>0.0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>
      <c r="A24" s="108"/>
      <c r="B24" s="194" t="s">
        <v>207</v>
      </c>
      <c r="C24" s="178">
        <f t="shared" ref="C24:Z24" si="4">SUM(C22:C23)</f>
        <v>195453.21</v>
      </c>
      <c r="D24" s="178">
        <f t="shared" si="4"/>
        <v>148924.77</v>
      </c>
      <c r="E24" s="178">
        <f t="shared" si="4"/>
        <v>74710</v>
      </c>
      <c r="F24" s="178">
        <f t="shared" si="4"/>
        <v>94079.43</v>
      </c>
      <c r="G24" s="178">
        <f t="shared" si="4"/>
        <v>120899.36</v>
      </c>
      <c r="H24" s="178">
        <f t="shared" si="4"/>
        <v>118210.56</v>
      </c>
      <c r="I24" s="178">
        <f t="shared" si="4"/>
        <v>99955.51</v>
      </c>
      <c r="J24" s="178">
        <f t="shared" si="4"/>
        <v>70014.5</v>
      </c>
      <c r="K24" s="178">
        <f t="shared" si="4"/>
        <v>77598.93</v>
      </c>
      <c r="L24" s="178">
        <f t="shared" si="4"/>
        <v>97907.76</v>
      </c>
      <c r="M24" s="178">
        <f t="shared" si="4"/>
        <v>100074</v>
      </c>
      <c r="N24" s="178">
        <f t="shared" si="4"/>
        <v>80752</v>
      </c>
      <c r="O24" s="178">
        <f t="shared" si="4"/>
        <v>66402.66</v>
      </c>
      <c r="P24" s="178">
        <f t="shared" si="4"/>
        <v>23351.87</v>
      </c>
      <c r="Q24" s="178">
        <f t="shared" si="4"/>
        <v>40804.99</v>
      </c>
      <c r="R24" s="178">
        <f t="shared" si="4"/>
        <v>44677.72</v>
      </c>
      <c r="S24" s="178">
        <f t="shared" si="4"/>
        <v>40229.28</v>
      </c>
      <c r="T24" s="178">
        <f t="shared" si="4"/>
        <v>33837.37</v>
      </c>
      <c r="U24" s="178">
        <f t="shared" si="4"/>
        <v>56152.62</v>
      </c>
      <c r="V24" s="178">
        <f t="shared" si="4"/>
        <v>62105.14</v>
      </c>
      <c r="W24" s="178">
        <f t="shared" si="4"/>
        <v>52723.42</v>
      </c>
      <c r="X24" s="178">
        <f t="shared" si="4"/>
        <v>65762</v>
      </c>
      <c r="Y24" s="178">
        <f t="shared" si="4"/>
        <v>94218.02</v>
      </c>
      <c r="Z24" s="178">
        <f t="shared" si="4"/>
        <v>85901.77</v>
      </c>
    </row>
    <row r="25">
      <c r="A25" s="108"/>
      <c r="B25" s="190" t="s">
        <v>208</v>
      </c>
      <c r="C25" s="186">
        <f t="shared" ref="C25:Z25" si="5">C9+C16+C20-C24</f>
        <v>153135.79</v>
      </c>
      <c r="D25" s="186">
        <f t="shared" si="5"/>
        <v>157233.23</v>
      </c>
      <c r="E25" s="186">
        <f t="shared" si="5"/>
        <v>176825</v>
      </c>
      <c r="F25" s="186">
        <f t="shared" si="5"/>
        <v>178009.13</v>
      </c>
      <c r="G25" s="186">
        <f t="shared" si="5"/>
        <v>219854.31</v>
      </c>
      <c r="H25" s="186">
        <f t="shared" si="5"/>
        <v>216152.44</v>
      </c>
      <c r="I25" s="186">
        <f t="shared" si="5"/>
        <v>199720.99</v>
      </c>
      <c r="J25" s="186">
        <f t="shared" si="5"/>
        <v>186530.5</v>
      </c>
      <c r="K25" s="186">
        <f t="shared" si="5"/>
        <v>204634.86</v>
      </c>
      <c r="L25" s="186">
        <f t="shared" si="5"/>
        <v>157879.24</v>
      </c>
      <c r="M25" s="186">
        <f t="shared" si="5"/>
        <v>180343</v>
      </c>
      <c r="N25" s="186">
        <f t="shared" si="5"/>
        <v>142147</v>
      </c>
      <c r="O25" s="186">
        <f t="shared" si="5"/>
        <v>126171.12</v>
      </c>
      <c r="P25" s="186">
        <f t="shared" si="5"/>
        <v>140010.53</v>
      </c>
      <c r="Q25" s="186">
        <f t="shared" si="5"/>
        <v>168402.99</v>
      </c>
      <c r="R25" s="186">
        <f t="shared" si="5"/>
        <v>140230.18</v>
      </c>
      <c r="S25" s="186">
        <f t="shared" si="5"/>
        <v>134717.72</v>
      </c>
      <c r="T25" s="186">
        <f t="shared" si="5"/>
        <v>174914.04</v>
      </c>
      <c r="U25" s="186">
        <f t="shared" si="5"/>
        <v>148283.8</v>
      </c>
      <c r="V25" s="186">
        <f t="shared" si="5"/>
        <v>140834.86</v>
      </c>
      <c r="W25" s="186">
        <f t="shared" si="5"/>
        <v>146034.29</v>
      </c>
      <c r="X25" s="186">
        <f t="shared" si="5"/>
        <v>135462.56</v>
      </c>
      <c r="Y25" s="186">
        <f t="shared" si="5"/>
        <v>115820.27</v>
      </c>
      <c r="Z25" s="186">
        <f t="shared" si="5"/>
        <v>130275.23</v>
      </c>
    </row>
    <row r="26" ht="12.75" customHeight="1">
      <c r="A26" s="108"/>
      <c r="B26" s="199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ht="12.75" customHeight="1">
      <c r="A27" s="108"/>
      <c r="B27" s="188" t="s">
        <v>175</v>
      </c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ht="12.75" customHeight="1">
      <c r="A28" s="108"/>
      <c r="B28" s="188" t="s">
        <v>281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ht="12.75" customHeight="1">
      <c r="A29" s="108"/>
      <c r="B29" s="188" t="s">
        <v>282</v>
      </c>
      <c r="C29" s="180">
        <v>133994.95</v>
      </c>
      <c r="D29" s="180">
        <v>133275.5</v>
      </c>
      <c r="E29" s="180">
        <v>132554.1</v>
      </c>
      <c r="F29" s="180">
        <v>131841.1</v>
      </c>
      <c r="G29" s="180">
        <v>131105.44</v>
      </c>
      <c r="H29" s="180">
        <v>130378.16</v>
      </c>
      <c r="I29" s="180">
        <v>129628.76</v>
      </c>
      <c r="J29" s="180">
        <v>128917.69</v>
      </c>
      <c r="K29" s="180">
        <v>128217.5</v>
      </c>
      <c r="L29" s="180">
        <v>127517.5</v>
      </c>
      <c r="M29" s="180">
        <v>126817.05</v>
      </c>
      <c r="N29" s="180">
        <v>126116.55</v>
      </c>
      <c r="O29" s="180">
        <v>125231.76</v>
      </c>
      <c r="P29" s="180">
        <v>124743.0</v>
      </c>
      <c r="Q29" s="180">
        <v>123250.0</v>
      </c>
      <c r="R29" s="180">
        <v>122996.15</v>
      </c>
      <c r="S29" s="180">
        <v>122246.91</v>
      </c>
      <c r="T29" s="180">
        <v>121495.64</v>
      </c>
      <c r="U29" s="180">
        <v>120937.91</v>
      </c>
      <c r="V29" s="180">
        <v>120527.4</v>
      </c>
      <c r="W29" s="180">
        <v>120120.3</v>
      </c>
      <c r="X29" s="180">
        <v>119734.0</v>
      </c>
      <c r="Y29" s="180">
        <v>119234.0</v>
      </c>
      <c r="Z29" s="180">
        <v>118738.0</v>
      </c>
    </row>
    <row r="30" ht="12.75" customHeight="1">
      <c r="A30" s="108"/>
      <c r="B30" s="194" t="s">
        <v>283</v>
      </c>
      <c r="C30" s="178">
        <f t="shared" ref="C30:Z30" si="6">SUM(C27:C29)</f>
        <v>133994.95</v>
      </c>
      <c r="D30" s="178">
        <f t="shared" si="6"/>
        <v>133275.5</v>
      </c>
      <c r="E30" s="178">
        <f t="shared" si="6"/>
        <v>132554.1</v>
      </c>
      <c r="F30" s="178">
        <f t="shared" si="6"/>
        <v>131841.1</v>
      </c>
      <c r="G30" s="178">
        <f t="shared" si="6"/>
        <v>131105.44</v>
      </c>
      <c r="H30" s="178">
        <f t="shared" si="6"/>
        <v>130378.16</v>
      </c>
      <c r="I30" s="178">
        <f t="shared" si="6"/>
        <v>129628.76</v>
      </c>
      <c r="J30" s="178">
        <f t="shared" si="6"/>
        <v>128917.69</v>
      </c>
      <c r="K30" s="178">
        <f t="shared" si="6"/>
        <v>128217.5</v>
      </c>
      <c r="L30" s="178">
        <f t="shared" si="6"/>
        <v>127517.5</v>
      </c>
      <c r="M30" s="178">
        <f t="shared" si="6"/>
        <v>126817.05</v>
      </c>
      <c r="N30" s="178">
        <f t="shared" si="6"/>
        <v>126116.55</v>
      </c>
      <c r="O30" s="178">
        <f t="shared" si="6"/>
        <v>125231.76</v>
      </c>
      <c r="P30" s="178">
        <f t="shared" si="6"/>
        <v>124743</v>
      </c>
      <c r="Q30" s="178">
        <f t="shared" si="6"/>
        <v>123250</v>
      </c>
      <c r="R30" s="178">
        <f t="shared" si="6"/>
        <v>122996.15</v>
      </c>
      <c r="S30" s="178">
        <f t="shared" si="6"/>
        <v>122246.91</v>
      </c>
      <c r="T30" s="178">
        <f t="shared" si="6"/>
        <v>121495.64</v>
      </c>
      <c r="U30" s="178">
        <f t="shared" si="6"/>
        <v>120937.91</v>
      </c>
      <c r="V30" s="178">
        <f t="shared" si="6"/>
        <v>120527.4</v>
      </c>
      <c r="W30" s="178">
        <f t="shared" si="6"/>
        <v>120120.3</v>
      </c>
      <c r="X30" s="178">
        <f t="shared" si="6"/>
        <v>119734</v>
      </c>
      <c r="Y30" s="178">
        <f t="shared" si="6"/>
        <v>119234</v>
      </c>
      <c r="Z30" s="178">
        <f t="shared" si="6"/>
        <v>118738</v>
      </c>
    </row>
    <row r="31" ht="12.75" customHeight="1">
      <c r="A31" s="108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</row>
    <row r="32" ht="12.75" customHeight="1">
      <c r="A32" s="108"/>
      <c r="B32" s="190" t="s">
        <v>284</v>
      </c>
      <c r="C32" s="186">
        <f t="shared" ref="C32:Z32" si="7">SUM(C25-C30)</f>
        <v>19140.84</v>
      </c>
      <c r="D32" s="186">
        <f t="shared" si="7"/>
        <v>23957.73</v>
      </c>
      <c r="E32" s="186">
        <f t="shared" si="7"/>
        <v>44270.9</v>
      </c>
      <c r="F32" s="186">
        <f t="shared" si="7"/>
        <v>46168.03</v>
      </c>
      <c r="G32" s="186">
        <f t="shared" si="7"/>
        <v>88748.87</v>
      </c>
      <c r="H32" s="186">
        <f t="shared" si="7"/>
        <v>85774.28</v>
      </c>
      <c r="I32" s="186">
        <f t="shared" si="7"/>
        <v>70092.23</v>
      </c>
      <c r="J32" s="186">
        <f t="shared" si="7"/>
        <v>57612.81</v>
      </c>
      <c r="K32" s="186">
        <f t="shared" si="7"/>
        <v>76417.36</v>
      </c>
      <c r="L32" s="186">
        <f t="shared" si="7"/>
        <v>30361.74</v>
      </c>
      <c r="M32" s="186">
        <f t="shared" si="7"/>
        <v>53525.95</v>
      </c>
      <c r="N32" s="186">
        <f t="shared" si="7"/>
        <v>16030.45</v>
      </c>
      <c r="O32" s="186">
        <f t="shared" si="7"/>
        <v>939.36</v>
      </c>
      <c r="P32" s="186">
        <f t="shared" si="7"/>
        <v>15267.53</v>
      </c>
      <c r="Q32" s="186">
        <f t="shared" si="7"/>
        <v>45152.99</v>
      </c>
      <c r="R32" s="186">
        <f t="shared" si="7"/>
        <v>17234.03</v>
      </c>
      <c r="S32" s="186">
        <f t="shared" si="7"/>
        <v>12470.81</v>
      </c>
      <c r="T32" s="186">
        <f t="shared" si="7"/>
        <v>53418.4</v>
      </c>
      <c r="U32" s="186">
        <f t="shared" si="7"/>
        <v>27345.89</v>
      </c>
      <c r="V32" s="186">
        <f t="shared" si="7"/>
        <v>20307.46</v>
      </c>
      <c r="W32" s="186">
        <f t="shared" si="7"/>
        <v>25913.99</v>
      </c>
      <c r="X32" s="186">
        <f t="shared" si="7"/>
        <v>15728.56</v>
      </c>
      <c r="Y32" s="186">
        <f t="shared" si="7"/>
        <v>-3413.73</v>
      </c>
      <c r="Z32" s="186">
        <f t="shared" si="7"/>
        <v>11537.23</v>
      </c>
    </row>
    <row r="33" ht="12.75" customHeight="1">
      <c r="A33" s="108"/>
      <c r="B33" s="108"/>
      <c r="C33" s="108"/>
      <c r="F33" s="108"/>
      <c r="G33" s="108"/>
      <c r="H33" s="108"/>
      <c r="I33" s="108"/>
      <c r="J33" s="108"/>
      <c r="K33" s="108"/>
      <c r="L33" s="108"/>
      <c r="M33" s="108"/>
      <c r="N33" s="108"/>
      <c r="W33" s="108"/>
      <c r="Y33" s="108"/>
    </row>
    <row r="34" ht="12.75" customHeight="1">
      <c r="A34" s="108"/>
      <c r="B34" s="108"/>
      <c r="C34" s="108"/>
      <c r="F34" s="108"/>
      <c r="G34" s="108"/>
      <c r="H34" s="108"/>
      <c r="I34" s="108"/>
      <c r="J34" s="108"/>
      <c r="K34" s="108"/>
      <c r="L34" s="108"/>
      <c r="M34" s="108"/>
      <c r="N34" s="108"/>
      <c r="W34" s="108"/>
      <c r="Y34" s="108"/>
    </row>
    <row r="35" ht="12.75" customHeight="1">
      <c r="A35" s="108"/>
      <c r="B35" s="108"/>
      <c r="C35" s="108"/>
      <c r="F35" s="108"/>
      <c r="G35" s="108"/>
      <c r="H35" s="108"/>
      <c r="I35" s="108"/>
      <c r="J35" s="108"/>
      <c r="K35" s="108"/>
      <c r="L35" s="108"/>
      <c r="M35" s="108" t="s">
        <v>285</v>
      </c>
      <c r="N35" s="108">
        <v>17483.0</v>
      </c>
      <c r="W35" s="108"/>
      <c r="Y35" s="108"/>
    </row>
    <row r="36" ht="12.75" customHeight="1">
      <c r="A36" s="108"/>
      <c r="B36" s="108"/>
      <c r="C36" s="108"/>
      <c r="F36" s="108"/>
      <c r="G36" s="108"/>
      <c r="H36" s="108"/>
      <c r="I36" s="108"/>
      <c r="J36" s="108"/>
      <c r="K36" s="108"/>
      <c r="L36" s="108"/>
      <c r="M36" s="108" t="s">
        <v>286</v>
      </c>
      <c r="N36" s="108">
        <v>17102.0</v>
      </c>
      <c r="W36" s="108"/>
      <c r="Y36" s="10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.25"/>
    <col customWidth="1" min="2" max="2" width="14.0"/>
    <col customWidth="1" min="3" max="4" width="9.0"/>
    <col customWidth="1" min="5" max="5" width="10.38"/>
    <col customWidth="1" min="6" max="8" width="9.0"/>
    <col customWidth="1" min="9" max="18" width="9.5"/>
    <col customWidth="1" min="19" max="22" width="8.75"/>
  </cols>
  <sheetData>
    <row r="1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</row>
    <row r="2" ht="18.0" customHeight="1">
      <c r="A2" s="108"/>
      <c r="B2" s="200" t="s">
        <v>287</v>
      </c>
      <c r="C2" s="201">
        <v>2012.0</v>
      </c>
      <c r="D2" s="201">
        <v>2013.0</v>
      </c>
      <c r="E2" s="201">
        <v>2014.0</v>
      </c>
      <c r="F2" s="201">
        <v>2015.0</v>
      </c>
      <c r="G2" s="201">
        <v>2016.0</v>
      </c>
      <c r="H2" s="201">
        <v>2017.0</v>
      </c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ht="18.0" customHeight="1">
      <c r="A3" s="108"/>
      <c r="B3" s="202" t="s">
        <v>100</v>
      </c>
      <c r="C3" s="203">
        <v>59070.71</v>
      </c>
      <c r="D3" s="203">
        <v>-5092.35</v>
      </c>
      <c r="E3" s="203">
        <v>31944.14</v>
      </c>
      <c r="F3" s="203">
        <v>0.0</v>
      </c>
      <c r="G3" s="203">
        <v>0.0</v>
      </c>
      <c r="H3" s="203">
        <v>0.0</v>
      </c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4" ht="18.0" customHeight="1">
      <c r="A4" s="108"/>
      <c r="B4" s="204" t="s">
        <v>101</v>
      </c>
      <c r="C4" s="205">
        <v>27268.52</v>
      </c>
      <c r="D4" s="205">
        <v>39105.96</v>
      </c>
      <c r="E4" s="203">
        <v>-1251.12</v>
      </c>
      <c r="F4" s="203">
        <v>0.0</v>
      </c>
      <c r="G4" s="203">
        <v>0.0</v>
      </c>
      <c r="H4" s="203">
        <v>0.0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</row>
    <row r="5" ht="18.0" customHeight="1">
      <c r="A5" s="108"/>
      <c r="B5" s="204" t="s">
        <v>102</v>
      </c>
      <c r="C5" s="205">
        <v>-8199.55</v>
      </c>
      <c r="D5" s="205">
        <v>-9024.21</v>
      </c>
      <c r="E5" s="203">
        <v>28253.15</v>
      </c>
      <c r="F5" s="203">
        <v>0.0</v>
      </c>
      <c r="G5" s="203">
        <v>0.0</v>
      </c>
      <c r="H5" s="203">
        <v>0.0</v>
      </c>
      <c r="I5" s="108"/>
      <c r="J5" s="108"/>
      <c r="K5" s="108"/>
      <c r="L5" s="108"/>
      <c r="M5" s="108"/>
      <c r="N5" s="108"/>
      <c r="O5" s="108"/>
      <c r="P5" s="108"/>
      <c r="Q5" s="108"/>
      <c r="R5" s="108"/>
    </row>
    <row r="6" ht="18.0" customHeight="1">
      <c r="A6" s="108"/>
      <c r="B6" s="204" t="s">
        <v>103</v>
      </c>
      <c r="C6" s="205">
        <v>7735.73</v>
      </c>
      <c r="D6" s="205">
        <v>15.23</v>
      </c>
      <c r="E6" s="203">
        <v>45018.97</v>
      </c>
      <c r="F6" s="203">
        <v>0.0</v>
      </c>
      <c r="G6" s="203">
        <v>0.0</v>
      </c>
      <c r="H6" s="203">
        <v>0.0</v>
      </c>
      <c r="I6" s="108"/>
      <c r="J6" s="108"/>
      <c r="K6" s="108"/>
      <c r="L6" s="108"/>
      <c r="M6" s="108"/>
      <c r="N6" s="108"/>
      <c r="O6" s="108"/>
      <c r="P6" s="108"/>
      <c r="Q6" s="108"/>
      <c r="R6" s="108"/>
    </row>
    <row r="7" ht="18.0" customHeight="1">
      <c r="A7" s="108"/>
      <c r="B7" s="204" t="s">
        <v>104</v>
      </c>
      <c r="C7" s="205">
        <v>9707.96</v>
      </c>
      <c r="D7" s="205">
        <v>-23966.82</v>
      </c>
      <c r="E7" s="203">
        <v>52156.81</v>
      </c>
      <c r="F7" s="203">
        <v>0.0</v>
      </c>
      <c r="G7" s="203">
        <v>0.0</v>
      </c>
      <c r="H7" s="203">
        <v>0.0</v>
      </c>
      <c r="I7" s="108"/>
      <c r="J7" s="108"/>
      <c r="K7" s="108"/>
      <c r="L7" s="108"/>
      <c r="M7" s="108"/>
      <c r="N7" s="108"/>
      <c r="O7" s="108"/>
      <c r="P7" s="108"/>
      <c r="Q7" s="108"/>
      <c r="R7" s="108"/>
    </row>
    <row r="8" ht="18.0" customHeight="1">
      <c r="A8" s="108"/>
      <c r="B8" s="204" t="s">
        <v>105</v>
      </c>
      <c r="C8" s="205">
        <v>45589.28</v>
      </c>
      <c r="D8" s="205">
        <v>-6164.65</v>
      </c>
      <c r="E8" s="203">
        <v>-4122.93</v>
      </c>
      <c r="F8" s="203">
        <v>0.0</v>
      </c>
      <c r="G8" s="203">
        <v>0.0</v>
      </c>
      <c r="H8" s="203">
        <v>0.0</v>
      </c>
      <c r="I8" s="108"/>
      <c r="J8" s="108"/>
      <c r="K8" s="108"/>
      <c r="L8" s="108"/>
      <c r="M8" s="108"/>
      <c r="N8" s="108"/>
      <c r="O8" s="108"/>
      <c r="P8" s="108"/>
      <c r="Q8" s="108"/>
      <c r="R8" s="108"/>
    </row>
    <row r="9" ht="18.0" customHeight="1">
      <c r="A9" s="108"/>
      <c r="B9" s="204" t="s">
        <v>106</v>
      </c>
      <c r="C9" s="205">
        <v>-38019.4</v>
      </c>
      <c r="D9" s="205">
        <v>6843.83</v>
      </c>
      <c r="E9" s="203">
        <v>-42289.06</v>
      </c>
      <c r="F9" s="203">
        <v>0.0</v>
      </c>
      <c r="G9" s="203">
        <v>0.0</v>
      </c>
      <c r="H9" s="203">
        <v>0.0</v>
      </c>
      <c r="I9" s="108"/>
      <c r="J9" s="108"/>
      <c r="K9" s="108"/>
      <c r="L9" s="108"/>
      <c r="M9" s="108"/>
      <c r="N9" s="108"/>
      <c r="O9" s="108"/>
      <c r="P9" s="108"/>
      <c r="Q9" s="108"/>
      <c r="R9" s="108"/>
    </row>
    <row r="10" ht="18.0" customHeight="1">
      <c r="A10" s="108"/>
      <c r="B10" s="204" t="s">
        <v>107</v>
      </c>
      <c r="C10" s="205">
        <v>10004.14</v>
      </c>
      <c r="D10" s="205">
        <v>7765.25</v>
      </c>
      <c r="E10" s="203">
        <v>2456.54</v>
      </c>
      <c r="F10" s="203">
        <v>0.0</v>
      </c>
      <c r="G10" s="203">
        <v>0.0</v>
      </c>
      <c r="H10" s="203">
        <v>0.0</v>
      </c>
      <c r="I10" s="108"/>
      <c r="J10" s="108"/>
      <c r="K10" s="108"/>
      <c r="L10" s="108"/>
      <c r="M10" s="108"/>
      <c r="N10" s="108"/>
      <c r="O10" s="108"/>
      <c r="P10" s="108"/>
      <c r="Q10" s="108"/>
      <c r="R10" s="108"/>
    </row>
    <row r="11" ht="18.0" customHeight="1">
      <c r="A11" s="108"/>
      <c r="B11" s="204" t="s">
        <v>108</v>
      </c>
      <c r="C11" s="205">
        <v>-14588.95</v>
      </c>
      <c r="D11" s="205">
        <v>-8506.43</v>
      </c>
      <c r="E11" s="203">
        <v>-11557.19</v>
      </c>
      <c r="F11" s="203">
        <v>0.0</v>
      </c>
      <c r="G11" s="203">
        <v>0.0</v>
      </c>
      <c r="H11" s="203">
        <v>0.0</v>
      </c>
      <c r="I11" s="108"/>
      <c r="J11" s="108"/>
      <c r="K11" s="108"/>
      <c r="L11" s="108"/>
      <c r="M11" s="108"/>
      <c r="N11" s="108"/>
      <c r="O11" s="108"/>
      <c r="P11" s="108"/>
      <c r="Q11" s="108"/>
      <c r="R11" s="108"/>
    </row>
    <row r="12" ht="18.0" customHeight="1">
      <c r="A12" s="108"/>
      <c r="B12" s="204" t="s">
        <v>109</v>
      </c>
      <c r="C12" s="205">
        <v>-9031.28</v>
      </c>
      <c r="D12" s="205">
        <v>-1385.01</v>
      </c>
      <c r="E12" s="203">
        <v>-9480.35</v>
      </c>
      <c r="F12" s="203">
        <v>0.0</v>
      </c>
      <c r="G12" s="203">
        <v>0.0</v>
      </c>
      <c r="H12" s="203">
        <v>0.0</v>
      </c>
      <c r="I12" s="108"/>
      <c r="J12" s="108"/>
      <c r="K12" s="108"/>
      <c r="L12" s="108"/>
      <c r="M12" s="108"/>
      <c r="N12" s="108"/>
      <c r="O12" s="108"/>
      <c r="P12" s="108"/>
      <c r="Q12" s="108"/>
      <c r="R12" s="108"/>
    </row>
    <row r="13" ht="18.0" customHeight="1">
      <c r="A13" s="108"/>
      <c r="B13" s="204" t="s">
        <v>110</v>
      </c>
      <c r="C13" s="205">
        <v>-9309.0</v>
      </c>
      <c r="D13" s="205">
        <v>5547.41</v>
      </c>
      <c r="E13" s="203">
        <v>32736.0</v>
      </c>
      <c r="F13" s="203">
        <v>0.0</v>
      </c>
      <c r="G13" s="203">
        <v>0.0</v>
      </c>
      <c r="H13" s="203">
        <v>0.0</v>
      </c>
      <c r="I13" s="108"/>
      <c r="J13" s="108"/>
      <c r="K13" s="108"/>
      <c r="L13" s="108"/>
      <c r="M13" s="108"/>
      <c r="N13" s="108"/>
      <c r="O13" s="108"/>
      <c r="P13" s="108"/>
      <c r="Q13" s="108"/>
      <c r="R13" s="108"/>
    </row>
    <row r="14" ht="18.0" customHeight="1">
      <c r="A14" s="108"/>
      <c r="B14" s="162" t="s">
        <v>111</v>
      </c>
      <c r="C14" s="206">
        <v>-54346.26</v>
      </c>
      <c r="D14" s="206">
        <v>-38500.39</v>
      </c>
      <c r="E14" s="203">
        <v>-60850.97</v>
      </c>
      <c r="F14" s="203">
        <v>0.0</v>
      </c>
      <c r="G14" s="203">
        <v>0.0</v>
      </c>
      <c r="H14" s="203">
        <v>0.0</v>
      </c>
      <c r="I14" s="108"/>
      <c r="J14" s="108"/>
      <c r="K14" s="108"/>
      <c r="L14" s="108"/>
      <c r="M14" s="108"/>
      <c r="N14" s="108"/>
      <c r="O14" s="108"/>
      <c r="P14" s="108"/>
      <c r="Q14" s="108"/>
      <c r="R14" s="108"/>
    </row>
    <row r="15" ht="18.0" customHeight="1">
      <c r="A15" s="108"/>
      <c r="B15" s="207" t="s">
        <v>288</v>
      </c>
      <c r="C15" s="208">
        <f t="shared" ref="C15:H15" si="1">SUM(C3:C14)</f>
        <v>25881.9</v>
      </c>
      <c r="D15" s="208">
        <f t="shared" si="1"/>
        <v>-33362.18</v>
      </c>
      <c r="E15" s="208">
        <f t="shared" si="1"/>
        <v>63013.99</v>
      </c>
      <c r="F15" s="208">
        <f t="shared" si="1"/>
        <v>0</v>
      </c>
      <c r="G15" s="208">
        <f t="shared" si="1"/>
        <v>0</v>
      </c>
      <c r="H15" s="208">
        <f t="shared" si="1"/>
        <v>0</v>
      </c>
      <c r="I15" s="108"/>
      <c r="J15" s="108"/>
      <c r="K15" s="108"/>
      <c r="L15" s="108"/>
      <c r="M15" s="108"/>
      <c r="N15" s="108"/>
      <c r="O15" s="108"/>
      <c r="P15" s="108"/>
      <c r="Q15" s="108"/>
      <c r="R15" s="108"/>
    </row>
    <row r="16" ht="12.75" customHeight="1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</row>
    <row r="17" ht="12.75" customHeight="1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</row>
    <row r="18" ht="12.75" customHeight="1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</row>
    <row r="19" ht="12.75" customHeight="1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</row>
    <row r="20" ht="12.75" customHeight="1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.63"/>
    <col customWidth="1" min="2" max="2" width="9.88"/>
    <col customWidth="1" min="3" max="8" width="11.13"/>
    <col customWidth="1" min="9" max="18" width="9.5"/>
    <col customWidth="1" min="19" max="22" width="8.75"/>
  </cols>
  <sheetData>
    <row r="1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40"/>
      <c r="K1" s="140"/>
      <c r="L1" s="140"/>
      <c r="M1" s="140"/>
      <c r="N1" s="140"/>
      <c r="O1" s="140"/>
      <c r="P1" s="108"/>
      <c r="Q1" s="108"/>
      <c r="R1" s="108"/>
    </row>
    <row r="2" ht="18.0" customHeight="1">
      <c r="A2" s="108"/>
      <c r="B2" s="201" t="s">
        <v>289</v>
      </c>
      <c r="C2" s="201">
        <v>2012.0</v>
      </c>
      <c r="D2" s="201">
        <v>2013.0</v>
      </c>
      <c r="E2" s="201">
        <v>2014.0</v>
      </c>
      <c r="F2" s="201">
        <v>2015.0</v>
      </c>
      <c r="G2" s="201">
        <v>2016.0</v>
      </c>
      <c r="H2" s="201">
        <v>2017.0</v>
      </c>
      <c r="I2" s="108"/>
      <c r="J2" s="140"/>
      <c r="K2" s="115"/>
      <c r="L2" s="115"/>
      <c r="M2" s="115"/>
      <c r="N2" s="115"/>
      <c r="O2" s="140"/>
      <c r="P2" s="108"/>
      <c r="Q2" s="108"/>
      <c r="R2" s="108"/>
    </row>
    <row r="3" ht="18.0" customHeight="1">
      <c r="A3" s="108"/>
      <c r="B3" s="202" t="s">
        <v>100</v>
      </c>
      <c r="C3" s="203">
        <v>138822.0</v>
      </c>
      <c r="D3" s="203">
        <v>83133.73</v>
      </c>
      <c r="E3" s="203">
        <v>61491.56</v>
      </c>
      <c r="F3" s="203">
        <v>0.0</v>
      </c>
      <c r="G3" s="203">
        <v>0.0</v>
      </c>
      <c r="H3" s="203">
        <v>0.0</v>
      </c>
      <c r="I3" s="108"/>
      <c r="J3" s="115"/>
      <c r="K3" s="209"/>
      <c r="L3" s="210"/>
      <c r="M3" s="209"/>
      <c r="N3" s="209"/>
      <c r="O3" s="140"/>
      <c r="P3" s="108"/>
      <c r="Q3" s="108"/>
      <c r="R3" s="108"/>
    </row>
    <row r="4" ht="18.0" customHeight="1">
      <c r="A4" s="108"/>
      <c r="B4" s="204" t="s">
        <v>101</v>
      </c>
      <c r="C4" s="205">
        <v>155338.58</v>
      </c>
      <c r="D4" s="205">
        <v>32723.76</v>
      </c>
      <c r="E4" s="205">
        <v>103104.9</v>
      </c>
      <c r="F4" s="203">
        <v>0.0</v>
      </c>
      <c r="G4" s="203">
        <v>0.0</v>
      </c>
      <c r="H4" s="203">
        <v>0.0</v>
      </c>
      <c r="I4" s="108"/>
      <c r="J4" s="115"/>
      <c r="K4" s="209"/>
      <c r="L4" s="210"/>
      <c r="M4" s="209"/>
      <c r="N4" s="209"/>
      <c r="O4" s="140"/>
      <c r="P4" s="108"/>
      <c r="Q4" s="108"/>
      <c r="R4" s="108"/>
    </row>
    <row r="5" ht="18.0" customHeight="1">
      <c r="A5" s="108"/>
      <c r="B5" s="204" t="s">
        <v>102</v>
      </c>
      <c r="C5" s="205">
        <v>107301.25</v>
      </c>
      <c r="D5" s="205">
        <v>58823.32</v>
      </c>
      <c r="E5" s="205">
        <v>67509.6</v>
      </c>
      <c r="F5" s="203">
        <v>0.0</v>
      </c>
      <c r="G5" s="203">
        <v>0.0</v>
      </c>
      <c r="H5" s="203">
        <v>0.0</v>
      </c>
      <c r="I5" s="108"/>
      <c r="J5" s="115"/>
      <c r="K5" s="209"/>
      <c r="L5" s="210"/>
      <c r="M5" s="209"/>
      <c r="N5" s="209"/>
      <c r="O5" s="140"/>
      <c r="P5" s="108"/>
      <c r="Q5" s="108"/>
      <c r="R5" s="108"/>
    </row>
    <row r="6" ht="18.0" customHeight="1">
      <c r="A6" s="108"/>
      <c r="B6" s="204" t="s">
        <v>103</v>
      </c>
      <c r="C6" s="205">
        <v>109769.01</v>
      </c>
      <c r="D6" s="205">
        <v>58032.87</v>
      </c>
      <c r="E6" s="205">
        <v>57642.66</v>
      </c>
      <c r="F6" s="203">
        <v>0.0</v>
      </c>
      <c r="G6" s="203">
        <v>0.0</v>
      </c>
      <c r="H6" s="203">
        <v>0.0</v>
      </c>
      <c r="I6" s="108"/>
      <c r="J6" s="115"/>
      <c r="K6" s="209"/>
      <c r="L6" s="210"/>
      <c r="M6" s="209"/>
      <c r="N6" s="209"/>
      <c r="O6" s="140"/>
      <c r="P6" s="108"/>
      <c r="Q6" s="108"/>
      <c r="R6" s="108"/>
    </row>
    <row r="7" ht="18.0" customHeight="1">
      <c r="A7" s="108"/>
      <c r="B7" s="204" t="s">
        <v>104</v>
      </c>
      <c r="C7" s="205">
        <v>140733.01</v>
      </c>
      <c r="D7" s="205">
        <v>72849.07</v>
      </c>
      <c r="E7" s="205">
        <v>83008.85</v>
      </c>
      <c r="F7" s="203">
        <v>0.0</v>
      </c>
      <c r="G7" s="203">
        <v>0.0</v>
      </c>
      <c r="H7" s="203">
        <v>0.0</v>
      </c>
      <c r="I7" s="108"/>
      <c r="J7" s="115"/>
      <c r="K7" s="209"/>
      <c r="L7" s="210"/>
      <c r="M7" s="209"/>
      <c r="N7" s="209"/>
      <c r="O7" s="140"/>
      <c r="P7" s="108"/>
      <c r="Q7" s="108"/>
      <c r="R7" s="108"/>
    </row>
    <row r="8" ht="18.0" customHeight="1">
      <c r="A8" s="108"/>
      <c r="B8" s="204" t="s">
        <v>105</v>
      </c>
      <c r="C8" s="205">
        <v>92770.35</v>
      </c>
      <c r="D8" s="205">
        <v>66489.86</v>
      </c>
      <c r="E8" s="205">
        <v>83700.4</v>
      </c>
      <c r="F8" s="203">
        <v>0.0</v>
      </c>
      <c r="G8" s="203">
        <v>0.0</v>
      </c>
      <c r="H8" s="203">
        <v>0.0</v>
      </c>
      <c r="I8" s="108"/>
      <c r="J8" s="115"/>
      <c r="K8" s="209"/>
      <c r="L8" s="211"/>
      <c r="M8" s="209"/>
      <c r="N8" s="209"/>
      <c r="O8" s="140"/>
      <c r="P8" s="108"/>
      <c r="Q8" s="108"/>
      <c r="R8" s="108"/>
    </row>
    <row r="9" ht="18.0" customHeight="1">
      <c r="A9" s="108"/>
      <c r="B9" s="204" t="s">
        <v>106</v>
      </c>
      <c r="C9" s="212">
        <v>130602.17</v>
      </c>
      <c r="D9" s="212">
        <v>67187.6</v>
      </c>
      <c r="E9" s="212">
        <v>85764.61</v>
      </c>
      <c r="F9" s="203">
        <v>0.0</v>
      </c>
      <c r="G9" s="203">
        <v>0.0</v>
      </c>
      <c r="H9" s="203">
        <v>0.0</v>
      </c>
      <c r="I9" s="108"/>
      <c r="J9" s="115"/>
      <c r="K9" s="209"/>
      <c r="L9" s="210"/>
      <c r="M9" s="209"/>
      <c r="N9" s="209"/>
      <c r="O9" s="140"/>
      <c r="P9" s="108"/>
      <c r="Q9" s="108"/>
      <c r="R9" s="108"/>
    </row>
    <row r="10" ht="18.0" customHeight="1">
      <c r="A10" s="108"/>
      <c r="B10" s="204" t="s">
        <v>107</v>
      </c>
      <c r="C10" s="212">
        <v>58160.88</v>
      </c>
      <c r="D10" s="212">
        <v>72749.66</v>
      </c>
      <c r="E10" s="212">
        <v>81668.18</v>
      </c>
      <c r="F10" s="203">
        <v>0.0</v>
      </c>
      <c r="G10" s="203">
        <v>0.0</v>
      </c>
      <c r="H10" s="203">
        <v>0.0</v>
      </c>
      <c r="I10" s="108"/>
      <c r="J10" s="115"/>
      <c r="K10" s="209"/>
      <c r="L10" s="210"/>
      <c r="M10" s="209"/>
      <c r="N10" s="209"/>
      <c r="O10" s="140"/>
      <c r="P10" s="108"/>
      <c r="Q10" s="108"/>
      <c r="R10" s="108"/>
    </row>
    <row r="11" ht="18.0" customHeight="1">
      <c r="A11" s="108"/>
      <c r="B11" s="204" t="s">
        <v>108</v>
      </c>
      <c r="C11" s="205">
        <v>57833.76</v>
      </c>
      <c r="D11" s="205">
        <v>85634.7</v>
      </c>
      <c r="E11" s="205">
        <v>80847.72</v>
      </c>
      <c r="F11" s="203">
        <v>0.0</v>
      </c>
      <c r="G11" s="203">
        <v>0.0</v>
      </c>
      <c r="H11" s="203">
        <v>0.0</v>
      </c>
      <c r="I11" s="108"/>
      <c r="J11" s="115"/>
      <c r="K11" s="209"/>
      <c r="L11" s="210"/>
      <c r="M11" s="209"/>
      <c r="N11" s="209"/>
      <c r="O11" s="140"/>
      <c r="P11" s="108"/>
      <c r="Q11" s="108"/>
      <c r="R11" s="108"/>
    </row>
    <row r="12" ht="18.0" customHeight="1">
      <c r="A12" s="108"/>
      <c r="B12" s="204" t="s">
        <v>109</v>
      </c>
      <c r="C12" s="205">
        <v>103278.48</v>
      </c>
      <c r="D12" s="205">
        <v>85401.2</v>
      </c>
      <c r="E12" s="205">
        <v>86588.13</v>
      </c>
      <c r="F12" s="203">
        <v>0.0</v>
      </c>
      <c r="G12" s="203">
        <v>0.0</v>
      </c>
      <c r="H12" s="203">
        <v>0.0</v>
      </c>
      <c r="I12" s="108"/>
      <c r="J12" s="115"/>
      <c r="K12" s="209"/>
      <c r="L12" s="210"/>
      <c r="M12" s="209"/>
      <c r="N12" s="209"/>
      <c r="O12" s="140"/>
      <c r="P12" s="108"/>
      <c r="Q12" s="108"/>
      <c r="R12" s="108"/>
    </row>
    <row r="13" ht="18.0" customHeight="1">
      <c r="A13" s="108"/>
      <c r="B13" s="204" t="s">
        <v>110</v>
      </c>
      <c r="C13" s="205">
        <v>88325.0</v>
      </c>
      <c r="D13" s="205">
        <v>81328.75</v>
      </c>
      <c r="E13" s="205">
        <v>63404.76</v>
      </c>
      <c r="F13" s="203">
        <v>0.0</v>
      </c>
      <c r="G13" s="203">
        <v>0.0</v>
      </c>
      <c r="H13" s="203">
        <v>0.0</v>
      </c>
      <c r="I13" s="108"/>
      <c r="J13" s="115"/>
      <c r="K13" s="209"/>
      <c r="L13" s="210"/>
      <c r="M13" s="209"/>
      <c r="N13" s="209"/>
      <c r="O13" s="140"/>
      <c r="P13" s="108"/>
      <c r="Q13" s="108"/>
      <c r="R13" s="108"/>
    </row>
    <row r="14" ht="18.0" customHeight="1">
      <c r="A14" s="108"/>
      <c r="B14" s="162" t="s">
        <v>111</v>
      </c>
      <c r="C14" s="206">
        <v>133083.69</v>
      </c>
      <c r="D14" s="206">
        <v>0.0</v>
      </c>
      <c r="E14" s="206">
        <v>174458.46</v>
      </c>
      <c r="F14" s="203">
        <v>0.0</v>
      </c>
      <c r="G14" s="203">
        <v>0.0</v>
      </c>
      <c r="H14" s="203">
        <v>0.0</v>
      </c>
      <c r="I14" s="108"/>
      <c r="J14" s="115"/>
      <c r="K14" s="210"/>
      <c r="L14" s="210"/>
      <c r="M14" s="209"/>
      <c r="N14" s="209"/>
      <c r="O14" s="140"/>
      <c r="P14" s="108"/>
      <c r="Q14" s="108"/>
      <c r="R14" s="108"/>
    </row>
    <row r="15" ht="18.0" customHeight="1">
      <c r="A15" s="108"/>
      <c r="B15" s="207" t="s">
        <v>288</v>
      </c>
      <c r="C15" s="208">
        <f t="shared" ref="C15:H15" si="1">SUM(C3:C14)</f>
        <v>1316018.18</v>
      </c>
      <c r="D15" s="208">
        <f t="shared" si="1"/>
        <v>764354.52</v>
      </c>
      <c r="E15" s="208">
        <f t="shared" si="1"/>
        <v>1029189.83</v>
      </c>
      <c r="F15" s="208">
        <f t="shared" si="1"/>
        <v>0</v>
      </c>
      <c r="G15" s="208">
        <f t="shared" si="1"/>
        <v>0</v>
      </c>
      <c r="H15" s="208">
        <f t="shared" si="1"/>
        <v>0</v>
      </c>
      <c r="I15" s="108"/>
      <c r="J15" s="115"/>
      <c r="K15" s="209"/>
      <c r="L15" s="209"/>
      <c r="M15" s="209"/>
      <c r="N15" s="140"/>
      <c r="O15" s="140"/>
      <c r="P15" s="108"/>
      <c r="Q15" s="108"/>
      <c r="R15" s="108"/>
    </row>
    <row r="16" ht="12.75" customHeight="1">
      <c r="A16" s="108"/>
      <c r="B16" s="108"/>
      <c r="C16" s="108"/>
      <c r="D16" s="108"/>
      <c r="E16" s="108"/>
      <c r="F16" s="108"/>
      <c r="G16" s="108"/>
      <c r="H16" s="108"/>
      <c r="I16" s="108"/>
      <c r="J16" s="140"/>
      <c r="K16" s="140"/>
      <c r="L16" s="140"/>
      <c r="M16" s="140"/>
      <c r="N16" s="140"/>
      <c r="O16" s="140"/>
      <c r="P16" s="108"/>
      <c r="Q16" s="108"/>
      <c r="R16" s="108"/>
    </row>
    <row r="17" ht="12.75" customHeight="1">
      <c r="A17" s="108"/>
      <c r="B17" s="108"/>
      <c r="C17" s="108"/>
      <c r="D17" s="108"/>
      <c r="E17" s="108"/>
      <c r="F17" s="108"/>
      <c r="G17" s="108"/>
      <c r="H17" s="108"/>
      <c r="I17" s="108"/>
      <c r="J17" s="140"/>
      <c r="K17" s="140"/>
      <c r="L17" s="140"/>
      <c r="M17" s="140"/>
      <c r="N17" s="140"/>
      <c r="O17" s="140"/>
      <c r="P17" s="108"/>
      <c r="Q17" s="108"/>
      <c r="R17" s="108"/>
    </row>
    <row r="18" ht="12.75" customHeight="1">
      <c r="A18" s="108"/>
      <c r="B18" s="108"/>
      <c r="C18" s="108"/>
      <c r="D18" s="108"/>
      <c r="E18" s="108"/>
      <c r="F18" s="108"/>
      <c r="G18" s="108"/>
      <c r="H18" s="108"/>
      <c r="I18" s="108"/>
      <c r="J18" s="140"/>
      <c r="K18" s="140"/>
      <c r="L18" s="140"/>
      <c r="M18" s="140"/>
      <c r="N18" s="140"/>
      <c r="O18" s="140"/>
      <c r="P18" s="108"/>
      <c r="Q18" s="108"/>
      <c r="R18" s="108"/>
    </row>
    <row r="19" ht="12.75" customHeight="1">
      <c r="A19" s="108"/>
      <c r="B19" s="108"/>
      <c r="C19" s="108"/>
      <c r="D19" s="108"/>
      <c r="E19" s="108"/>
      <c r="F19" s="108"/>
      <c r="G19" s="108"/>
      <c r="H19" s="108"/>
      <c r="I19" s="108"/>
      <c r="J19" s="140"/>
      <c r="K19" s="140"/>
      <c r="L19" s="140"/>
      <c r="M19" s="140"/>
      <c r="N19" s="140"/>
      <c r="O19" s="140"/>
      <c r="P19" s="108"/>
      <c r="Q19" s="108"/>
      <c r="R19" s="108"/>
    </row>
    <row r="20" ht="12.75" customHeight="1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40"/>
      <c r="L20" s="140"/>
      <c r="M20" s="140"/>
      <c r="N20" s="140"/>
      <c r="O20" s="140"/>
      <c r="P20" s="108"/>
      <c r="Q20" s="108"/>
      <c r="R20" s="108"/>
    </row>
    <row r="21" ht="12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40"/>
      <c r="L21" s="140"/>
      <c r="M21" s="140"/>
      <c r="N21" s="140"/>
      <c r="O21" s="140"/>
      <c r="P21" s="108"/>
      <c r="Q21" s="108"/>
      <c r="R21" s="108"/>
    </row>
    <row r="22" ht="12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40"/>
      <c r="L22" s="140"/>
      <c r="M22" s="140"/>
      <c r="N22" s="140"/>
      <c r="O22" s="140"/>
      <c r="P22" s="108"/>
      <c r="Q22" s="108"/>
      <c r="R22" s="108"/>
    </row>
    <row r="23" ht="12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40"/>
      <c r="L23" s="140"/>
      <c r="M23" s="140"/>
      <c r="N23" s="140"/>
      <c r="O23" s="140"/>
      <c r="P23" s="108"/>
      <c r="Q23" s="108"/>
      <c r="R23" s="108"/>
    </row>
    <row r="24" ht="12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40"/>
      <c r="L24" s="140"/>
      <c r="M24" s="140"/>
      <c r="N24" s="140"/>
      <c r="O24" s="140"/>
      <c r="P24" s="108"/>
      <c r="Q24" s="108"/>
      <c r="R24" s="108"/>
    </row>
    <row r="25" ht="12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40"/>
      <c r="L25" s="140"/>
      <c r="M25" s="140"/>
      <c r="N25" s="140"/>
      <c r="O25" s="140"/>
      <c r="P25" s="108"/>
      <c r="Q25" s="108"/>
      <c r="R25" s="108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0.88"/>
    <col customWidth="1" min="2" max="2" width="13.0"/>
    <col customWidth="1" min="3" max="3" width="10.63"/>
    <col customWidth="1" min="4" max="4" width="11.25"/>
    <col customWidth="1" min="5" max="5" width="10.0"/>
    <col customWidth="1" min="6" max="6" width="10.38"/>
    <col customWidth="1" min="7" max="7" width="10.25"/>
    <col customWidth="1" min="8" max="8" width="10.63"/>
    <col customWidth="1" min="9" max="9" width="9.5"/>
    <col customWidth="1" min="10" max="12" width="9.63"/>
    <col customWidth="1" min="13" max="13" width="10.38"/>
    <col customWidth="1" min="14" max="18" width="9.5"/>
    <col customWidth="1" min="19" max="22" width="8.75"/>
  </cols>
  <sheetData>
    <row r="1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40"/>
      <c r="N1" s="140"/>
      <c r="O1" s="140"/>
      <c r="P1" s="108"/>
      <c r="Q1" s="108"/>
      <c r="R1" s="108"/>
    </row>
    <row r="2" ht="18.0" customHeight="1">
      <c r="A2" s="108"/>
      <c r="B2" s="200" t="s">
        <v>290</v>
      </c>
      <c r="C2" s="213">
        <v>2012.0</v>
      </c>
      <c r="D2" s="213">
        <v>2013.0</v>
      </c>
      <c r="E2" s="213">
        <v>2014.0</v>
      </c>
      <c r="F2" s="213">
        <v>2015.0</v>
      </c>
      <c r="G2" s="213">
        <v>2016.0</v>
      </c>
      <c r="H2" s="213">
        <v>2017.0</v>
      </c>
      <c r="I2" s="108"/>
      <c r="J2" s="108"/>
      <c r="K2" s="108"/>
      <c r="L2" s="108"/>
      <c r="M2" s="108"/>
      <c r="N2" s="140"/>
      <c r="O2" s="140"/>
      <c r="P2" s="108"/>
      <c r="Q2" s="108"/>
      <c r="R2" s="108"/>
    </row>
    <row r="3" ht="18.0" customHeight="1">
      <c r="A3" s="108"/>
      <c r="B3" s="202" t="s">
        <v>100</v>
      </c>
      <c r="C3" s="203">
        <v>59382.68</v>
      </c>
      <c r="D3" s="203">
        <v>69551.04</v>
      </c>
      <c r="E3" s="203">
        <v>51513.22</v>
      </c>
      <c r="F3" s="203">
        <v>0.0</v>
      </c>
      <c r="G3" s="203">
        <v>0.0</v>
      </c>
      <c r="H3" s="203">
        <v>0.0</v>
      </c>
      <c r="I3" s="108"/>
      <c r="J3" s="108"/>
      <c r="K3" s="108"/>
      <c r="L3" s="108"/>
      <c r="M3" s="108"/>
      <c r="N3" s="140"/>
      <c r="O3" s="140"/>
      <c r="P3" s="108"/>
      <c r="Q3" s="108"/>
      <c r="R3" s="108"/>
    </row>
    <row r="4" ht="18.0" customHeight="1">
      <c r="A4" s="108"/>
      <c r="B4" s="204" t="s">
        <v>101</v>
      </c>
      <c r="C4" s="205">
        <v>65130.08</v>
      </c>
      <c r="D4" s="205">
        <v>82680.79</v>
      </c>
      <c r="E4" s="205">
        <v>55421.73</v>
      </c>
      <c r="F4" s="205">
        <v>0.0</v>
      </c>
      <c r="G4" s="205">
        <v>0.0</v>
      </c>
      <c r="H4" s="205">
        <v>0.0</v>
      </c>
      <c r="I4" s="108"/>
      <c r="J4" s="108"/>
      <c r="K4" s="108"/>
      <c r="L4" s="108"/>
      <c r="M4" s="108"/>
      <c r="N4" s="214"/>
      <c r="O4" s="140"/>
      <c r="P4" s="108"/>
      <c r="Q4" s="108"/>
      <c r="R4" s="108"/>
    </row>
    <row r="5" ht="18.0" customHeight="1">
      <c r="A5" s="108"/>
      <c r="B5" s="204" t="s">
        <v>102</v>
      </c>
      <c r="C5" s="205">
        <v>85922.28</v>
      </c>
      <c r="D5" s="205">
        <v>60092.37</v>
      </c>
      <c r="E5" s="205">
        <v>62180.26</v>
      </c>
      <c r="F5" s="205">
        <v>0.0</v>
      </c>
      <c r="G5" s="205">
        <v>0.0</v>
      </c>
      <c r="H5" s="205">
        <v>0.0</v>
      </c>
      <c r="I5" s="108"/>
      <c r="J5" s="108"/>
      <c r="K5" s="108"/>
      <c r="L5" s="108"/>
      <c r="M5" s="108"/>
      <c r="N5" s="140"/>
      <c r="O5" s="140"/>
      <c r="P5" s="108"/>
      <c r="Q5" s="108"/>
      <c r="R5" s="108"/>
    </row>
    <row r="6" ht="18.0" customHeight="1">
      <c r="A6" s="108"/>
      <c r="B6" s="204" t="s">
        <v>103</v>
      </c>
      <c r="C6" s="205">
        <v>68608.11</v>
      </c>
      <c r="D6" s="205">
        <v>57292.79</v>
      </c>
      <c r="E6" s="205">
        <v>52521.51</v>
      </c>
      <c r="F6" s="205">
        <v>0.0</v>
      </c>
      <c r="G6" s="205">
        <v>0.0</v>
      </c>
      <c r="H6" s="205">
        <v>0.0</v>
      </c>
      <c r="I6" s="108"/>
      <c r="J6" s="108"/>
      <c r="K6" s="108"/>
      <c r="L6" s="108"/>
      <c r="M6" s="108"/>
      <c r="N6" s="140"/>
      <c r="O6" s="140"/>
      <c r="P6" s="108"/>
      <c r="Q6" s="108"/>
      <c r="R6" s="108"/>
    </row>
    <row r="7" ht="18.0" customHeight="1">
      <c r="A7" s="108"/>
      <c r="B7" s="204" t="s">
        <v>104</v>
      </c>
      <c r="C7" s="205">
        <v>65142.08</v>
      </c>
      <c r="D7" s="205">
        <v>60434.65</v>
      </c>
      <c r="E7" s="205">
        <v>58558.15</v>
      </c>
      <c r="F7" s="205">
        <v>0.0</v>
      </c>
      <c r="G7" s="205">
        <v>0.0</v>
      </c>
      <c r="H7" s="205">
        <v>0.0</v>
      </c>
      <c r="I7" s="108"/>
      <c r="J7" s="108"/>
      <c r="K7" s="108"/>
      <c r="L7" s="108"/>
      <c r="M7" s="108"/>
      <c r="N7" s="140"/>
      <c r="O7" s="140"/>
      <c r="P7" s="108"/>
      <c r="Q7" s="108"/>
      <c r="R7" s="108"/>
    </row>
    <row r="8" ht="18.0" customHeight="1">
      <c r="A8" s="108"/>
      <c r="B8" s="204" t="s">
        <v>105</v>
      </c>
      <c r="C8" s="205">
        <v>73988.13</v>
      </c>
      <c r="D8" s="205">
        <v>61888.04</v>
      </c>
      <c r="E8" s="205">
        <v>60954.16</v>
      </c>
      <c r="F8" s="205">
        <v>0.0</v>
      </c>
      <c r="G8" s="205">
        <v>0.0</v>
      </c>
      <c r="H8" s="205">
        <v>0.0</v>
      </c>
      <c r="I8" s="108"/>
      <c r="J8" s="108"/>
      <c r="K8" s="108"/>
      <c r="L8" s="108"/>
      <c r="M8" s="108"/>
      <c r="N8" s="140"/>
      <c r="O8" s="140"/>
      <c r="P8" s="108"/>
      <c r="Q8" s="108"/>
      <c r="R8" s="108"/>
    </row>
    <row r="9" ht="18.0" customHeight="1">
      <c r="A9" s="108"/>
      <c r="B9" s="204" t="s">
        <v>106</v>
      </c>
      <c r="C9" s="205">
        <v>96796.95</v>
      </c>
      <c r="D9" s="205">
        <v>69761.8</v>
      </c>
      <c r="E9" s="205">
        <v>77805.63</v>
      </c>
      <c r="F9" s="205">
        <v>0.0</v>
      </c>
      <c r="G9" s="205">
        <v>0.0</v>
      </c>
      <c r="H9" s="205">
        <v>0.0</v>
      </c>
      <c r="I9" s="108"/>
      <c r="J9" s="108"/>
      <c r="K9" s="108"/>
      <c r="L9" s="108"/>
      <c r="M9" s="108"/>
      <c r="N9" s="140"/>
      <c r="O9" s="140"/>
      <c r="P9" s="108"/>
      <c r="Q9" s="108"/>
      <c r="R9" s="108"/>
    </row>
    <row r="10" ht="18.0" customHeight="1">
      <c r="A10" s="108"/>
      <c r="B10" s="204" t="s">
        <v>107</v>
      </c>
      <c r="C10" s="205">
        <v>74596.94</v>
      </c>
      <c r="D10" s="205">
        <v>51703.31</v>
      </c>
      <c r="E10" s="205">
        <v>52254.0</v>
      </c>
      <c r="F10" s="205">
        <v>0.0</v>
      </c>
      <c r="G10" s="205">
        <v>0.0</v>
      </c>
      <c r="H10" s="205">
        <v>0.0</v>
      </c>
      <c r="I10" s="108"/>
      <c r="J10" s="108"/>
      <c r="K10" s="108"/>
      <c r="L10" s="108"/>
      <c r="M10" s="108"/>
      <c r="N10" s="140"/>
      <c r="O10" s="140"/>
      <c r="P10" s="108"/>
      <c r="Q10" s="108"/>
      <c r="R10" s="108"/>
    </row>
    <row r="11" ht="18.0" customHeight="1">
      <c r="A11" s="108"/>
      <c r="B11" s="204" t="s">
        <v>108</v>
      </c>
      <c r="C11" s="205">
        <v>60344.41</v>
      </c>
      <c r="D11" s="205">
        <v>63370.73</v>
      </c>
      <c r="E11" s="205">
        <v>55237.47</v>
      </c>
      <c r="F11" s="205">
        <v>0.0</v>
      </c>
      <c r="G11" s="205">
        <v>0.0</v>
      </c>
      <c r="H11" s="205">
        <v>0.0</v>
      </c>
      <c r="I11" s="108"/>
      <c r="J11" s="108"/>
      <c r="K11" s="108"/>
      <c r="L11" s="108"/>
      <c r="M11" s="108"/>
      <c r="N11" s="140"/>
      <c r="O11" s="140"/>
      <c r="P11" s="108"/>
      <c r="Q11" s="108"/>
      <c r="R11" s="108"/>
    </row>
    <row r="12" ht="18.0" customHeight="1">
      <c r="A12" s="108"/>
      <c r="B12" s="204" t="s">
        <v>109</v>
      </c>
      <c r="C12" s="205">
        <v>72560.62</v>
      </c>
      <c r="D12" s="205">
        <v>60311.17</v>
      </c>
      <c r="E12" s="205">
        <v>51915.5</v>
      </c>
      <c r="F12" s="205">
        <v>0.0</v>
      </c>
      <c r="G12" s="205">
        <v>0.0</v>
      </c>
      <c r="H12" s="205">
        <v>0.0</v>
      </c>
      <c r="I12" s="108"/>
      <c r="J12" s="108"/>
      <c r="K12" s="108"/>
      <c r="L12" s="108"/>
      <c r="M12" s="108"/>
      <c r="N12" s="140"/>
      <c r="O12" s="140"/>
      <c r="P12" s="108"/>
      <c r="Q12" s="108"/>
      <c r="R12" s="108"/>
    </row>
    <row r="13" ht="18.0" customHeight="1">
      <c r="A13" s="108"/>
      <c r="B13" s="204" t="s">
        <v>110</v>
      </c>
      <c r="C13" s="205">
        <v>72281.0</v>
      </c>
      <c r="D13" s="205">
        <v>54195.38</v>
      </c>
      <c r="E13" s="205">
        <v>54129.15</v>
      </c>
      <c r="F13" s="205">
        <v>0.0</v>
      </c>
      <c r="G13" s="205">
        <v>0.0</v>
      </c>
      <c r="H13" s="205">
        <v>0.0</v>
      </c>
      <c r="I13" s="108"/>
      <c r="J13" s="108"/>
      <c r="K13" s="108"/>
      <c r="L13" s="108"/>
      <c r="M13" s="108"/>
      <c r="N13" s="140"/>
      <c r="O13" s="140"/>
      <c r="P13" s="108"/>
      <c r="Q13" s="108"/>
      <c r="R13" s="108"/>
    </row>
    <row r="14" ht="18.0" customHeight="1">
      <c r="A14" s="108"/>
      <c r="B14" s="162" t="s">
        <v>111</v>
      </c>
      <c r="C14" s="206">
        <v>84390.52</v>
      </c>
      <c r="D14" s="206">
        <v>0.0</v>
      </c>
      <c r="E14" s="206">
        <v>75230.57</v>
      </c>
      <c r="F14" s="206">
        <v>0.0</v>
      </c>
      <c r="G14" s="206">
        <v>0.0</v>
      </c>
      <c r="H14" s="206">
        <v>0.0</v>
      </c>
      <c r="I14" s="108"/>
      <c r="J14" s="108"/>
      <c r="K14" s="108"/>
      <c r="L14" s="108"/>
      <c r="M14" s="108"/>
      <c r="N14" s="140"/>
      <c r="O14" s="140"/>
      <c r="P14" s="108"/>
      <c r="Q14" s="108"/>
      <c r="R14" s="108"/>
    </row>
    <row r="15" ht="18.0" customHeight="1">
      <c r="A15" s="108"/>
      <c r="B15" s="207" t="s">
        <v>288</v>
      </c>
      <c r="C15" s="208">
        <f t="shared" ref="C15:H15" si="1">SUM(C3:C14)</f>
        <v>879143.8</v>
      </c>
      <c r="D15" s="208">
        <f t="shared" si="1"/>
        <v>691282.07</v>
      </c>
      <c r="E15" s="208">
        <f t="shared" si="1"/>
        <v>707721.35</v>
      </c>
      <c r="F15" s="208">
        <f t="shared" si="1"/>
        <v>0</v>
      </c>
      <c r="G15" s="208">
        <f t="shared" si="1"/>
        <v>0</v>
      </c>
      <c r="H15" s="208">
        <f t="shared" si="1"/>
        <v>0</v>
      </c>
      <c r="I15" s="108"/>
      <c r="J15" s="108"/>
      <c r="K15" s="108"/>
      <c r="L15" s="108"/>
      <c r="M15" s="108"/>
      <c r="N15" s="140"/>
      <c r="O15" s="140"/>
      <c r="P15" s="108"/>
      <c r="Q15" s="108"/>
      <c r="R15" s="108"/>
    </row>
    <row r="16" ht="12.75" customHeight="1">
      <c r="A16" s="108"/>
      <c r="B16" s="108"/>
      <c r="C16" s="215"/>
      <c r="D16" s="215"/>
      <c r="E16" s="215"/>
      <c r="F16" s="215"/>
      <c r="G16" s="215"/>
      <c r="H16" s="215"/>
      <c r="I16" s="108"/>
      <c r="J16" s="140"/>
      <c r="K16" s="140"/>
      <c r="L16" s="140"/>
      <c r="M16" s="140"/>
      <c r="N16" s="140"/>
      <c r="O16" s="140"/>
      <c r="P16" s="108"/>
      <c r="Q16" s="108"/>
      <c r="R16" s="108"/>
    </row>
    <row r="17" ht="18.0" customHeight="1">
      <c r="A17" s="108"/>
      <c r="B17" s="213" t="s">
        <v>291</v>
      </c>
      <c r="C17" s="213">
        <v>2012.0</v>
      </c>
      <c r="D17" s="213">
        <v>2013.0</v>
      </c>
      <c r="E17" s="213">
        <v>2014.0</v>
      </c>
      <c r="F17" s="213">
        <v>2015.0</v>
      </c>
      <c r="G17" s="213">
        <v>2016.0</v>
      </c>
      <c r="H17" s="213">
        <v>2017.0</v>
      </c>
      <c r="I17" s="108"/>
      <c r="J17" s="140"/>
      <c r="K17" s="140"/>
      <c r="L17" s="140"/>
      <c r="M17" s="140"/>
      <c r="N17" s="140"/>
      <c r="O17" s="140"/>
      <c r="P17" s="108"/>
      <c r="Q17" s="108"/>
      <c r="R17" s="108"/>
    </row>
    <row r="18" ht="18.0" customHeight="1">
      <c r="A18" s="108"/>
      <c r="B18" s="202" t="s">
        <v>100</v>
      </c>
      <c r="C18" s="203">
        <v>257275.39</v>
      </c>
      <c r="D18" s="203">
        <v>147692.92</v>
      </c>
      <c r="E18" s="203">
        <v>144961.92</v>
      </c>
      <c r="F18" s="203">
        <v>0.0</v>
      </c>
      <c r="G18" s="203">
        <v>0.0</v>
      </c>
      <c r="H18" s="203">
        <v>0.0</v>
      </c>
      <c r="I18" s="108"/>
      <c r="J18" s="140"/>
      <c r="K18" s="140"/>
      <c r="L18" s="140"/>
      <c r="M18" s="140"/>
      <c r="N18" s="140"/>
      <c r="O18" s="140"/>
      <c r="P18" s="108"/>
      <c r="Q18" s="108"/>
      <c r="R18" s="108"/>
    </row>
    <row r="19" ht="18.0" customHeight="1">
      <c r="A19" s="108"/>
      <c r="B19" s="204" t="s">
        <v>101</v>
      </c>
      <c r="C19" s="205">
        <v>247737.18</v>
      </c>
      <c r="D19" s="205">
        <v>154510.51</v>
      </c>
      <c r="E19" s="205">
        <v>157288.51</v>
      </c>
      <c r="F19" s="205">
        <v>0.0</v>
      </c>
      <c r="G19" s="205">
        <v>0.0</v>
      </c>
      <c r="H19" s="205">
        <v>0.0</v>
      </c>
      <c r="I19" s="108"/>
      <c r="J19" s="140"/>
      <c r="K19" s="140"/>
      <c r="L19" s="140"/>
      <c r="M19" s="140"/>
      <c r="N19" s="140"/>
      <c r="O19" s="140"/>
      <c r="P19" s="108"/>
      <c r="Q19" s="108"/>
      <c r="R19" s="108"/>
    </row>
    <row r="20" ht="18.0" customHeight="1">
      <c r="A20" s="108"/>
      <c r="B20" s="204" t="s">
        <v>102</v>
      </c>
      <c r="C20" s="205">
        <v>185093.98</v>
      </c>
      <c r="D20" s="205">
        <v>109891.89</v>
      </c>
      <c r="E20" s="205">
        <v>157956.01</v>
      </c>
      <c r="F20" s="205">
        <v>0.0</v>
      </c>
      <c r="G20" s="205">
        <v>0.0</v>
      </c>
      <c r="H20" s="205">
        <v>0.0</v>
      </c>
      <c r="I20" s="108"/>
      <c r="J20" s="140"/>
      <c r="K20" s="140"/>
      <c r="L20" s="140"/>
      <c r="M20" s="140"/>
      <c r="N20" s="140"/>
      <c r="O20" s="140"/>
      <c r="P20" s="108"/>
      <c r="Q20" s="108"/>
      <c r="R20" s="108"/>
    </row>
    <row r="21" ht="18.0" customHeight="1">
      <c r="A21" s="108"/>
      <c r="B21" s="204" t="s">
        <v>103</v>
      </c>
      <c r="C21" s="205">
        <v>186112.85</v>
      </c>
      <c r="D21" s="205">
        <v>115340.89</v>
      </c>
      <c r="E21" s="205">
        <v>155196.14</v>
      </c>
      <c r="F21" s="205">
        <v>0.0</v>
      </c>
      <c r="G21" s="205">
        <v>0.0</v>
      </c>
      <c r="H21" s="205">
        <v>0.0</v>
      </c>
      <c r="I21" s="108"/>
      <c r="J21" s="140"/>
      <c r="K21" s="140"/>
      <c r="L21" s="140"/>
      <c r="M21" s="140"/>
      <c r="N21" s="140"/>
      <c r="O21" s="140"/>
      <c r="P21" s="108"/>
      <c r="Q21" s="108"/>
      <c r="R21" s="108"/>
    </row>
    <row r="22" ht="18.0" customHeight="1">
      <c r="A22" s="108"/>
      <c r="B22" s="204" t="s">
        <v>104</v>
      </c>
      <c r="C22" s="205">
        <v>215582.65</v>
      </c>
      <c r="D22" s="205">
        <v>109316.9</v>
      </c>
      <c r="E22" s="205">
        <v>194031.81</v>
      </c>
      <c r="F22" s="205">
        <v>0.0</v>
      </c>
      <c r="G22" s="205">
        <v>0.0</v>
      </c>
      <c r="H22" s="205">
        <v>0.0</v>
      </c>
      <c r="I22" s="108"/>
      <c r="J22" s="140"/>
      <c r="K22" s="140"/>
      <c r="L22" s="140"/>
      <c r="M22" s="140"/>
      <c r="N22" s="140"/>
      <c r="O22" s="140"/>
      <c r="P22" s="108"/>
      <c r="Q22" s="108"/>
      <c r="R22" s="108"/>
    </row>
    <row r="23" ht="18.0" customHeight="1">
      <c r="A23" s="108"/>
      <c r="B23" s="204" t="s">
        <v>105</v>
      </c>
      <c r="C23" s="205">
        <v>212347.76</v>
      </c>
      <c r="D23" s="205">
        <v>122213.25</v>
      </c>
      <c r="E23" s="205">
        <v>140531.63</v>
      </c>
      <c r="F23" s="205">
        <v>0.0</v>
      </c>
      <c r="G23" s="205">
        <v>0.0</v>
      </c>
      <c r="H23" s="205">
        <v>0.0</v>
      </c>
      <c r="I23" s="108"/>
      <c r="J23" s="140"/>
      <c r="K23" s="140"/>
      <c r="L23" s="140"/>
      <c r="M23" s="140"/>
      <c r="N23" s="140"/>
      <c r="O23" s="140"/>
      <c r="P23" s="108"/>
      <c r="Q23" s="108"/>
      <c r="R23" s="108"/>
    </row>
    <row r="24" ht="18.0" customHeight="1">
      <c r="A24" s="108"/>
      <c r="B24" s="204" t="s">
        <v>106</v>
      </c>
      <c r="C24" s="205">
        <v>189379.72</v>
      </c>
      <c r="D24" s="205">
        <v>143793.23</v>
      </c>
      <c r="E24" s="205">
        <v>121281.18</v>
      </c>
      <c r="F24" s="205">
        <v>0.0</v>
      </c>
      <c r="G24" s="205">
        <v>0.0</v>
      </c>
      <c r="H24" s="205">
        <v>0.0</v>
      </c>
      <c r="I24" s="108"/>
      <c r="J24" s="140"/>
      <c r="K24" s="140"/>
      <c r="L24" s="140"/>
      <c r="M24" s="140"/>
      <c r="N24" s="140"/>
      <c r="O24" s="140"/>
      <c r="P24" s="108"/>
      <c r="Q24" s="108"/>
      <c r="R24" s="108"/>
    </row>
    <row r="25" ht="18.0" customHeight="1">
      <c r="A25" s="108"/>
      <c r="B25" s="204" t="s">
        <v>107</v>
      </c>
      <c r="C25" s="205">
        <v>142666.86</v>
      </c>
      <c r="D25" s="205">
        <v>132218.22</v>
      </c>
      <c r="E25" s="205">
        <v>136378.72</v>
      </c>
      <c r="F25" s="205">
        <v>0.0</v>
      </c>
      <c r="G25" s="205">
        <v>0.0</v>
      </c>
      <c r="H25" s="205">
        <v>0.0</v>
      </c>
      <c r="I25" s="108"/>
      <c r="J25" s="108"/>
      <c r="K25" s="108"/>
      <c r="L25" s="108"/>
      <c r="M25" s="108"/>
      <c r="N25" s="108"/>
      <c r="O25" s="108"/>
      <c r="P25" s="108"/>
      <c r="Q25" s="108"/>
      <c r="R25" s="108"/>
    </row>
    <row r="26" ht="18.0" customHeight="1">
      <c r="A26" s="108"/>
      <c r="B26" s="204" t="s">
        <v>108</v>
      </c>
      <c r="C26" s="205" t="s">
        <v>292</v>
      </c>
      <c r="D26" s="205">
        <v>140499.0</v>
      </c>
      <c r="E26" s="205">
        <v>124528.0</v>
      </c>
      <c r="F26" s="205">
        <v>0.0</v>
      </c>
      <c r="G26" s="205">
        <v>0.0</v>
      </c>
      <c r="H26" s="205">
        <v>0.0</v>
      </c>
      <c r="I26" s="108"/>
      <c r="J26" s="108"/>
      <c r="K26" s="108"/>
      <c r="L26" s="108"/>
      <c r="M26" s="108"/>
      <c r="N26" s="108"/>
      <c r="O26" s="108"/>
      <c r="P26" s="108"/>
      <c r="Q26" s="108"/>
      <c r="R26" s="108"/>
    </row>
    <row r="27" ht="18.0" customHeight="1">
      <c r="A27" s="108"/>
      <c r="B27" s="204" t="s">
        <v>109</v>
      </c>
      <c r="C27" s="205">
        <v>166537.82</v>
      </c>
      <c r="D27" s="205">
        <v>144327.36</v>
      </c>
      <c r="E27" s="205">
        <v>129023.28</v>
      </c>
      <c r="F27" s="205">
        <v>0.0</v>
      </c>
      <c r="G27" s="205">
        <v>0.0</v>
      </c>
      <c r="H27" s="205">
        <v>0.0</v>
      </c>
      <c r="I27" s="108"/>
      <c r="J27" s="108"/>
      <c r="K27" s="108"/>
      <c r="L27" s="108"/>
      <c r="M27" s="108"/>
      <c r="N27" s="108"/>
      <c r="O27" s="108"/>
      <c r="P27" s="108"/>
      <c r="Q27" s="108"/>
      <c r="R27" s="108"/>
    </row>
    <row r="28" ht="18.0" customHeight="1">
      <c r="A28" s="108"/>
      <c r="B28" s="204" t="s">
        <v>110</v>
      </c>
      <c r="C28" s="205">
        <v>151297.0</v>
      </c>
      <c r="D28" s="205">
        <v>141071.54</v>
      </c>
      <c r="E28" s="205">
        <v>150269.91</v>
      </c>
      <c r="F28" s="205">
        <v>0.0</v>
      </c>
      <c r="G28" s="205">
        <v>0.0</v>
      </c>
      <c r="H28" s="205">
        <v>0.0</v>
      </c>
      <c r="I28" s="108"/>
      <c r="J28" s="108"/>
      <c r="K28" s="108"/>
      <c r="L28" s="108"/>
      <c r="M28" s="108"/>
      <c r="N28" s="108"/>
      <c r="O28" s="108"/>
      <c r="P28" s="108"/>
      <c r="Q28" s="108"/>
      <c r="R28" s="108"/>
    </row>
    <row r="29" ht="18.0" customHeight="1">
      <c r="A29" s="108"/>
      <c r="B29" s="162" t="s">
        <v>111</v>
      </c>
      <c r="C29" s="206">
        <v>163127.95</v>
      </c>
      <c r="D29" s="206">
        <v>0.0</v>
      </c>
      <c r="E29" s="206">
        <v>189125.11</v>
      </c>
      <c r="F29" s="206">
        <v>0.0</v>
      </c>
      <c r="G29" s="206">
        <v>0.0</v>
      </c>
      <c r="H29" s="206">
        <v>0.0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</row>
    <row r="30" ht="18.0" customHeight="1">
      <c r="A30" s="108"/>
      <c r="B30" s="207" t="s">
        <v>288</v>
      </c>
      <c r="C30" s="208">
        <f t="shared" ref="C30:H30" si="2">SUM(C18:C29)</f>
        <v>2117159.16</v>
      </c>
      <c r="D30" s="208">
        <f t="shared" si="2"/>
        <v>1460875.71</v>
      </c>
      <c r="E30" s="208">
        <f t="shared" si="2"/>
        <v>1800572.22</v>
      </c>
      <c r="F30" s="208">
        <f t="shared" si="2"/>
        <v>0</v>
      </c>
      <c r="G30" s="208">
        <f t="shared" si="2"/>
        <v>0</v>
      </c>
      <c r="H30" s="208">
        <f t="shared" si="2"/>
        <v>0</v>
      </c>
      <c r="I30" s="108"/>
      <c r="J30" s="108"/>
      <c r="K30" s="108"/>
      <c r="L30" s="108"/>
      <c r="M30" s="108"/>
      <c r="N30" s="108"/>
      <c r="O30" s="108"/>
      <c r="P30" s="108"/>
      <c r="Q30" s="108"/>
      <c r="R30" s="108"/>
    </row>
    <row r="31" ht="12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9.63"/>
    <col customWidth="1" min="2" max="2" width="16.5"/>
    <col customWidth="1" min="3" max="3" width="8.5"/>
    <col customWidth="1" min="4" max="4" width="8.75"/>
    <col customWidth="1" min="5" max="5" width="8.88"/>
    <col customWidth="1" min="6" max="7" width="8.75"/>
  </cols>
  <sheetData>
    <row r="1" ht="12.75" customHeight="1">
      <c r="A1" s="216" t="s">
        <v>293</v>
      </c>
      <c r="B1" s="217" t="s">
        <v>294</v>
      </c>
      <c r="C1" s="2" t="s">
        <v>295</v>
      </c>
      <c r="D1" s="3" t="s">
        <v>296</v>
      </c>
      <c r="E1" s="4" t="s">
        <v>297</v>
      </c>
      <c r="F1" s="5" t="s">
        <v>298</v>
      </c>
      <c r="G1" s="218" t="s">
        <v>299</v>
      </c>
    </row>
    <row r="2" ht="12.75" customHeight="1">
      <c r="A2" s="219" t="s">
        <v>300</v>
      </c>
      <c r="B2" s="220" t="s">
        <v>52</v>
      </c>
      <c r="C2" s="221">
        <f t="shared" ref="C2:C17" si="1">SUM(D2:F2)</f>
        <v>2405.12</v>
      </c>
      <c r="D2" s="222">
        <v>0.0</v>
      </c>
      <c r="E2" s="222">
        <v>0.0</v>
      </c>
      <c r="F2" s="222">
        <v>2405.12</v>
      </c>
      <c r="G2" s="223"/>
    </row>
    <row r="3" ht="12.75" customHeight="1">
      <c r="A3" s="219" t="s">
        <v>300</v>
      </c>
      <c r="B3" s="220" t="s">
        <v>53</v>
      </c>
      <c r="C3" s="221">
        <f t="shared" si="1"/>
        <v>0</v>
      </c>
      <c r="D3" s="222">
        <v>0.0</v>
      </c>
      <c r="E3" s="222">
        <v>0.0</v>
      </c>
      <c r="F3" s="222">
        <v>0.0</v>
      </c>
      <c r="G3" s="223"/>
    </row>
    <row r="4" ht="12.75" customHeight="1">
      <c r="A4" s="224" t="s">
        <v>301</v>
      </c>
      <c r="B4" s="225" t="s">
        <v>54</v>
      </c>
      <c r="C4" s="226">
        <f t="shared" si="1"/>
        <v>7031.74</v>
      </c>
      <c r="D4" s="222">
        <v>873.8</v>
      </c>
      <c r="E4" s="222">
        <v>5207.94</v>
      </c>
      <c r="F4" s="227">
        <v>950.0</v>
      </c>
      <c r="G4" s="223">
        <v>7031.74</v>
      </c>
    </row>
    <row r="5" ht="12.75" customHeight="1">
      <c r="A5" s="219" t="s">
        <v>301</v>
      </c>
      <c r="B5" s="220" t="s">
        <v>55</v>
      </c>
      <c r="C5" s="221">
        <f t="shared" si="1"/>
        <v>0</v>
      </c>
      <c r="D5" s="222">
        <v>0.0</v>
      </c>
      <c r="E5" s="222">
        <v>0.0</v>
      </c>
      <c r="F5" s="222">
        <v>0.0</v>
      </c>
      <c r="G5" s="223"/>
    </row>
    <row r="6" ht="12.75" customHeight="1">
      <c r="A6" s="219" t="s">
        <v>302</v>
      </c>
      <c r="B6" s="220" t="s">
        <v>56</v>
      </c>
      <c r="C6" s="221">
        <f t="shared" si="1"/>
        <v>0</v>
      </c>
      <c r="D6" s="222">
        <v>0.0</v>
      </c>
      <c r="E6" s="222">
        <v>0.0</v>
      </c>
      <c r="F6" s="222">
        <v>0.0</v>
      </c>
      <c r="G6" s="223"/>
    </row>
    <row r="7" ht="12.75" customHeight="1">
      <c r="A7" s="219" t="s">
        <v>303</v>
      </c>
      <c r="B7" s="220" t="s">
        <v>57</v>
      </c>
      <c r="C7" s="221">
        <f t="shared" si="1"/>
        <v>0</v>
      </c>
      <c r="D7" s="222">
        <v>0.0</v>
      </c>
      <c r="E7" s="222">
        <v>0.0</v>
      </c>
      <c r="F7" s="222">
        <v>0.0</v>
      </c>
      <c r="G7" s="223"/>
    </row>
    <row r="8" ht="12.75" customHeight="1">
      <c r="A8" s="219" t="s">
        <v>303</v>
      </c>
      <c r="B8" s="220" t="s">
        <v>58</v>
      </c>
      <c r="C8" s="221">
        <f t="shared" si="1"/>
        <v>0</v>
      </c>
      <c r="D8" s="222">
        <v>0.0</v>
      </c>
      <c r="E8" s="222">
        <v>0.0</v>
      </c>
      <c r="F8" s="222">
        <v>0.0</v>
      </c>
      <c r="G8" s="223"/>
    </row>
    <row r="9" ht="12.75" customHeight="1">
      <c r="A9" s="219" t="s">
        <v>304</v>
      </c>
      <c r="B9" s="220" t="s">
        <v>59</v>
      </c>
      <c r="C9" s="221">
        <f t="shared" si="1"/>
        <v>370</v>
      </c>
      <c r="D9" s="222">
        <f t="shared" ref="D9:D10" si="2">(G9/19)*7</f>
        <v>136.3157895</v>
      </c>
      <c r="E9" s="222">
        <f t="shared" ref="E9:E10" si="3">(G9/19)*10</f>
        <v>194.7368421</v>
      </c>
      <c r="F9" s="222">
        <f t="shared" ref="F9:F10" si="4">(G9/19)*2</f>
        <v>38.94736842</v>
      </c>
      <c r="G9" s="223">
        <v>370.0</v>
      </c>
    </row>
    <row r="10" ht="12.75" customHeight="1">
      <c r="A10" s="219" t="s">
        <v>304</v>
      </c>
      <c r="B10" s="220" t="s">
        <v>60</v>
      </c>
      <c r="C10" s="221">
        <f t="shared" si="1"/>
        <v>175</v>
      </c>
      <c r="D10" s="222">
        <f t="shared" si="2"/>
        <v>64.47368421</v>
      </c>
      <c r="E10" s="222">
        <f t="shared" si="3"/>
        <v>92.10526316</v>
      </c>
      <c r="F10" s="222">
        <f t="shared" si="4"/>
        <v>18.42105263</v>
      </c>
      <c r="G10" s="223">
        <v>175.0</v>
      </c>
    </row>
    <row r="11" ht="12.75" customHeight="1">
      <c r="A11" s="219" t="s">
        <v>305</v>
      </c>
      <c r="B11" s="220" t="s">
        <v>306</v>
      </c>
      <c r="C11" s="221">
        <f t="shared" si="1"/>
        <v>0</v>
      </c>
      <c r="D11" s="222">
        <v>0.0</v>
      </c>
      <c r="E11" s="222">
        <v>0.0</v>
      </c>
      <c r="F11" s="222">
        <v>0.0</v>
      </c>
      <c r="G11" s="223">
        <v>0.0</v>
      </c>
    </row>
    <row r="12" ht="12.75" customHeight="1">
      <c r="A12" s="219" t="s">
        <v>301</v>
      </c>
      <c r="B12" s="220" t="s">
        <v>62</v>
      </c>
      <c r="C12" s="221">
        <f t="shared" si="1"/>
        <v>0</v>
      </c>
      <c r="D12" s="222">
        <v>0.0</v>
      </c>
      <c r="E12" s="222">
        <v>0.0</v>
      </c>
      <c r="F12" s="222">
        <v>0.0</v>
      </c>
      <c r="G12" s="223"/>
    </row>
    <row r="13" ht="12.75" customHeight="1">
      <c r="A13" s="219" t="s">
        <v>304</v>
      </c>
      <c r="B13" s="220" t="s">
        <v>63</v>
      </c>
      <c r="C13" s="221">
        <f t="shared" si="1"/>
        <v>74.08</v>
      </c>
      <c r="D13" s="222">
        <v>27.29</v>
      </c>
      <c r="E13" s="222">
        <v>39.0</v>
      </c>
      <c r="F13" s="222">
        <v>7.79</v>
      </c>
      <c r="G13" s="223">
        <v>74.08</v>
      </c>
    </row>
    <row r="14" ht="12.75" customHeight="1">
      <c r="A14" s="219" t="s">
        <v>301</v>
      </c>
      <c r="B14" s="220" t="s">
        <v>64</v>
      </c>
      <c r="C14" s="221">
        <f t="shared" si="1"/>
        <v>0</v>
      </c>
      <c r="D14" s="222">
        <v>0.0</v>
      </c>
      <c r="E14" s="222">
        <v>0.0</v>
      </c>
      <c r="F14" s="222">
        <v>0.0</v>
      </c>
      <c r="G14" s="223"/>
    </row>
    <row r="15" ht="12.75" customHeight="1">
      <c r="A15" s="219" t="s">
        <v>301</v>
      </c>
      <c r="B15" s="220" t="s">
        <v>65</v>
      </c>
      <c r="C15" s="221">
        <f t="shared" si="1"/>
        <v>0</v>
      </c>
      <c r="D15" s="222">
        <v>0.0</v>
      </c>
      <c r="E15" s="222">
        <v>0.0</v>
      </c>
      <c r="F15" s="222">
        <v>0.0</v>
      </c>
      <c r="G15" s="223"/>
    </row>
    <row r="16" ht="12.75" customHeight="1">
      <c r="A16" s="219" t="s">
        <v>307</v>
      </c>
      <c r="B16" s="228" t="s">
        <v>66</v>
      </c>
      <c r="C16" s="229">
        <f t="shared" si="1"/>
        <v>0</v>
      </c>
      <c r="D16" s="230">
        <v>0.0</v>
      </c>
      <c r="E16" s="230">
        <v>0.0</v>
      </c>
      <c r="F16" s="230">
        <v>0.0</v>
      </c>
      <c r="G16" s="223"/>
    </row>
    <row r="17" ht="12.75" customHeight="1">
      <c r="A17" s="219" t="s">
        <v>307</v>
      </c>
      <c r="B17" s="228" t="s">
        <v>67</v>
      </c>
      <c r="C17" s="229">
        <f t="shared" si="1"/>
        <v>0</v>
      </c>
      <c r="D17" s="230">
        <v>0.0</v>
      </c>
      <c r="E17" s="230">
        <v>0.0</v>
      </c>
      <c r="F17" s="230">
        <v>0.0</v>
      </c>
      <c r="G17" s="223"/>
    </row>
    <row r="18" ht="12.75" customHeight="1">
      <c r="A18" s="231" t="s">
        <v>308</v>
      </c>
      <c r="B18" s="220"/>
      <c r="C18" s="232">
        <f t="shared" ref="C18:E18" si="5">SUM(C2:C17)</f>
        <v>10055.94</v>
      </c>
      <c r="D18" s="232">
        <f t="shared" si="5"/>
        <v>1101.879474</v>
      </c>
      <c r="E18" s="232">
        <f t="shared" si="5"/>
        <v>5533.782105</v>
      </c>
      <c r="F18" s="232">
        <v>26.09520467836257</v>
      </c>
      <c r="G18" s="223"/>
    </row>
    <row r="19" ht="12.75" customHeight="1">
      <c r="A19" s="216" t="s">
        <v>293</v>
      </c>
      <c r="B19" s="233" t="s">
        <v>69</v>
      </c>
      <c r="C19" s="2" t="s">
        <v>295</v>
      </c>
      <c r="D19" s="3" t="s">
        <v>296</v>
      </c>
      <c r="E19" s="4" t="s">
        <v>297</v>
      </c>
      <c r="F19" s="5" t="s">
        <v>298</v>
      </c>
    </row>
    <row r="20" ht="12.75" customHeight="1">
      <c r="A20" s="219" t="s">
        <v>305</v>
      </c>
      <c r="B20" s="220" t="s">
        <v>70</v>
      </c>
      <c r="C20" s="221">
        <f t="shared" ref="C20:C34" si="6">SUM(D20:F20)</f>
        <v>0</v>
      </c>
      <c r="D20" s="222"/>
      <c r="E20" s="222"/>
      <c r="F20" s="222"/>
      <c r="G20" s="223">
        <f t="shared" ref="G20:G24" si="7">SUM(D20:F20)</f>
        <v>0</v>
      </c>
    </row>
    <row r="21" ht="12.75" customHeight="1">
      <c r="A21" s="219" t="s">
        <v>305</v>
      </c>
      <c r="B21" s="225" t="s">
        <v>71</v>
      </c>
      <c r="C21" s="221">
        <f t="shared" si="6"/>
        <v>0</v>
      </c>
      <c r="D21" s="222"/>
      <c r="E21" s="222"/>
      <c r="F21" s="222"/>
      <c r="G21" s="223">
        <f t="shared" si="7"/>
        <v>0</v>
      </c>
    </row>
    <row r="22" ht="12.75" customHeight="1">
      <c r="A22" s="219" t="s">
        <v>305</v>
      </c>
      <c r="B22" s="220" t="s">
        <v>72</v>
      </c>
      <c r="C22" s="221">
        <f t="shared" si="6"/>
        <v>0</v>
      </c>
      <c r="D22" s="222"/>
      <c r="E22" s="222"/>
      <c r="F22" s="222"/>
      <c r="G22" s="223">
        <f t="shared" si="7"/>
        <v>0</v>
      </c>
    </row>
    <row r="23" ht="12.75" customHeight="1">
      <c r="A23" s="219" t="s">
        <v>305</v>
      </c>
      <c r="B23" s="220" t="s">
        <v>73</v>
      </c>
      <c r="C23" s="221">
        <f t="shared" si="6"/>
        <v>0</v>
      </c>
      <c r="D23" s="222"/>
      <c r="E23" s="222"/>
      <c r="F23" s="222"/>
      <c r="G23" s="223">
        <f t="shared" si="7"/>
        <v>0</v>
      </c>
    </row>
    <row r="24" ht="12.75" customHeight="1">
      <c r="A24" s="219" t="s">
        <v>305</v>
      </c>
      <c r="B24" s="220" t="s">
        <v>74</v>
      </c>
      <c r="C24" s="221">
        <f t="shared" si="6"/>
        <v>0</v>
      </c>
      <c r="D24" s="222"/>
      <c r="E24" s="222"/>
      <c r="F24" s="222"/>
      <c r="G24" s="223">
        <f t="shared" si="7"/>
        <v>0</v>
      </c>
    </row>
    <row r="25" ht="12.75" customHeight="1">
      <c r="A25" s="219" t="s">
        <v>304</v>
      </c>
      <c r="B25" s="234" t="s">
        <v>75</v>
      </c>
      <c r="C25" s="221">
        <f t="shared" si="6"/>
        <v>324</v>
      </c>
      <c r="D25" s="222">
        <f t="shared" ref="D25:D27" si="8">(G25/19)*7</f>
        <v>119.3684211</v>
      </c>
      <c r="E25" s="222">
        <f t="shared" ref="E25:E27" si="9">(G25/19)*10</f>
        <v>170.5263158</v>
      </c>
      <c r="F25" s="222">
        <f t="shared" ref="F25:F27" si="10">(G25/19)*2</f>
        <v>34.10526316</v>
      </c>
      <c r="G25" s="223">
        <v>324.0</v>
      </c>
    </row>
    <row r="26" ht="12.75" customHeight="1">
      <c r="A26" s="219" t="s">
        <v>304</v>
      </c>
      <c r="B26" s="220" t="s">
        <v>76</v>
      </c>
      <c r="C26" s="226">
        <f t="shared" si="6"/>
        <v>264.81</v>
      </c>
      <c r="D26" s="222">
        <f t="shared" si="8"/>
        <v>97.56157895</v>
      </c>
      <c r="E26" s="222">
        <f t="shared" si="9"/>
        <v>139.3736842</v>
      </c>
      <c r="F26" s="222">
        <f t="shared" si="10"/>
        <v>27.87473684</v>
      </c>
      <c r="G26" s="223">
        <v>264.81</v>
      </c>
    </row>
    <row r="27" ht="12.75" customHeight="1">
      <c r="A27" s="219" t="s">
        <v>304</v>
      </c>
      <c r="B27" s="234" t="s">
        <v>77</v>
      </c>
      <c r="C27" s="221">
        <f t="shared" si="6"/>
        <v>271.06</v>
      </c>
      <c r="D27" s="222">
        <f t="shared" si="8"/>
        <v>99.86421053</v>
      </c>
      <c r="E27" s="222">
        <f t="shared" si="9"/>
        <v>142.6631579</v>
      </c>
      <c r="F27" s="222">
        <f t="shared" si="10"/>
        <v>28.53263158</v>
      </c>
      <c r="G27" s="223">
        <v>271.06</v>
      </c>
    </row>
    <row r="28" ht="12.75" customHeight="1">
      <c r="A28" s="219" t="s">
        <v>301</v>
      </c>
      <c r="B28" s="220" t="s">
        <v>78</v>
      </c>
      <c r="C28" s="221">
        <f t="shared" si="6"/>
        <v>0</v>
      </c>
      <c r="D28" s="222"/>
      <c r="E28" s="222"/>
      <c r="F28" s="222"/>
      <c r="G28" s="223">
        <f t="shared" ref="G28:G30" si="11">SUM(D28:F28)</f>
        <v>0</v>
      </c>
    </row>
    <row r="29" ht="12.75" customHeight="1">
      <c r="A29" s="219" t="s">
        <v>305</v>
      </c>
      <c r="B29" s="220" t="s">
        <v>79</v>
      </c>
      <c r="C29" s="229">
        <f t="shared" si="6"/>
        <v>0</v>
      </c>
      <c r="D29" s="230"/>
      <c r="E29" s="230"/>
      <c r="F29" s="230"/>
      <c r="G29" s="223">
        <f t="shared" si="11"/>
        <v>0</v>
      </c>
    </row>
    <row r="30" ht="12.75" customHeight="1">
      <c r="A30" s="219" t="s">
        <v>309</v>
      </c>
      <c r="B30" s="225" t="s">
        <v>80</v>
      </c>
      <c r="C30" s="221">
        <f t="shared" si="6"/>
        <v>0</v>
      </c>
      <c r="D30" s="222"/>
      <c r="E30" s="222"/>
      <c r="F30" s="222"/>
      <c r="G30" s="223">
        <f t="shared" si="11"/>
        <v>0</v>
      </c>
    </row>
    <row r="31" ht="12.75" customHeight="1">
      <c r="A31" s="219" t="s">
        <v>304</v>
      </c>
      <c r="B31" s="225" t="s">
        <v>81</v>
      </c>
      <c r="C31" s="221">
        <f t="shared" si="6"/>
        <v>139.19</v>
      </c>
      <c r="D31" s="222">
        <f t="shared" ref="D31:D32" si="12">(G31/19)*7</f>
        <v>51.28052632</v>
      </c>
      <c r="E31" s="222">
        <f t="shared" ref="E31:E32" si="13">(G31/19)*10</f>
        <v>73.25789474</v>
      </c>
      <c r="F31" s="222">
        <f t="shared" ref="F31:F32" si="14">(G31/19)*2</f>
        <v>14.65157895</v>
      </c>
      <c r="G31" s="223">
        <v>139.19</v>
      </c>
    </row>
    <row r="32" ht="12.75" customHeight="1">
      <c r="A32" s="219" t="s">
        <v>304</v>
      </c>
      <c r="B32" s="220" t="s">
        <v>82</v>
      </c>
      <c r="C32" s="221">
        <f t="shared" si="6"/>
        <v>150</v>
      </c>
      <c r="D32" s="222">
        <f t="shared" si="12"/>
        <v>55.26315789</v>
      </c>
      <c r="E32" s="222">
        <f t="shared" si="13"/>
        <v>78.94736842</v>
      </c>
      <c r="F32" s="222">
        <f t="shared" si="14"/>
        <v>15.78947368</v>
      </c>
      <c r="G32" s="223">
        <v>150.0</v>
      </c>
    </row>
    <row r="33" ht="12.75" customHeight="1">
      <c r="A33" s="219" t="s">
        <v>305</v>
      </c>
      <c r="B33" s="220" t="s">
        <v>83</v>
      </c>
      <c r="C33" s="221">
        <f t="shared" si="6"/>
        <v>0</v>
      </c>
      <c r="D33" s="222"/>
      <c r="E33" s="222"/>
      <c r="F33" s="222"/>
      <c r="G33" s="223">
        <v>0.0</v>
      </c>
    </row>
    <row r="34" ht="12.75" customHeight="1">
      <c r="A34" s="219" t="s">
        <v>304</v>
      </c>
      <c r="B34" s="220" t="s">
        <v>84</v>
      </c>
      <c r="C34" s="221">
        <f t="shared" si="6"/>
        <v>825</v>
      </c>
      <c r="D34" s="222">
        <f>(G34/19)*7</f>
        <v>303.9473684</v>
      </c>
      <c r="E34" s="222">
        <f>(G34/19)*10</f>
        <v>434.2105263</v>
      </c>
      <c r="F34" s="222">
        <f>(G34/19)*2</f>
        <v>86.84210526</v>
      </c>
      <c r="G34" s="223">
        <v>825.0</v>
      </c>
    </row>
    <row r="35" ht="12.75" customHeight="1">
      <c r="A35" s="219" t="s">
        <v>307</v>
      </c>
      <c r="B35" s="220" t="s">
        <v>85</v>
      </c>
      <c r="C35" s="221">
        <v>3000.0</v>
      </c>
      <c r="D35" s="222"/>
      <c r="E35" s="222"/>
      <c r="F35" s="222"/>
      <c r="G35" s="223">
        <v>3000.0</v>
      </c>
    </row>
    <row r="36" ht="12.75" customHeight="1">
      <c r="A36" s="231" t="s">
        <v>308</v>
      </c>
      <c r="B36" s="235"/>
      <c r="C36" s="236">
        <f t="shared" ref="C36:F36" si="15">SUM(C20:C35)</f>
        <v>4974.06</v>
      </c>
      <c r="D36" s="232">
        <f t="shared" si="15"/>
        <v>727.2852632</v>
      </c>
      <c r="E36" s="232">
        <f t="shared" si="15"/>
        <v>1038.978947</v>
      </c>
      <c r="F36" s="232">
        <f t="shared" si="15"/>
        <v>207.7957895</v>
      </c>
    </row>
  </sheetData>
  <drawing r:id="rId2"/>
  <legacyDrawing r:id="rId3"/>
</worksheet>
</file>